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benit\Documents\10Alytics CLASSES\"/>
    </mc:Choice>
  </mc:AlternateContent>
  <xr:revisionPtr revIDLastSave="0" documentId="8_{75F3A8D0-3D51-4CD8-B39C-BE7D7385F3F9}" xr6:coauthVersionLast="47" xr6:coauthVersionMax="47" xr10:uidLastSave="{00000000-0000-0000-0000-000000000000}"/>
  <bookViews>
    <workbookView xWindow="-93" yWindow="-93" windowWidth="20666" windowHeight="12266" xr2:uid="{00000000-000D-0000-FFFF-FFFF00000000}"/>
  </bookViews>
  <sheets>
    <sheet name="DirtyData" sheetId="1" r:id="rId1"/>
    <sheet name="Rough Work" sheetId="2" r:id="rId2"/>
    <sheet name="Cleaned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01" i="3" l="1"/>
  <c r="P500" i="3"/>
  <c r="P499" i="3"/>
  <c r="P498" i="3"/>
  <c r="P497" i="3"/>
  <c r="P496" i="3"/>
  <c r="P495" i="3"/>
  <c r="P494" i="3"/>
  <c r="P493" i="3"/>
  <c r="P492" i="3"/>
  <c r="P491" i="3"/>
  <c r="P490" i="3"/>
  <c r="P489" i="3"/>
  <c r="P488" i="3"/>
  <c r="P487" i="3"/>
  <c r="P486" i="3"/>
  <c r="P485" i="3"/>
  <c r="P484" i="3"/>
  <c r="P483" i="3"/>
  <c r="P482" i="3"/>
  <c r="P481" i="3"/>
  <c r="P480" i="3"/>
  <c r="P479" i="3"/>
  <c r="P478" i="3"/>
  <c r="P477" i="3"/>
  <c r="P476" i="3"/>
  <c r="P475" i="3"/>
  <c r="P474" i="3"/>
  <c r="P473" i="3"/>
  <c r="P472" i="3"/>
  <c r="P471" i="3"/>
  <c r="P470" i="3"/>
  <c r="P469" i="3"/>
  <c r="P468" i="3"/>
  <c r="P467" i="3"/>
  <c r="P466" i="3"/>
  <c r="P465" i="3"/>
  <c r="P464" i="3"/>
  <c r="P463" i="3"/>
  <c r="P462" i="3"/>
  <c r="P461" i="3"/>
  <c r="P460" i="3"/>
  <c r="P459" i="3"/>
  <c r="P458" i="3"/>
  <c r="P457" i="3"/>
  <c r="P456" i="3"/>
  <c r="P455" i="3"/>
  <c r="P454" i="3"/>
  <c r="P453" i="3"/>
  <c r="P452" i="3"/>
  <c r="P451" i="3"/>
  <c r="P450" i="3"/>
  <c r="P449" i="3"/>
  <c r="P448" i="3"/>
  <c r="P447" i="3"/>
  <c r="P446" i="3"/>
  <c r="P445" i="3"/>
  <c r="P444" i="3"/>
  <c r="P443" i="3"/>
  <c r="P442" i="3"/>
  <c r="P441" i="3"/>
  <c r="P440" i="3"/>
  <c r="P439" i="3"/>
  <c r="P438" i="3"/>
  <c r="P437" i="3"/>
  <c r="P436" i="3"/>
  <c r="P435" i="3"/>
  <c r="P434" i="3"/>
  <c r="P433" i="3"/>
  <c r="P432" i="3"/>
  <c r="P431" i="3"/>
  <c r="P430" i="3"/>
  <c r="P429" i="3"/>
  <c r="P428" i="3"/>
  <c r="P427" i="3"/>
  <c r="P426" i="3"/>
  <c r="P425" i="3"/>
  <c r="P424" i="3"/>
  <c r="P423" i="3"/>
  <c r="P422" i="3"/>
  <c r="P421" i="3"/>
  <c r="P420" i="3"/>
  <c r="P419" i="3"/>
  <c r="P418" i="3"/>
  <c r="P417" i="3"/>
  <c r="P416" i="3"/>
  <c r="P415" i="3"/>
  <c r="P414" i="3"/>
  <c r="P413" i="3"/>
  <c r="P412" i="3"/>
  <c r="P411" i="3"/>
  <c r="P410" i="3"/>
  <c r="P409" i="3"/>
  <c r="P408" i="3"/>
  <c r="P407" i="3"/>
  <c r="P406" i="3"/>
  <c r="P405" i="3"/>
  <c r="P404" i="3"/>
  <c r="P403" i="3"/>
  <c r="P402" i="3"/>
  <c r="P401" i="3"/>
  <c r="P400" i="3"/>
  <c r="P399" i="3"/>
  <c r="P398" i="3"/>
  <c r="P397" i="3"/>
  <c r="P396" i="3"/>
  <c r="P395" i="3"/>
  <c r="P394" i="3"/>
  <c r="P393" i="3"/>
  <c r="P392" i="3"/>
  <c r="P391" i="3"/>
  <c r="P390" i="3"/>
  <c r="P389" i="3"/>
  <c r="P388" i="3"/>
  <c r="P387" i="3"/>
  <c r="P386" i="3"/>
  <c r="P385" i="3"/>
  <c r="P384" i="3"/>
  <c r="P383" i="3"/>
  <c r="P382" i="3"/>
  <c r="P381" i="3"/>
  <c r="P380" i="3"/>
  <c r="P379" i="3"/>
  <c r="P378" i="3"/>
  <c r="P377" i="3"/>
  <c r="P376" i="3"/>
  <c r="P375" i="3"/>
  <c r="P374" i="3"/>
  <c r="P373" i="3"/>
  <c r="P372" i="3"/>
  <c r="P371" i="3"/>
  <c r="P370" i="3"/>
  <c r="P369" i="3"/>
  <c r="P368" i="3"/>
  <c r="P367" i="3"/>
  <c r="P366" i="3"/>
  <c r="P365" i="3"/>
  <c r="P364" i="3"/>
  <c r="P363" i="3"/>
  <c r="P362" i="3"/>
  <c r="P361" i="3"/>
  <c r="P360" i="3"/>
  <c r="P359" i="3"/>
  <c r="P358" i="3"/>
  <c r="P357" i="3"/>
  <c r="P356" i="3"/>
  <c r="P355" i="3"/>
  <c r="P354" i="3"/>
  <c r="P353" i="3"/>
  <c r="P352" i="3"/>
  <c r="P351" i="3"/>
  <c r="P350" i="3"/>
  <c r="P349" i="3"/>
  <c r="P348" i="3"/>
  <c r="P347" i="3"/>
  <c r="P346" i="3"/>
  <c r="P345" i="3"/>
  <c r="P344" i="3"/>
  <c r="P343" i="3"/>
  <c r="P342" i="3"/>
  <c r="P341" i="3"/>
  <c r="P340" i="3"/>
  <c r="P339" i="3"/>
  <c r="P338" i="3"/>
  <c r="P337" i="3"/>
  <c r="P336" i="3"/>
  <c r="P335" i="3"/>
  <c r="P334" i="3"/>
  <c r="P333" i="3"/>
  <c r="P332" i="3"/>
  <c r="P331" i="3"/>
  <c r="P330" i="3"/>
  <c r="P329" i="3"/>
  <c r="P328" i="3"/>
  <c r="P327" i="3"/>
  <c r="P326" i="3"/>
  <c r="P325" i="3"/>
  <c r="P324" i="3"/>
  <c r="P323" i="3"/>
  <c r="P322" i="3"/>
  <c r="P321" i="3"/>
  <c r="P320" i="3"/>
  <c r="P319" i="3"/>
  <c r="P318" i="3"/>
  <c r="P317" i="3"/>
  <c r="P316" i="3"/>
  <c r="P315" i="3"/>
  <c r="P314" i="3"/>
  <c r="P313" i="3"/>
  <c r="P312" i="3"/>
  <c r="P311" i="3"/>
  <c r="P310" i="3"/>
  <c r="P309" i="3"/>
  <c r="P308" i="3"/>
  <c r="P307" i="3"/>
  <c r="P306" i="3"/>
  <c r="P305" i="3"/>
  <c r="P304" i="3"/>
  <c r="P303" i="3"/>
  <c r="P302" i="3"/>
  <c r="P301" i="3"/>
  <c r="P300" i="3"/>
  <c r="P299" i="3"/>
  <c r="P298" i="3"/>
  <c r="P297" i="3"/>
  <c r="P296" i="3"/>
  <c r="P295" i="3"/>
  <c r="P294" i="3"/>
  <c r="P293" i="3"/>
  <c r="P292" i="3"/>
  <c r="P291" i="3"/>
  <c r="P290" i="3"/>
  <c r="P289" i="3"/>
  <c r="P288" i="3"/>
  <c r="P287" i="3"/>
  <c r="P286" i="3"/>
  <c r="P285" i="3"/>
  <c r="P284" i="3"/>
  <c r="P283" i="3"/>
  <c r="P282" i="3"/>
  <c r="P281" i="3"/>
  <c r="P280" i="3"/>
  <c r="P279" i="3"/>
  <c r="P278" i="3"/>
  <c r="P277" i="3"/>
  <c r="P276" i="3"/>
  <c r="P275" i="3"/>
  <c r="P274" i="3"/>
  <c r="P273" i="3"/>
  <c r="P272" i="3"/>
  <c r="P271" i="3"/>
  <c r="P270" i="3"/>
  <c r="P269" i="3"/>
  <c r="P268" i="3"/>
  <c r="P267" i="3"/>
  <c r="P266" i="3"/>
  <c r="P265" i="3"/>
  <c r="P264" i="3"/>
  <c r="P263" i="3"/>
  <c r="P262" i="3"/>
  <c r="P261" i="3"/>
  <c r="P260" i="3"/>
  <c r="P259" i="3"/>
  <c r="P258" i="3"/>
  <c r="P257" i="3"/>
  <c r="P256" i="3"/>
  <c r="P255" i="3"/>
  <c r="P254" i="3"/>
  <c r="P253" i="3"/>
  <c r="P252" i="3"/>
  <c r="P251" i="3"/>
  <c r="P250" i="3"/>
  <c r="P249" i="3"/>
  <c r="P248" i="3"/>
  <c r="P247" i="3"/>
  <c r="P246" i="3"/>
  <c r="P245" i="3"/>
  <c r="P244" i="3"/>
  <c r="P243" i="3"/>
  <c r="P242" i="3"/>
  <c r="P241" i="3"/>
  <c r="P240" i="3"/>
  <c r="P239" i="3"/>
  <c r="P238" i="3"/>
  <c r="P237" i="3"/>
  <c r="P236" i="3"/>
  <c r="P235" i="3"/>
  <c r="P234" i="3"/>
  <c r="P233" i="3"/>
  <c r="P232" i="3"/>
  <c r="P231" i="3"/>
  <c r="P230" i="3"/>
  <c r="P229" i="3"/>
  <c r="P228" i="3"/>
  <c r="P227" i="3"/>
  <c r="P226" i="3"/>
  <c r="P225" i="3"/>
  <c r="P224" i="3"/>
  <c r="P223" i="3"/>
  <c r="P222" i="3"/>
  <c r="P221" i="3"/>
  <c r="P220" i="3"/>
  <c r="P219" i="3"/>
  <c r="P218" i="3"/>
  <c r="P217" i="3"/>
  <c r="P216" i="3"/>
  <c r="P215" i="3"/>
  <c r="P214" i="3"/>
  <c r="P213" i="3"/>
  <c r="P212" i="3"/>
  <c r="P211" i="3"/>
  <c r="P210" i="3"/>
  <c r="P209" i="3"/>
  <c r="P208" i="3"/>
  <c r="P207" i="3"/>
  <c r="P206" i="3"/>
  <c r="P205" i="3"/>
  <c r="P204" i="3"/>
  <c r="P203" i="3"/>
  <c r="P202" i="3"/>
  <c r="P201" i="3"/>
  <c r="P200" i="3"/>
  <c r="P199" i="3"/>
  <c r="P198" i="3"/>
  <c r="P197" i="3"/>
  <c r="P196" i="3"/>
  <c r="P195" i="3"/>
  <c r="P194" i="3"/>
  <c r="P193" i="3"/>
  <c r="P192" i="3"/>
  <c r="P191" i="3"/>
  <c r="P190" i="3"/>
  <c r="P189" i="3"/>
  <c r="P188" i="3"/>
  <c r="P187" i="3"/>
  <c r="P186" i="3"/>
  <c r="P185" i="3"/>
  <c r="P184" i="3"/>
  <c r="P183" i="3"/>
  <c r="P182" i="3"/>
  <c r="P181" i="3"/>
  <c r="P180" i="3"/>
  <c r="P179" i="3"/>
  <c r="P178" i="3"/>
  <c r="P177" i="3"/>
  <c r="P176" i="3"/>
  <c r="P175" i="3"/>
  <c r="P174" i="3"/>
  <c r="P173" i="3"/>
  <c r="P172" i="3"/>
  <c r="P171" i="3"/>
  <c r="P170" i="3"/>
  <c r="P169" i="3"/>
  <c r="P168" i="3"/>
  <c r="P167" i="3"/>
  <c r="P166" i="3"/>
  <c r="P165" i="3"/>
  <c r="P164" i="3"/>
  <c r="P163" i="3"/>
  <c r="P162" i="3"/>
  <c r="P161" i="3"/>
  <c r="P160" i="3"/>
  <c r="P159" i="3"/>
  <c r="P158" i="3"/>
  <c r="P157" i="3"/>
  <c r="P156" i="3"/>
  <c r="P155" i="3"/>
  <c r="P154" i="3"/>
  <c r="P153" i="3"/>
  <c r="P152" i="3"/>
  <c r="P151" i="3"/>
  <c r="P150" i="3"/>
  <c r="P149" i="3"/>
  <c r="P148" i="3"/>
  <c r="P147" i="3"/>
  <c r="P146" i="3"/>
  <c r="P145" i="3"/>
  <c r="P144" i="3"/>
  <c r="P143" i="3"/>
  <c r="P142" i="3"/>
  <c r="P141" i="3"/>
  <c r="P140" i="3"/>
  <c r="P139" i="3"/>
  <c r="P138" i="3"/>
  <c r="P137" i="3"/>
  <c r="P136" i="3"/>
  <c r="P135" i="3"/>
  <c r="P134" i="3"/>
  <c r="P133" i="3"/>
  <c r="P132" i="3"/>
  <c r="P131" i="3"/>
  <c r="P130" i="3"/>
  <c r="P129" i="3"/>
  <c r="P128" i="3"/>
  <c r="P127" i="3"/>
  <c r="P126" i="3"/>
  <c r="P125" i="3"/>
  <c r="P124" i="3"/>
  <c r="P123" i="3"/>
  <c r="P122" i="3"/>
  <c r="P121" i="3"/>
  <c r="P120" i="3"/>
  <c r="P119" i="3"/>
  <c r="P118" i="3"/>
  <c r="P117" i="3"/>
  <c r="P116" i="3"/>
  <c r="P115" i="3"/>
  <c r="P114" i="3"/>
  <c r="P113" i="3"/>
  <c r="P112" i="3"/>
  <c r="P111" i="3"/>
  <c r="P110" i="3"/>
  <c r="P109" i="3"/>
  <c r="P108" i="3"/>
  <c r="P107" i="3"/>
  <c r="P106" i="3"/>
  <c r="P105" i="3"/>
  <c r="P104" i="3"/>
  <c r="P103" i="3"/>
  <c r="P102" i="3"/>
  <c r="P101" i="3"/>
  <c r="P100" i="3"/>
  <c r="P99" i="3"/>
  <c r="P98" i="3"/>
  <c r="P97" i="3"/>
  <c r="P96" i="3"/>
  <c r="P95" i="3"/>
  <c r="P94" i="3"/>
  <c r="P93" i="3"/>
  <c r="P92" i="3"/>
  <c r="P91" i="3"/>
  <c r="P90" i="3"/>
  <c r="P89" i="3"/>
  <c r="P88" i="3"/>
  <c r="P87" i="3"/>
  <c r="P86" i="3"/>
  <c r="P85" i="3"/>
  <c r="P84" i="3"/>
  <c r="P83" i="3"/>
  <c r="P82" i="3"/>
  <c r="P81" i="3"/>
  <c r="P80" i="3"/>
  <c r="P79" i="3"/>
  <c r="P78" i="3"/>
  <c r="P77" i="3"/>
  <c r="P76" i="3"/>
  <c r="P75" i="3"/>
  <c r="P74" i="3"/>
  <c r="P73" i="3"/>
  <c r="P72" i="3"/>
  <c r="P71" i="3"/>
  <c r="P70" i="3"/>
  <c r="P69" i="3"/>
  <c r="P68" i="3"/>
  <c r="P67" i="3"/>
  <c r="P66" i="3"/>
  <c r="P65" i="3"/>
  <c r="P64" i="3"/>
  <c r="P63" i="3"/>
  <c r="P62" i="3"/>
  <c r="P61" i="3"/>
  <c r="P60" i="3"/>
  <c r="P59" i="3"/>
  <c r="P58" i="3"/>
  <c r="P57" i="3"/>
  <c r="P56" i="3"/>
  <c r="P55" i="3"/>
  <c r="P54" i="3"/>
  <c r="P53" i="3"/>
  <c r="P52" i="3"/>
  <c r="P51" i="3"/>
  <c r="P50" i="3"/>
  <c r="P49" i="3"/>
  <c r="P48" i="3"/>
  <c r="P47" i="3"/>
  <c r="P46" i="3"/>
  <c r="P45" i="3"/>
  <c r="P44" i="3"/>
  <c r="P43" i="3"/>
  <c r="P42" i="3"/>
  <c r="P41" i="3"/>
  <c r="P40" i="3"/>
  <c r="P39" i="3"/>
  <c r="P38" i="3"/>
  <c r="P37" i="3"/>
  <c r="P36" i="3"/>
  <c r="P35" i="3"/>
  <c r="P34" i="3"/>
  <c r="P33" i="3"/>
  <c r="P32" i="3"/>
  <c r="P31" i="3"/>
  <c r="P30" i="3"/>
  <c r="P29" i="3"/>
  <c r="P28" i="3"/>
  <c r="P27" i="3"/>
  <c r="P26" i="3"/>
  <c r="P25" i="3"/>
  <c r="P24" i="3"/>
  <c r="P23" i="3"/>
  <c r="P22" i="3"/>
  <c r="P21" i="3"/>
  <c r="P20" i="3"/>
  <c r="P19" i="3"/>
  <c r="P18" i="3"/>
  <c r="P17" i="3"/>
  <c r="P16" i="3"/>
  <c r="P15" i="3"/>
  <c r="P14" i="3"/>
  <c r="P13" i="3"/>
  <c r="P12" i="3"/>
  <c r="P11" i="3"/>
  <c r="P10" i="3"/>
  <c r="P9" i="3"/>
  <c r="P8" i="3"/>
  <c r="P7" i="3"/>
  <c r="P6" i="3"/>
  <c r="P5" i="3"/>
  <c r="P4" i="3"/>
  <c r="P3" i="3"/>
  <c r="P2" i="3"/>
  <c r="V501" i="2"/>
  <c r="T501" i="2"/>
  <c r="R501" i="2" a="1"/>
  <c r="R501" i="2"/>
  <c r="Q501" i="2"/>
  <c r="O501" i="2"/>
  <c r="M501" i="2"/>
  <c r="J501" i="2"/>
  <c r="W501" i="2" s="1"/>
  <c r="X501" i="2" s="1"/>
  <c r="H501" i="2"/>
  <c r="E501" i="2"/>
  <c r="C501" i="2"/>
  <c r="V500" i="2"/>
  <c r="T500" i="2"/>
  <c r="R500" i="2" a="1"/>
  <c r="R500" i="2"/>
  <c r="Q500" i="2"/>
  <c r="O500" i="2"/>
  <c r="M500" i="2"/>
  <c r="J500" i="2"/>
  <c r="W500" i="2" s="1"/>
  <c r="X500" i="2" s="1"/>
  <c r="H500" i="2"/>
  <c r="E500" i="2"/>
  <c r="C500" i="2"/>
  <c r="V499" i="2"/>
  <c r="T499" i="2"/>
  <c r="Q499" i="2"/>
  <c r="R499" i="2" s="1" a="1"/>
  <c r="R499" i="2" s="1"/>
  <c r="O499" i="2"/>
  <c r="M499" i="2"/>
  <c r="J499" i="2"/>
  <c r="W499" i="2" s="1"/>
  <c r="X499" i="2" s="1"/>
  <c r="H499" i="2"/>
  <c r="E499" i="2"/>
  <c r="C499" i="2"/>
  <c r="V498" i="2"/>
  <c r="T498" i="2"/>
  <c r="Q498" i="2"/>
  <c r="R498" i="2" s="1" a="1"/>
  <c r="R498" i="2" s="1"/>
  <c r="O498" i="2"/>
  <c r="M498" i="2"/>
  <c r="J498" i="2"/>
  <c r="W498" i="2" s="1"/>
  <c r="X498" i="2" s="1"/>
  <c r="H498" i="2"/>
  <c r="E498" i="2"/>
  <c r="C498" i="2"/>
  <c r="V497" i="2"/>
  <c r="T497" i="2"/>
  <c r="Q497" i="2"/>
  <c r="R497" i="2" s="1" a="1"/>
  <c r="R497" i="2" s="1"/>
  <c r="O497" i="2"/>
  <c r="M497" i="2"/>
  <c r="J497" i="2"/>
  <c r="W497" i="2" s="1"/>
  <c r="X497" i="2" s="1"/>
  <c r="H497" i="2"/>
  <c r="E497" i="2"/>
  <c r="C497" i="2"/>
  <c r="W496" i="2"/>
  <c r="X496" i="2" s="1"/>
  <c r="V496" i="2"/>
  <c r="T496" i="2"/>
  <c r="Q496" i="2"/>
  <c r="R496" i="2" s="1" a="1"/>
  <c r="R496" i="2" s="1"/>
  <c r="O496" i="2"/>
  <c r="M496" i="2"/>
  <c r="J496" i="2"/>
  <c r="H496" i="2"/>
  <c r="E496" i="2"/>
  <c r="C496" i="2"/>
  <c r="X495" i="2"/>
  <c r="V495" i="2"/>
  <c r="T495" i="2"/>
  <c r="R495" i="2" a="1"/>
  <c r="R495" i="2" s="1"/>
  <c r="Q495" i="2"/>
  <c r="O495" i="2"/>
  <c r="M495" i="2"/>
  <c r="J495" i="2"/>
  <c r="W495" i="2" s="1"/>
  <c r="H495" i="2"/>
  <c r="E495" i="2"/>
  <c r="C495" i="2"/>
  <c r="V494" i="2"/>
  <c r="T494" i="2"/>
  <c r="Q494" i="2"/>
  <c r="R494" i="2" s="1" a="1"/>
  <c r="R494" i="2" s="1"/>
  <c r="O494" i="2"/>
  <c r="M494" i="2"/>
  <c r="J494" i="2"/>
  <c r="W494" i="2" s="1"/>
  <c r="X494" i="2" s="1"/>
  <c r="H494" i="2"/>
  <c r="E494" i="2"/>
  <c r="C494" i="2"/>
  <c r="V493" i="2"/>
  <c r="T493" i="2"/>
  <c r="Q493" i="2"/>
  <c r="R493" i="2" s="1" a="1"/>
  <c r="R493" i="2" s="1"/>
  <c r="O493" i="2"/>
  <c r="M493" i="2"/>
  <c r="J493" i="2"/>
  <c r="H493" i="2"/>
  <c r="E493" i="2"/>
  <c r="C493" i="2"/>
  <c r="V492" i="2"/>
  <c r="T492" i="2"/>
  <c r="R492" i="2" a="1"/>
  <c r="R492" i="2"/>
  <c r="Q492" i="2"/>
  <c r="O492" i="2"/>
  <c r="M492" i="2"/>
  <c r="J492" i="2"/>
  <c r="W492" i="2" s="1"/>
  <c r="X492" i="2" s="1"/>
  <c r="H492" i="2"/>
  <c r="E492" i="2"/>
  <c r="C492" i="2"/>
  <c r="V491" i="2"/>
  <c r="T491" i="2"/>
  <c r="R491" i="2" a="1"/>
  <c r="R491" i="2" s="1"/>
  <c r="Q491" i="2"/>
  <c r="O491" i="2"/>
  <c r="M491" i="2"/>
  <c r="J491" i="2"/>
  <c r="W491" i="2" s="1"/>
  <c r="X491" i="2" s="1"/>
  <c r="H491" i="2"/>
  <c r="E491" i="2"/>
  <c r="C491" i="2"/>
  <c r="V490" i="2"/>
  <c r="T490" i="2"/>
  <c r="Q490" i="2"/>
  <c r="R490" i="2" s="1" a="1"/>
  <c r="R490" i="2" s="1"/>
  <c r="O490" i="2"/>
  <c r="M490" i="2"/>
  <c r="J490" i="2"/>
  <c r="W490" i="2" s="1"/>
  <c r="X490" i="2" s="1"/>
  <c r="H490" i="2"/>
  <c r="E490" i="2"/>
  <c r="C490" i="2"/>
  <c r="V489" i="2"/>
  <c r="T489" i="2"/>
  <c r="Q489" i="2"/>
  <c r="R489" i="2" s="1" a="1"/>
  <c r="R489" i="2" s="1"/>
  <c r="O489" i="2"/>
  <c r="M489" i="2"/>
  <c r="J489" i="2"/>
  <c r="H489" i="2"/>
  <c r="E489" i="2"/>
  <c r="C489" i="2"/>
  <c r="V488" i="2"/>
  <c r="T488" i="2"/>
  <c r="R488" i="2" a="1"/>
  <c r="R488" i="2"/>
  <c r="Q488" i="2"/>
  <c r="O488" i="2"/>
  <c r="M488" i="2"/>
  <c r="J488" i="2"/>
  <c r="W488" i="2" s="1"/>
  <c r="X488" i="2" s="1"/>
  <c r="H488" i="2"/>
  <c r="E488" i="2"/>
  <c r="C488" i="2"/>
  <c r="X487" i="2"/>
  <c r="V487" i="2"/>
  <c r="T487" i="2"/>
  <c r="R487" i="2" a="1"/>
  <c r="R487" i="2" s="1"/>
  <c r="Q487" i="2"/>
  <c r="O487" i="2"/>
  <c r="M487" i="2"/>
  <c r="J487" i="2"/>
  <c r="W487" i="2" s="1"/>
  <c r="H487" i="2"/>
  <c r="E487" i="2"/>
  <c r="C487" i="2"/>
  <c r="V486" i="2"/>
  <c r="T486" i="2"/>
  <c r="Q486" i="2"/>
  <c r="R486" i="2" s="1" a="1"/>
  <c r="R486" i="2" s="1"/>
  <c r="O486" i="2"/>
  <c r="M486" i="2"/>
  <c r="J486" i="2"/>
  <c r="W486" i="2" s="1"/>
  <c r="X486" i="2" s="1"/>
  <c r="H486" i="2"/>
  <c r="E486" i="2"/>
  <c r="C486" i="2"/>
  <c r="V485" i="2"/>
  <c r="T485" i="2"/>
  <c r="Q485" i="2"/>
  <c r="R485" i="2" s="1" a="1"/>
  <c r="R485" i="2" s="1"/>
  <c r="O485" i="2"/>
  <c r="M485" i="2"/>
  <c r="J485" i="2"/>
  <c r="H485" i="2"/>
  <c r="E485" i="2"/>
  <c r="C485" i="2"/>
  <c r="V484" i="2"/>
  <c r="T484" i="2"/>
  <c r="R484" i="2" a="1"/>
  <c r="R484" i="2"/>
  <c r="Q484" i="2"/>
  <c r="O484" i="2"/>
  <c r="M484" i="2"/>
  <c r="J484" i="2"/>
  <c r="W484" i="2" s="1"/>
  <c r="X484" i="2" s="1"/>
  <c r="H484" i="2"/>
  <c r="E484" i="2"/>
  <c r="C484" i="2"/>
  <c r="V483" i="2"/>
  <c r="T483" i="2"/>
  <c r="R483" i="2" a="1"/>
  <c r="R483" i="2" s="1"/>
  <c r="Q483" i="2"/>
  <c r="O483" i="2"/>
  <c r="M483" i="2"/>
  <c r="J483" i="2"/>
  <c r="W483" i="2" s="1"/>
  <c r="X483" i="2" s="1"/>
  <c r="H483" i="2"/>
  <c r="E483" i="2"/>
  <c r="C483" i="2"/>
  <c r="V482" i="2"/>
  <c r="T482" i="2"/>
  <c r="Q482" i="2"/>
  <c r="R482" i="2" s="1" a="1"/>
  <c r="R482" i="2" s="1"/>
  <c r="O482" i="2"/>
  <c r="M482" i="2"/>
  <c r="J482" i="2"/>
  <c r="W482" i="2" s="1"/>
  <c r="X482" i="2" s="1"/>
  <c r="H482" i="2"/>
  <c r="E482" i="2"/>
  <c r="C482" i="2"/>
  <c r="V481" i="2"/>
  <c r="T481" i="2"/>
  <c r="Q481" i="2"/>
  <c r="R481" i="2" s="1" a="1"/>
  <c r="R481" i="2" s="1"/>
  <c r="O481" i="2"/>
  <c r="M481" i="2"/>
  <c r="J481" i="2"/>
  <c r="W481" i="2" s="1"/>
  <c r="X481" i="2" s="1"/>
  <c r="H481" i="2"/>
  <c r="E481" i="2"/>
  <c r="C481" i="2"/>
  <c r="V480" i="2"/>
  <c r="T480" i="2"/>
  <c r="R480" i="2" a="1"/>
  <c r="R480" i="2"/>
  <c r="Q480" i="2"/>
  <c r="O480" i="2"/>
  <c r="M480" i="2"/>
  <c r="J480" i="2"/>
  <c r="W480" i="2" s="1"/>
  <c r="X480" i="2" s="1"/>
  <c r="H480" i="2"/>
  <c r="E480" i="2"/>
  <c r="C480" i="2"/>
  <c r="X479" i="2"/>
  <c r="V479" i="2"/>
  <c r="T479" i="2"/>
  <c r="R479" i="2" a="1"/>
  <c r="R479" i="2" s="1"/>
  <c r="Q479" i="2"/>
  <c r="O479" i="2"/>
  <c r="M479" i="2"/>
  <c r="J479" i="2"/>
  <c r="W479" i="2" s="1"/>
  <c r="H479" i="2"/>
  <c r="E479" i="2"/>
  <c r="C479" i="2"/>
  <c r="V478" i="2"/>
  <c r="T478" i="2"/>
  <c r="Q478" i="2"/>
  <c r="R478" i="2" s="1" a="1"/>
  <c r="R478" i="2" s="1"/>
  <c r="O478" i="2"/>
  <c r="M478" i="2"/>
  <c r="J478" i="2"/>
  <c r="W478" i="2" s="1"/>
  <c r="X478" i="2" s="1"/>
  <c r="H478" i="2"/>
  <c r="E478" i="2"/>
  <c r="C478" i="2"/>
  <c r="V477" i="2"/>
  <c r="T477" i="2"/>
  <c r="Q477" i="2"/>
  <c r="R477" i="2" s="1" a="1"/>
  <c r="R477" i="2" s="1"/>
  <c r="O477" i="2"/>
  <c r="M477" i="2"/>
  <c r="J477" i="2"/>
  <c r="W477" i="2" s="1"/>
  <c r="X477" i="2" s="1"/>
  <c r="H477" i="2"/>
  <c r="E477" i="2"/>
  <c r="C477" i="2"/>
  <c r="V476" i="2"/>
  <c r="T476" i="2"/>
  <c r="R476" i="2" a="1"/>
  <c r="R476" i="2"/>
  <c r="Q476" i="2"/>
  <c r="O476" i="2"/>
  <c r="M476" i="2"/>
  <c r="J476" i="2"/>
  <c r="W476" i="2" s="1"/>
  <c r="X476" i="2" s="1"/>
  <c r="H476" i="2"/>
  <c r="E476" i="2"/>
  <c r="C476" i="2"/>
  <c r="X475" i="2"/>
  <c r="V475" i="2"/>
  <c r="T475" i="2"/>
  <c r="R475" i="2" a="1"/>
  <c r="R475" i="2" s="1"/>
  <c r="Q475" i="2"/>
  <c r="O475" i="2"/>
  <c r="M475" i="2"/>
  <c r="J475" i="2"/>
  <c r="W475" i="2" s="1"/>
  <c r="H475" i="2"/>
  <c r="E475" i="2"/>
  <c r="C475" i="2"/>
  <c r="V474" i="2"/>
  <c r="T474" i="2"/>
  <c r="Q474" i="2"/>
  <c r="R474" i="2" s="1" a="1"/>
  <c r="R474" i="2" s="1"/>
  <c r="O474" i="2"/>
  <c r="M474" i="2"/>
  <c r="J474" i="2"/>
  <c r="W474" i="2" s="1"/>
  <c r="X474" i="2" s="1"/>
  <c r="H474" i="2"/>
  <c r="E474" i="2"/>
  <c r="C474" i="2"/>
  <c r="V473" i="2"/>
  <c r="T473" i="2"/>
  <c r="Q473" i="2"/>
  <c r="R473" i="2" s="1" a="1"/>
  <c r="R473" i="2" s="1"/>
  <c r="O473" i="2"/>
  <c r="M473" i="2"/>
  <c r="J473" i="2"/>
  <c r="W473" i="2" s="1"/>
  <c r="X473" i="2" s="1"/>
  <c r="H473" i="2"/>
  <c r="E473" i="2"/>
  <c r="C473" i="2"/>
  <c r="V472" i="2"/>
  <c r="T472" i="2"/>
  <c r="R472" i="2" a="1"/>
  <c r="R472" i="2"/>
  <c r="Q472" i="2"/>
  <c r="O472" i="2"/>
  <c r="M472" i="2"/>
  <c r="J472" i="2"/>
  <c r="W472" i="2" s="1"/>
  <c r="X472" i="2" s="1"/>
  <c r="H472" i="2"/>
  <c r="E472" i="2"/>
  <c r="C472" i="2"/>
  <c r="V471" i="2"/>
  <c r="T471" i="2"/>
  <c r="R471" i="2" a="1"/>
  <c r="R471" i="2" s="1"/>
  <c r="Q471" i="2"/>
  <c r="O471" i="2"/>
  <c r="M471" i="2"/>
  <c r="J471" i="2"/>
  <c r="W471" i="2" s="1"/>
  <c r="X471" i="2" s="1"/>
  <c r="H471" i="2"/>
  <c r="E471" i="2"/>
  <c r="C471" i="2"/>
  <c r="V470" i="2"/>
  <c r="T470" i="2"/>
  <c r="Q470" i="2"/>
  <c r="R470" i="2" s="1" a="1"/>
  <c r="R470" i="2" s="1"/>
  <c r="O470" i="2"/>
  <c r="M470" i="2"/>
  <c r="J470" i="2"/>
  <c r="W470" i="2" s="1"/>
  <c r="X470" i="2" s="1"/>
  <c r="H470" i="2"/>
  <c r="E470" i="2"/>
  <c r="C470" i="2"/>
  <c r="V469" i="2"/>
  <c r="T469" i="2"/>
  <c r="Q469" i="2"/>
  <c r="R469" i="2" s="1" a="1"/>
  <c r="R469" i="2" s="1"/>
  <c r="O469" i="2"/>
  <c r="M469" i="2"/>
  <c r="J469" i="2"/>
  <c r="H469" i="2"/>
  <c r="E469" i="2"/>
  <c r="C469" i="2"/>
  <c r="V468" i="2"/>
  <c r="T468" i="2"/>
  <c r="R468" i="2" a="1"/>
  <c r="R468" i="2"/>
  <c r="Q468" i="2"/>
  <c r="O468" i="2"/>
  <c r="M468" i="2"/>
  <c r="J468" i="2"/>
  <c r="W468" i="2" s="1"/>
  <c r="X468" i="2" s="1"/>
  <c r="H468" i="2"/>
  <c r="E468" i="2"/>
  <c r="C468" i="2"/>
  <c r="V467" i="2"/>
  <c r="T467" i="2"/>
  <c r="R467" i="2" a="1"/>
  <c r="R467" i="2" s="1"/>
  <c r="Q467" i="2"/>
  <c r="O467" i="2"/>
  <c r="M467" i="2"/>
  <c r="J467" i="2"/>
  <c r="W467" i="2" s="1"/>
  <c r="X467" i="2" s="1"/>
  <c r="H467" i="2"/>
  <c r="E467" i="2"/>
  <c r="C467" i="2"/>
  <c r="V466" i="2"/>
  <c r="T466" i="2"/>
  <c r="Q466" i="2"/>
  <c r="R466" i="2" s="1" a="1"/>
  <c r="R466" i="2" s="1"/>
  <c r="O466" i="2"/>
  <c r="M466" i="2"/>
  <c r="J466" i="2"/>
  <c r="W466" i="2" s="1"/>
  <c r="X466" i="2" s="1"/>
  <c r="H466" i="2"/>
  <c r="E466" i="2"/>
  <c r="C466" i="2"/>
  <c r="V465" i="2"/>
  <c r="T465" i="2"/>
  <c r="Q465" i="2"/>
  <c r="R465" i="2" s="1" a="1"/>
  <c r="R465" i="2" s="1"/>
  <c r="O465" i="2"/>
  <c r="M465" i="2"/>
  <c r="J465" i="2"/>
  <c r="H465" i="2"/>
  <c r="E465" i="2"/>
  <c r="C465" i="2"/>
  <c r="V464" i="2"/>
  <c r="T464" i="2"/>
  <c r="R464" i="2" a="1"/>
  <c r="R464" i="2"/>
  <c r="Q464" i="2"/>
  <c r="O464" i="2"/>
  <c r="M464" i="2"/>
  <c r="J464" i="2"/>
  <c r="W464" i="2" s="1"/>
  <c r="X464" i="2" s="1"/>
  <c r="H464" i="2"/>
  <c r="E464" i="2"/>
  <c r="C464" i="2"/>
  <c r="V463" i="2"/>
  <c r="T463" i="2"/>
  <c r="R463" i="2" a="1"/>
  <c r="R463" i="2" s="1"/>
  <c r="Q463" i="2"/>
  <c r="O463" i="2"/>
  <c r="M463" i="2"/>
  <c r="J463" i="2"/>
  <c r="W463" i="2" s="1"/>
  <c r="X463" i="2" s="1"/>
  <c r="H463" i="2"/>
  <c r="E463" i="2"/>
  <c r="C463" i="2"/>
  <c r="V462" i="2"/>
  <c r="T462" i="2"/>
  <c r="Q462" i="2"/>
  <c r="R462" i="2" s="1" a="1"/>
  <c r="R462" i="2" s="1"/>
  <c r="O462" i="2"/>
  <c r="M462" i="2"/>
  <c r="J462" i="2"/>
  <c r="W462" i="2" s="1"/>
  <c r="X462" i="2" s="1"/>
  <c r="H462" i="2"/>
  <c r="E462" i="2"/>
  <c r="C462" i="2"/>
  <c r="V461" i="2"/>
  <c r="T461" i="2"/>
  <c r="Q461" i="2"/>
  <c r="R461" i="2" s="1" a="1"/>
  <c r="R461" i="2" s="1"/>
  <c r="O461" i="2"/>
  <c r="M461" i="2"/>
  <c r="J461" i="2"/>
  <c r="H461" i="2"/>
  <c r="E461" i="2"/>
  <c r="C461" i="2"/>
  <c r="V460" i="2"/>
  <c r="T460" i="2"/>
  <c r="R460" i="2" a="1"/>
  <c r="R460" i="2"/>
  <c r="Q460" i="2"/>
  <c r="O460" i="2"/>
  <c r="M460" i="2"/>
  <c r="J460" i="2"/>
  <c r="W460" i="2" s="1"/>
  <c r="X460" i="2" s="1"/>
  <c r="H460" i="2"/>
  <c r="E460" i="2"/>
  <c r="C460" i="2"/>
  <c r="V459" i="2"/>
  <c r="T459" i="2"/>
  <c r="R459" i="2" a="1"/>
  <c r="R459" i="2" s="1"/>
  <c r="Q459" i="2"/>
  <c r="O459" i="2"/>
  <c r="M459" i="2"/>
  <c r="J459" i="2"/>
  <c r="W459" i="2" s="1"/>
  <c r="X459" i="2" s="1"/>
  <c r="H459" i="2"/>
  <c r="E459" i="2"/>
  <c r="C459" i="2"/>
  <c r="V458" i="2"/>
  <c r="T458" i="2"/>
  <c r="Q458" i="2"/>
  <c r="R458" i="2" s="1" a="1"/>
  <c r="R458" i="2" s="1"/>
  <c r="O458" i="2"/>
  <c r="M458" i="2"/>
  <c r="J458" i="2"/>
  <c r="W458" i="2" s="1"/>
  <c r="X458" i="2" s="1"/>
  <c r="H458" i="2"/>
  <c r="E458" i="2"/>
  <c r="C458" i="2"/>
  <c r="V457" i="2"/>
  <c r="T457" i="2"/>
  <c r="Q457" i="2"/>
  <c r="R457" i="2" s="1" a="1"/>
  <c r="R457" i="2" s="1"/>
  <c r="O457" i="2"/>
  <c r="M457" i="2"/>
  <c r="J457" i="2"/>
  <c r="H457" i="2"/>
  <c r="E457" i="2"/>
  <c r="C457" i="2"/>
  <c r="V456" i="2"/>
  <c r="T456" i="2"/>
  <c r="R456" i="2" a="1"/>
  <c r="R456" i="2"/>
  <c r="Q456" i="2"/>
  <c r="O456" i="2"/>
  <c r="M456" i="2"/>
  <c r="J456" i="2"/>
  <c r="W456" i="2" s="1"/>
  <c r="X456" i="2" s="1"/>
  <c r="H456" i="2"/>
  <c r="E456" i="2"/>
  <c r="C456" i="2"/>
  <c r="X455" i="2"/>
  <c r="V455" i="2"/>
  <c r="T455" i="2"/>
  <c r="R455" i="2" a="1"/>
  <c r="R455" i="2" s="1"/>
  <c r="Q455" i="2"/>
  <c r="O455" i="2"/>
  <c r="M455" i="2"/>
  <c r="J455" i="2"/>
  <c r="W455" i="2" s="1"/>
  <c r="H455" i="2"/>
  <c r="E455" i="2"/>
  <c r="C455" i="2"/>
  <c r="V454" i="2"/>
  <c r="T454" i="2"/>
  <c r="Q454" i="2"/>
  <c r="R454" i="2" s="1" a="1"/>
  <c r="R454" i="2" s="1"/>
  <c r="O454" i="2"/>
  <c r="M454" i="2"/>
  <c r="J454" i="2"/>
  <c r="W454" i="2" s="1"/>
  <c r="X454" i="2" s="1"/>
  <c r="H454" i="2"/>
  <c r="E454" i="2"/>
  <c r="C454" i="2"/>
  <c r="V453" i="2"/>
  <c r="T453" i="2"/>
  <c r="Q453" i="2"/>
  <c r="R453" i="2" s="1" a="1"/>
  <c r="R453" i="2" s="1"/>
  <c r="O453" i="2"/>
  <c r="M453" i="2"/>
  <c r="J453" i="2"/>
  <c r="H453" i="2"/>
  <c r="E453" i="2"/>
  <c r="C453" i="2"/>
  <c r="V452" i="2"/>
  <c r="T452" i="2"/>
  <c r="R452" i="2" a="1"/>
  <c r="R452" i="2"/>
  <c r="Q452" i="2"/>
  <c r="O452" i="2"/>
  <c r="M452" i="2"/>
  <c r="J452" i="2"/>
  <c r="W452" i="2" s="1"/>
  <c r="X452" i="2" s="1"/>
  <c r="H452" i="2"/>
  <c r="E452" i="2"/>
  <c r="C452" i="2"/>
  <c r="V451" i="2"/>
  <c r="T451" i="2"/>
  <c r="R451" i="2" a="1"/>
  <c r="R451" i="2" s="1"/>
  <c r="Q451" i="2"/>
  <c r="O451" i="2"/>
  <c r="M451" i="2"/>
  <c r="J451" i="2"/>
  <c r="W451" i="2" s="1"/>
  <c r="X451" i="2" s="1"/>
  <c r="H451" i="2"/>
  <c r="E451" i="2"/>
  <c r="C451" i="2"/>
  <c r="V450" i="2"/>
  <c r="T450" i="2"/>
  <c r="Q450" i="2"/>
  <c r="R450" i="2" s="1" a="1"/>
  <c r="R450" i="2" s="1"/>
  <c r="O450" i="2"/>
  <c r="M450" i="2"/>
  <c r="J450" i="2"/>
  <c r="W450" i="2" s="1"/>
  <c r="X450" i="2" s="1"/>
  <c r="H450" i="2"/>
  <c r="E450" i="2"/>
  <c r="C450" i="2"/>
  <c r="V449" i="2"/>
  <c r="T449" i="2"/>
  <c r="Q449" i="2"/>
  <c r="R449" i="2" s="1" a="1"/>
  <c r="R449" i="2" s="1"/>
  <c r="O449" i="2"/>
  <c r="M449" i="2"/>
  <c r="J449" i="2"/>
  <c r="W449" i="2" s="1"/>
  <c r="X449" i="2" s="1"/>
  <c r="H449" i="2"/>
  <c r="E449" i="2"/>
  <c r="C449" i="2"/>
  <c r="V448" i="2"/>
  <c r="T448" i="2"/>
  <c r="R448" i="2" a="1"/>
  <c r="R448" i="2"/>
  <c r="Q448" i="2"/>
  <c r="O448" i="2"/>
  <c r="M448" i="2"/>
  <c r="J448" i="2"/>
  <c r="W448" i="2" s="1"/>
  <c r="X448" i="2" s="1"/>
  <c r="H448" i="2"/>
  <c r="E448" i="2"/>
  <c r="C448" i="2"/>
  <c r="X447" i="2"/>
  <c r="V447" i="2"/>
  <c r="T447" i="2"/>
  <c r="R447" i="2" a="1"/>
  <c r="R447" i="2" s="1"/>
  <c r="Q447" i="2"/>
  <c r="O447" i="2"/>
  <c r="M447" i="2"/>
  <c r="J447" i="2"/>
  <c r="W447" i="2" s="1"/>
  <c r="H447" i="2"/>
  <c r="E447" i="2"/>
  <c r="C447" i="2"/>
  <c r="V446" i="2"/>
  <c r="T446" i="2"/>
  <c r="Q446" i="2"/>
  <c r="R446" i="2" s="1" a="1"/>
  <c r="R446" i="2" s="1"/>
  <c r="O446" i="2"/>
  <c r="M446" i="2"/>
  <c r="J446" i="2"/>
  <c r="W446" i="2" s="1"/>
  <c r="X446" i="2" s="1"/>
  <c r="H446" i="2"/>
  <c r="E446" i="2"/>
  <c r="C446" i="2"/>
  <c r="V445" i="2"/>
  <c r="T445" i="2"/>
  <c r="Q445" i="2"/>
  <c r="R445" i="2" s="1" a="1"/>
  <c r="R445" i="2" s="1"/>
  <c r="O445" i="2"/>
  <c r="M445" i="2"/>
  <c r="J445" i="2"/>
  <c r="W445" i="2" s="1"/>
  <c r="X445" i="2" s="1"/>
  <c r="H445" i="2"/>
  <c r="E445" i="2"/>
  <c r="C445" i="2"/>
  <c r="V444" i="2"/>
  <c r="T444" i="2"/>
  <c r="R444" i="2" a="1"/>
  <c r="R444" i="2"/>
  <c r="Q444" i="2"/>
  <c r="O444" i="2"/>
  <c r="M444" i="2"/>
  <c r="J444" i="2"/>
  <c r="W444" i="2" s="1"/>
  <c r="X444" i="2" s="1"/>
  <c r="H444" i="2"/>
  <c r="E444" i="2"/>
  <c r="C444" i="2"/>
  <c r="X443" i="2"/>
  <c r="V443" i="2"/>
  <c r="T443" i="2"/>
  <c r="R443" i="2" a="1"/>
  <c r="R443" i="2" s="1"/>
  <c r="Q443" i="2"/>
  <c r="O443" i="2"/>
  <c r="M443" i="2"/>
  <c r="J443" i="2"/>
  <c r="W443" i="2" s="1"/>
  <c r="H443" i="2"/>
  <c r="E443" i="2"/>
  <c r="C443" i="2"/>
  <c r="V442" i="2"/>
  <c r="T442" i="2"/>
  <c r="Q442" i="2"/>
  <c r="R442" i="2" s="1" a="1"/>
  <c r="R442" i="2" s="1"/>
  <c r="O442" i="2"/>
  <c r="M442" i="2"/>
  <c r="J442" i="2"/>
  <c r="W442" i="2" s="1"/>
  <c r="X442" i="2" s="1"/>
  <c r="H442" i="2"/>
  <c r="E442" i="2"/>
  <c r="C442" i="2"/>
  <c r="V441" i="2"/>
  <c r="T441" i="2"/>
  <c r="Q441" i="2"/>
  <c r="R441" i="2" s="1" a="1"/>
  <c r="R441" i="2" s="1"/>
  <c r="O441" i="2"/>
  <c r="M441" i="2"/>
  <c r="J441" i="2"/>
  <c r="W441" i="2" s="1"/>
  <c r="X441" i="2" s="1"/>
  <c r="H441" i="2"/>
  <c r="E441" i="2"/>
  <c r="C441" i="2"/>
  <c r="V440" i="2"/>
  <c r="T440" i="2"/>
  <c r="R440" i="2" a="1"/>
  <c r="R440" i="2"/>
  <c r="Q440" i="2"/>
  <c r="O440" i="2"/>
  <c r="M440" i="2"/>
  <c r="J440" i="2"/>
  <c r="W440" i="2" s="1"/>
  <c r="X440" i="2" s="1"/>
  <c r="H440" i="2"/>
  <c r="E440" i="2"/>
  <c r="C440" i="2"/>
  <c r="V439" i="2"/>
  <c r="T439" i="2"/>
  <c r="R439" i="2" a="1"/>
  <c r="R439" i="2" s="1"/>
  <c r="Q439" i="2"/>
  <c r="O439" i="2"/>
  <c r="M439" i="2"/>
  <c r="J439" i="2"/>
  <c r="W439" i="2" s="1"/>
  <c r="X439" i="2" s="1"/>
  <c r="H439" i="2"/>
  <c r="E439" i="2"/>
  <c r="C439" i="2"/>
  <c r="V438" i="2"/>
  <c r="T438" i="2"/>
  <c r="Q438" i="2"/>
  <c r="R438" i="2" s="1" a="1"/>
  <c r="R438" i="2" s="1"/>
  <c r="O438" i="2"/>
  <c r="M438" i="2"/>
  <c r="J438" i="2"/>
  <c r="W438" i="2" s="1"/>
  <c r="X438" i="2" s="1"/>
  <c r="H438" i="2"/>
  <c r="E438" i="2"/>
  <c r="C438" i="2"/>
  <c r="V437" i="2"/>
  <c r="T437" i="2"/>
  <c r="Q437" i="2"/>
  <c r="R437" i="2" s="1" a="1"/>
  <c r="R437" i="2" s="1"/>
  <c r="O437" i="2"/>
  <c r="M437" i="2"/>
  <c r="J437" i="2"/>
  <c r="H437" i="2"/>
  <c r="E437" i="2"/>
  <c r="C437" i="2"/>
  <c r="V436" i="2"/>
  <c r="T436" i="2"/>
  <c r="R436" i="2" a="1"/>
  <c r="R436" i="2"/>
  <c r="Q436" i="2"/>
  <c r="O436" i="2"/>
  <c r="M436" i="2"/>
  <c r="J436" i="2"/>
  <c r="W436" i="2" s="1"/>
  <c r="X436" i="2" s="1"/>
  <c r="H436" i="2"/>
  <c r="E436" i="2"/>
  <c r="C436" i="2"/>
  <c r="V435" i="2"/>
  <c r="T435" i="2"/>
  <c r="R435" i="2" a="1"/>
  <c r="R435" i="2" s="1"/>
  <c r="Q435" i="2"/>
  <c r="O435" i="2"/>
  <c r="M435" i="2"/>
  <c r="J435" i="2"/>
  <c r="W435" i="2" s="1"/>
  <c r="X435" i="2" s="1"/>
  <c r="H435" i="2"/>
  <c r="E435" i="2"/>
  <c r="C435" i="2"/>
  <c r="V434" i="2"/>
  <c r="T434" i="2"/>
  <c r="Q434" i="2"/>
  <c r="R434" i="2" s="1" a="1"/>
  <c r="R434" i="2" s="1"/>
  <c r="O434" i="2"/>
  <c r="M434" i="2"/>
  <c r="J434" i="2"/>
  <c r="W434" i="2" s="1"/>
  <c r="X434" i="2" s="1"/>
  <c r="H434" i="2"/>
  <c r="E434" i="2"/>
  <c r="C434" i="2"/>
  <c r="V433" i="2"/>
  <c r="T433" i="2"/>
  <c r="Q433" i="2"/>
  <c r="R433" i="2" s="1" a="1"/>
  <c r="R433" i="2" s="1"/>
  <c r="O433" i="2"/>
  <c r="M433" i="2"/>
  <c r="J433" i="2"/>
  <c r="H433" i="2"/>
  <c r="E433" i="2"/>
  <c r="C433" i="2"/>
  <c r="V432" i="2"/>
  <c r="T432" i="2"/>
  <c r="R432" i="2" a="1"/>
  <c r="R432" i="2"/>
  <c r="Q432" i="2"/>
  <c r="O432" i="2"/>
  <c r="M432" i="2"/>
  <c r="J432" i="2"/>
  <c r="W432" i="2" s="1"/>
  <c r="X432" i="2" s="1"/>
  <c r="H432" i="2"/>
  <c r="E432" i="2"/>
  <c r="C432" i="2"/>
  <c r="V431" i="2"/>
  <c r="T431" i="2"/>
  <c r="R431" i="2" a="1"/>
  <c r="R431" i="2" s="1"/>
  <c r="Q431" i="2"/>
  <c r="O431" i="2"/>
  <c r="M431" i="2"/>
  <c r="J431" i="2"/>
  <c r="W431" i="2" s="1"/>
  <c r="X431" i="2" s="1"/>
  <c r="H431" i="2"/>
  <c r="E431" i="2"/>
  <c r="C431" i="2"/>
  <c r="V430" i="2"/>
  <c r="T430" i="2"/>
  <c r="Q430" i="2"/>
  <c r="R430" i="2" s="1" a="1"/>
  <c r="R430" i="2" s="1"/>
  <c r="O430" i="2"/>
  <c r="M430" i="2"/>
  <c r="J430" i="2"/>
  <c r="W430" i="2" s="1"/>
  <c r="X430" i="2" s="1"/>
  <c r="H430" i="2"/>
  <c r="E430" i="2"/>
  <c r="C430" i="2"/>
  <c r="V429" i="2"/>
  <c r="T429" i="2"/>
  <c r="Q429" i="2"/>
  <c r="R429" i="2" s="1" a="1"/>
  <c r="R429" i="2" s="1"/>
  <c r="O429" i="2"/>
  <c r="M429" i="2"/>
  <c r="J429" i="2"/>
  <c r="H429" i="2"/>
  <c r="E429" i="2"/>
  <c r="C429" i="2"/>
  <c r="V428" i="2"/>
  <c r="T428" i="2"/>
  <c r="R428" i="2" a="1"/>
  <c r="R428" i="2"/>
  <c r="Q428" i="2"/>
  <c r="O428" i="2"/>
  <c r="M428" i="2"/>
  <c r="J428" i="2"/>
  <c r="W428" i="2" s="1"/>
  <c r="X428" i="2" s="1"/>
  <c r="H428" i="2"/>
  <c r="E428" i="2"/>
  <c r="C428" i="2"/>
  <c r="V427" i="2"/>
  <c r="T427" i="2"/>
  <c r="R427" i="2" a="1"/>
  <c r="R427" i="2" s="1"/>
  <c r="Q427" i="2"/>
  <c r="O427" i="2"/>
  <c r="M427" i="2"/>
  <c r="J427" i="2"/>
  <c r="W427" i="2" s="1"/>
  <c r="X427" i="2" s="1"/>
  <c r="H427" i="2"/>
  <c r="E427" i="2"/>
  <c r="C427" i="2"/>
  <c r="V426" i="2"/>
  <c r="T426" i="2"/>
  <c r="Q426" i="2"/>
  <c r="R426" i="2" s="1" a="1"/>
  <c r="R426" i="2" s="1"/>
  <c r="O426" i="2"/>
  <c r="M426" i="2"/>
  <c r="J426" i="2"/>
  <c r="W426" i="2" s="1"/>
  <c r="X426" i="2" s="1"/>
  <c r="H426" i="2"/>
  <c r="E426" i="2"/>
  <c r="C426" i="2"/>
  <c r="V425" i="2"/>
  <c r="T425" i="2"/>
  <c r="Q425" i="2"/>
  <c r="R425" i="2" s="1" a="1"/>
  <c r="R425" i="2" s="1"/>
  <c r="O425" i="2"/>
  <c r="M425" i="2"/>
  <c r="J425" i="2"/>
  <c r="H425" i="2"/>
  <c r="E425" i="2"/>
  <c r="C425" i="2"/>
  <c r="V424" i="2"/>
  <c r="T424" i="2"/>
  <c r="R424" i="2" a="1"/>
  <c r="R424" i="2"/>
  <c r="Q424" i="2"/>
  <c r="O424" i="2"/>
  <c r="M424" i="2"/>
  <c r="J424" i="2"/>
  <c r="W424" i="2" s="1"/>
  <c r="X424" i="2" s="1"/>
  <c r="H424" i="2"/>
  <c r="E424" i="2"/>
  <c r="C424" i="2"/>
  <c r="X423" i="2"/>
  <c r="V423" i="2"/>
  <c r="T423" i="2"/>
  <c r="R423" i="2" a="1"/>
  <c r="R423" i="2" s="1"/>
  <c r="Q423" i="2"/>
  <c r="O423" i="2"/>
  <c r="M423" i="2"/>
  <c r="J423" i="2"/>
  <c r="W423" i="2" s="1"/>
  <c r="H423" i="2"/>
  <c r="E423" i="2"/>
  <c r="C423" i="2"/>
  <c r="V422" i="2"/>
  <c r="T422" i="2"/>
  <c r="Q422" i="2"/>
  <c r="R422" i="2" s="1" a="1"/>
  <c r="R422" i="2" s="1"/>
  <c r="O422" i="2"/>
  <c r="M422" i="2"/>
  <c r="J422" i="2"/>
  <c r="W422" i="2" s="1"/>
  <c r="X422" i="2" s="1"/>
  <c r="H422" i="2"/>
  <c r="E422" i="2"/>
  <c r="C422" i="2"/>
  <c r="V421" i="2"/>
  <c r="T421" i="2"/>
  <c r="Q421" i="2"/>
  <c r="R421" i="2" s="1" a="1"/>
  <c r="R421" i="2" s="1"/>
  <c r="O421" i="2"/>
  <c r="M421" i="2"/>
  <c r="J421" i="2"/>
  <c r="H421" i="2"/>
  <c r="E421" i="2"/>
  <c r="C421" i="2"/>
  <c r="V420" i="2"/>
  <c r="T420" i="2"/>
  <c r="R420" i="2" a="1"/>
  <c r="R420" i="2"/>
  <c r="Q420" i="2"/>
  <c r="O420" i="2"/>
  <c r="M420" i="2"/>
  <c r="J420" i="2"/>
  <c r="W420" i="2" s="1"/>
  <c r="X420" i="2" s="1"/>
  <c r="H420" i="2"/>
  <c r="E420" i="2"/>
  <c r="C420" i="2"/>
  <c r="V419" i="2"/>
  <c r="T419" i="2"/>
  <c r="R419" i="2" a="1"/>
  <c r="R419" i="2" s="1"/>
  <c r="Q419" i="2"/>
  <c r="O419" i="2"/>
  <c r="M419" i="2"/>
  <c r="J419" i="2"/>
  <c r="W419" i="2" s="1"/>
  <c r="X419" i="2" s="1"/>
  <c r="H419" i="2"/>
  <c r="E419" i="2"/>
  <c r="C419" i="2"/>
  <c r="V418" i="2"/>
  <c r="T418" i="2"/>
  <c r="Q418" i="2"/>
  <c r="R418" i="2" s="1" a="1"/>
  <c r="R418" i="2" s="1"/>
  <c r="O418" i="2"/>
  <c r="M418" i="2"/>
  <c r="J418" i="2"/>
  <c r="W418" i="2" s="1"/>
  <c r="X418" i="2" s="1"/>
  <c r="H418" i="2"/>
  <c r="E418" i="2"/>
  <c r="C418" i="2"/>
  <c r="V417" i="2"/>
  <c r="T417" i="2"/>
  <c r="Q417" i="2"/>
  <c r="R417" i="2" s="1" a="1"/>
  <c r="R417" i="2" s="1"/>
  <c r="O417" i="2"/>
  <c r="M417" i="2"/>
  <c r="J417" i="2"/>
  <c r="W417" i="2" s="1"/>
  <c r="X417" i="2" s="1"/>
  <c r="H417" i="2"/>
  <c r="E417" i="2"/>
  <c r="C417" i="2"/>
  <c r="V416" i="2"/>
  <c r="T416" i="2"/>
  <c r="R416" i="2" a="1"/>
  <c r="R416" i="2"/>
  <c r="Q416" i="2"/>
  <c r="O416" i="2"/>
  <c r="M416" i="2"/>
  <c r="J416" i="2"/>
  <c r="W416" i="2" s="1"/>
  <c r="X416" i="2" s="1"/>
  <c r="H416" i="2"/>
  <c r="E416" i="2"/>
  <c r="C416" i="2"/>
  <c r="V415" i="2"/>
  <c r="T415" i="2"/>
  <c r="R415" i="2" a="1"/>
  <c r="R415" i="2" s="1"/>
  <c r="Q415" i="2"/>
  <c r="O415" i="2"/>
  <c r="M415" i="2"/>
  <c r="J415" i="2"/>
  <c r="W415" i="2" s="1"/>
  <c r="X415" i="2" s="1"/>
  <c r="H415" i="2"/>
  <c r="E415" i="2"/>
  <c r="C415" i="2"/>
  <c r="V414" i="2"/>
  <c r="T414" i="2"/>
  <c r="Q414" i="2"/>
  <c r="R414" i="2" s="1" a="1"/>
  <c r="R414" i="2" s="1"/>
  <c r="O414" i="2"/>
  <c r="M414" i="2"/>
  <c r="J414" i="2"/>
  <c r="W414" i="2" s="1"/>
  <c r="X414" i="2" s="1"/>
  <c r="H414" i="2"/>
  <c r="E414" i="2"/>
  <c r="C414" i="2"/>
  <c r="V413" i="2"/>
  <c r="T413" i="2"/>
  <c r="Q413" i="2"/>
  <c r="R413" i="2" s="1" a="1"/>
  <c r="R413" i="2" s="1"/>
  <c r="O413" i="2"/>
  <c r="M413" i="2"/>
  <c r="J413" i="2"/>
  <c r="W413" i="2" s="1"/>
  <c r="X413" i="2" s="1"/>
  <c r="H413" i="2"/>
  <c r="E413" i="2"/>
  <c r="C413" i="2"/>
  <c r="V412" i="2"/>
  <c r="T412" i="2"/>
  <c r="R412" i="2" a="1"/>
  <c r="R412" i="2"/>
  <c r="Q412" i="2"/>
  <c r="O412" i="2"/>
  <c r="M412" i="2"/>
  <c r="J412" i="2"/>
  <c r="W412" i="2" s="1"/>
  <c r="X412" i="2" s="1"/>
  <c r="H412" i="2"/>
  <c r="E412" i="2"/>
  <c r="C412" i="2"/>
  <c r="X411" i="2"/>
  <c r="V411" i="2"/>
  <c r="T411" i="2"/>
  <c r="R411" i="2" a="1"/>
  <c r="R411" i="2" s="1"/>
  <c r="Q411" i="2"/>
  <c r="O411" i="2"/>
  <c r="M411" i="2"/>
  <c r="J411" i="2"/>
  <c r="W411" i="2" s="1"/>
  <c r="H411" i="2"/>
  <c r="E411" i="2"/>
  <c r="C411" i="2"/>
  <c r="V410" i="2"/>
  <c r="T410" i="2"/>
  <c r="Q410" i="2"/>
  <c r="R410" i="2" s="1" a="1"/>
  <c r="R410" i="2" s="1"/>
  <c r="O410" i="2"/>
  <c r="M410" i="2"/>
  <c r="J410" i="2"/>
  <c r="W410" i="2" s="1"/>
  <c r="X410" i="2" s="1"/>
  <c r="H410" i="2"/>
  <c r="E410" i="2"/>
  <c r="C410" i="2"/>
  <c r="V409" i="2"/>
  <c r="T409" i="2"/>
  <c r="Q409" i="2"/>
  <c r="R409" i="2" s="1" a="1"/>
  <c r="R409" i="2" s="1"/>
  <c r="O409" i="2"/>
  <c r="M409" i="2"/>
  <c r="J409" i="2"/>
  <c r="W409" i="2" s="1"/>
  <c r="X409" i="2" s="1"/>
  <c r="H409" i="2"/>
  <c r="E409" i="2"/>
  <c r="C409" i="2"/>
  <c r="V408" i="2"/>
  <c r="T408" i="2"/>
  <c r="R408" i="2" a="1"/>
  <c r="R408" i="2"/>
  <c r="Q408" i="2"/>
  <c r="O408" i="2"/>
  <c r="M408" i="2"/>
  <c r="J408" i="2"/>
  <c r="W408" i="2" s="1"/>
  <c r="X408" i="2" s="1"/>
  <c r="H408" i="2"/>
  <c r="E408" i="2"/>
  <c r="C408" i="2"/>
  <c r="V407" i="2"/>
  <c r="T407" i="2"/>
  <c r="R407" i="2" a="1"/>
  <c r="R407" i="2" s="1"/>
  <c r="Q407" i="2"/>
  <c r="O407" i="2"/>
  <c r="M407" i="2"/>
  <c r="J407" i="2"/>
  <c r="W407" i="2" s="1"/>
  <c r="X407" i="2" s="1"/>
  <c r="H407" i="2"/>
  <c r="E407" i="2"/>
  <c r="C407" i="2"/>
  <c r="V406" i="2"/>
  <c r="T406" i="2"/>
  <c r="Q406" i="2"/>
  <c r="R406" i="2" s="1" a="1"/>
  <c r="R406" i="2" s="1"/>
  <c r="O406" i="2"/>
  <c r="M406" i="2"/>
  <c r="J406" i="2"/>
  <c r="W406" i="2" s="1"/>
  <c r="X406" i="2" s="1"/>
  <c r="H406" i="2"/>
  <c r="E406" i="2"/>
  <c r="C406" i="2"/>
  <c r="W405" i="2"/>
  <c r="X405" i="2" s="1"/>
  <c r="V405" i="2"/>
  <c r="T405" i="2"/>
  <c r="Q405" i="2"/>
  <c r="R405" i="2" s="1" a="1"/>
  <c r="R405" i="2" s="1"/>
  <c r="O405" i="2"/>
  <c r="M405" i="2"/>
  <c r="J405" i="2"/>
  <c r="H405" i="2"/>
  <c r="E405" i="2"/>
  <c r="C405" i="2"/>
  <c r="V404" i="2"/>
  <c r="T404" i="2"/>
  <c r="R404" i="2" a="1"/>
  <c r="R404" i="2" s="1"/>
  <c r="Q404" i="2"/>
  <c r="O404" i="2"/>
  <c r="M404" i="2"/>
  <c r="J404" i="2"/>
  <c r="W404" i="2" s="1"/>
  <c r="X404" i="2" s="1"/>
  <c r="H404" i="2"/>
  <c r="E404" i="2"/>
  <c r="C404" i="2"/>
  <c r="V403" i="2"/>
  <c r="T403" i="2"/>
  <c r="R403" i="2" a="1"/>
  <c r="R403" i="2" s="1"/>
  <c r="Q403" i="2"/>
  <c r="O403" i="2"/>
  <c r="M403" i="2"/>
  <c r="J403" i="2"/>
  <c r="W403" i="2" s="1"/>
  <c r="X403" i="2" s="1"/>
  <c r="H403" i="2"/>
  <c r="E403" i="2"/>
  <c r="C403" i="2"/>
  <c r="V402" i="2"/>
  <c r="T402" i="2"/>
  <c r="Q402" i="2"/>
  <c r="R402" i="2" s="1" a="1"/>
  <c r="R402" i="2" s="1"/>
  <c r="O402" i="2"/>
  <c r="M402" i="2"/>
  <c r="J402" i="2"/>
  <c r="H402" i="2"/>
  <c r="E402" i="2"/>
  <c r="C402" i="2"/>
  <c r="V401" i="2"/>
  <c r="T401" i="2"/>
  <c r="R401" i="2"/>
  <c r="Q401" i="2"/>
  <c r="R401" i="2" s="1" a="1"/>
  <c r="O401" i="2"/>
  <c r="M401" i="2"/>
  <c r="J401" i="2"/>
  <c r="W401" i="2" s="1"/>
  <c r="X401" i="2" s="1"/>
  <c r="H401" i="2"/>
  <c r="E401" i="2"/>
  <c r="C401" i="2"/>
  <c r="V400" i="2"/>
  <c r="T400" i="2"/>
  <c r="R400" i="2" a="1"/>
  <c r="R400" i="2"/>
  <c r="Q400" i="2"/>
  <c r="O400" i="2"/>
  <c r="M400" i="2"/>
  <c r="J400" i="2"/>
  <c r="W400" i="2" s="1"/>
  <c r="X400" i="2" s="1"/>
  <c r="H400" i="2"/>
  <c r="E400" i="2"/>
  <c r="C400" i="2"/>
  <c r="X399" i="2"/>
  <c r="V399" i="2"/>
  <c r="T399" i="2"/>
  <c r="R399" i="2" a="1"/>
  <c r="R399" i="2" s="1"/>
  <c r="Q399" i="2"/>
  <c r="O399" i="2"/>
  <c r="M399" i="2"/>
  <c r="J399" i="2"/>
  <c r="W399" i="2" s="1"/>
  <c r="H399" i="2"/>
  <c r="E399" i="2"/>
  <c r="C399" i="2"/>
  <c r="V398" i="2"/>
  <c r="T398" i="2"/>
  <c r="Q398" i="2"/>
  <c r="R398" i="2" s="1" a="1"/>
  <c r="R398" i="2" s="1"/>
  <c r="O398" i="2"/>
  <c r="M398" i="2"/>
  <c r="J398" i="2"/>
  <c r="W398" i="2" s="1"/>
  <c r="X398" i="2" s="1"/>
  <c r="H398" i="2"/>
  <c r="E398" i="2"/>
  <c r="C398" i="2"/>
  <c r="V397" i="2"/>
  <c r="T397" i="2"/>
  <c r="Q397" i="2"/>
  <c r="R397" i="2" s="1" a="1"/>
  <c r="R397" i="2" s="1"/>
  <c r="O397" i="2"/>
  <c r="M397" i="2"/>
  <c r="J397" i="2"/>
  <c r="W397" i="2" s="1"/>
  <c r="X397" i="2" s="1"/>
  <c r="H397" i="2"/>
  <c r="E397" i="2"/>
  <c r="C397" i="2"/>
  <c r="V396" i="2"/>
  <c r="T396" i="2"/>
  <c r="R396" i="2" a="1"/>
  <c r="R396" i="2"/>
  <c r="Q396" i="2"/>
  <c r="O396" i="2"/>
  <c r="M396" i="2"/>
  <c r="J396" i="2"/>
  <c r="W396" i="2" s="1"/>
  <c r="X396" i="2" s="1"/>
  <c r="H396" i="2"/>
  <c r="E396" i="2"/>
  <c r="C396" i="2"/>
  <c r="X395" i="2"/>
  <c r="V395" i="2"/>
  <c r="T395" i="2"/>
  <c r="R395" i="2" a="1"/>
  <c r="R395" i="2" s="1"/>
  <c r="Q395" i="2"/>
  <c r="O395" i="2"/>
  <c r="M395" i="2"/>
  <c r="J395" i="2"/>
  <c r="W395" i="2" s="1"/>
  <c r="H395" i="2"/>
  <c r="E395" i="2"/>
  <c r="C395" i="2"/>
  <c r="V394" i="2"/>
  <c r="T394" i="2"/>
  <c r="Q394" i="2"/>
  <c r="R394" i="2" s="1" a="1"/>
  <c r="R394" i="2" s="1"/>
  <c r="O394" i="2"/>
  <c r="M394" i="2"/>
  <c r="J394" i="2"/>
  <c r="W394" i="2" s="1"/>
  <c r="X394" i="2" s="1"/>
  <c r="H394" i="2"/>
  <c r="E394" i="2"/>
  <c r="C394" i="2"/>
  <c r="V393" i="2"/>
  <c r="T393" i="2"/>
  <c r="R393" i="2"/>
  <c r="Q393" i="2"/>
  <c r="R393" i="2" s="1" a="1"/>
  <c r="O393" i="2"/>
  <c r="M393" i="2"/>
  <c r="J393" i="2"/>
  <c r="W393" i="2" s="1"/>
  <c r="X393" i="2" s="1"/>
  <c r="H393" i="2"/>
  <c r="E393" i="2"/>
  <c r="C393" i="2"/>
  <c r="V392" i="2"/>
  <c r="T392" i="2"/>
  <c r="R392" i="2" a="1"/>
  <c r="R392" i="2"/>
  <c r="Q392" i="2"/>
  <c r="O392" i="2"/>
  <c r="M392" i="2"/>
  <c r="J392" i="2"/>
  <c r="W392" i="2" s="1"/>
  <c r="X392" i="2" s="1"/>
  <c r="H392" i="2"/>
  <c r="E392" i="2"/>
  <c r="C392" i="2"/>
  <c r="V391" i="2"/>
  <c r="T391" i="2"/>
  <c r="R391" i="2" a="1"/>
  <c r="R391" i="2" s="1"/>
  <c r="Q391" i="2"/>
  <c r="O391" i="2"/>
  <c r="M391" i="2"/>
  <c r="J391" i="2"/>
  <c r="W391" i="2" s="1"/>
  <c r="X391" i="2" s="1"/>
  <c r="H391" i="2"/>
  <c r="E391" i="2"/>
  <c r="C391" i="2"/>
  <c r="V390" i="2"/>
  <c r="T390" i="2"/>
  <c r="Q390" i="2"/>
  <c r="R390" i="2" s="1" a="1"/>
  <c r="R390" i="2" s="1"/>
  <c r="O390" i="2"/>
  <c r="M390" i="2"/>
  <c r="J390" i="2"/>
  <c r="W390" i="2" s="1"/>
  <c r="X390" i="2" s="1"/>
  <c r="H390" i="2"/>
  <c r="E390" i="2"/>
  <c r="C390" i="2"/>
  <c r="V389" i="2"/>
  <c r="T389" i="2"/>
  <c r="Q389" i="2"/>
  <c r="R389" i="2" s="1" a="1"/>
  <c r="R389" i="2" s="1"/>
  <c r="O389" i="2"/>
  <c r="M389" i="2"/>
  <c r="J389" i="2"/>
  <c r="H389" i="2"/>
  <c r="E389" i="2"/>
  <c r="C389" i="2"/>
  <c r="V388" i="2"/>
  <c r="T388" i="2"/>
  <c r="R388" i="2" a="1"/>
  <c r="R388" i="2"/>
  <c r="Q388" i="2"/>
  <c r="O388" i="2"/>
  <c r="M388" i="2"/>
  <c r="J388" i="2"/>
  <c r="W388" i="2" s="1"/>
  <c r="X388" i="2" s="1"/>
  <c r="H388" i="2"/>
  <c r="E388" i="2"/>
  <c r="C388" i="2"/>
  <c r="X387" i="2"/>
  <c r="V387" i="2"/>
  <c r="T387" i="2"/>
  <c r="R387" i="2" a="1"/>
  <c r="R387" i="2" s="1"/>
  <c r="Q387" i="2"/>
  <c r="O387" i="2"/>
  <c r="M387" i="2"/>
  <c r="J387" i="2"/>
  <c r="W387" i="2" s="1"/>
  <c r="H387" i="2"/>
  <c r="E387" i="2"/>
  <c r="C387" i="2"/>
  <c r="V386" i="2"/>
  <c r="T386" i="2"/>
  <c r="Q386" i="2"/>
  <c r="R386" i="2" s="1" a="1"/>
  <c r="R386" i="2" s="1"/>
  <c r="O386" i="2"/>
  <c r="M386" i="2"/>
  <c r="J386" i="2"/>
  <c r="H386" i="2"/>
  <c r="E386" i="2"/>
  <c r="C386" i="2"/>
  <c r="V385" i="2"/>
  <c r="T385" i="2"/>
  <c r="R385" i="2"/>
  <c r="Q385" i="2"/>
  <c r="R385" i="2" s="1" a="1"/>
  <c r="O385" i="2"/>
  <c r="M385" i="2"/>
  <c r="J385" i="2"/>
  <c r="H385" i="2"/>
  <c r="E385" i="2"/>
  <c r="C385" i="2"/>
  <c r="V384" i="2"/>
  <c r="T384" i="2"/>
  <c r="R384" i="2" a="1"/>
  <c r="R384" i="2"/>
  <c r="Q384" i="2"/>
  <c r="O384" i="2"/>
  <c r="M384" i="2"/>
  <c r="J384" i="2"/>
  <c r="W384" i="2" s="1"/>
  <c r="X384" i="2" s="1"/>
  <c r="H384" i="2"/>
  <c r="E384" i="2"/>
  <c r="C384" i="2"/>
  <c r="X383" i="2"/>
  <c r="V383" i="2"/>
  <c r="T383" i="2"/>
  <c r="R383" i="2" a="1"/>
  <c r="R383" i="2" s="1"/>
  <c r="Q383" i="2"/>
  <c r="O383" i="2"/>
  <c r="M383" i="2"/>
  <c r="J383" i="2"/>
  <c r="W383" i="2" s="1"/>
  <c r="H383" i="2"/>
  <c r="E383" i="2"/>
  <c r="C383" i="2"/>
  <c r="V382" i="2"/>
  <c r="T382" i="2"/>
  <c r="Q382" i="2"/>
  <c r="R382" i="2" s="1" a="1"/>
  <c r="R382" i="2" s="1"/>
  <c r="O382" i="2"/>
  <c r="M382" i="2"/>
  <c r="J382" i="2"/>
  <c r="W382" i="2" s="1"/>
  <c r="X382" i="2" s="1"/>
  <c r="H382" i="2"/>
  <c r="E382" i="2"/>
  <c r="C382" i="2"/>
  <c r="V381" i="2"/>
  <c r="T381" i="2"/>
  <c r="Q381" i="2"/>
  <c r="R381" i="2" s="1" a="1"/>
  <c r="R381" i="2" s="1"/>
  <c r="O381" i="2"/>
  <c r="M381" i="2"/>
  <c r="J381" i="2"/>
  <c r="W381" i="2" s="1"/>
  <c r="X381" i="2" s="1"/>
  <c r="H381" i="2"/>
  <c r="E381" i="2"/>
  <c r="C381" i="2"/>
  <c r="V380" i="2"/>
  <c r="T380" i="2"/>
  <c r="R380" i="2" a="1"/>
  <c r="R380" i="2" s="1"/>
  <c r="Q380" i="2"/>
  <c r="O380" i="2"/>
  <c r="M380" i="2"/>
  <c r="J380" i="2"/>
  <c r="W380" i="2" s="1"/>
  <c r="X380" i="2" s="1"/>
  <c r="H380" i="2"/>
  <c r="E380" i="2"/>
  <c r="C380" i="2"/>
  <c r="V379" i="2"/>
  <c r="T379" i="2"/>
  <c r="R379" i="2" a="1"/>
  <c r="R379" i="2" s="1"/>
  <c r="Q379" i="2"/>
  <c r="O379" i="2"/>
  <c r="M379" i="2"/>
  <c r="J379" i="2"/>
  <c r="W379" i="2" s="1"/>
  <c r="X379" i="2" s="1"/>
  <c r="H379" i="2"/>
  <c r="E379" i="2"/>
  <c r="C379" i="2"/>
  <c r="V378" i="2"/>
  <c r="T378" i="2"/>
  <c r="Q378" i="2"/>
  <c r="R378" i="2" s="1" a="1"/>
  <c r="R378" i="2" s="1"/>
  <c r="O378" i="2"/>
  <c r="M378" i="2"/>
  <c r="J378" i="2"/>
  <c r="H378" i="2"/>
  <c r="E378" i="2"/>
  <c r="C378" i="2"/>
  <c r="V377" i="2"/>
  <c r="T377" i="2"/>
  <c r="R377" i="2"/>
  <c r="Q377" i="2"/>
  <c r="R377" i="2" s="1" a="1"/>
  <c r="O377" i="2"/>
  <c r="M377" i="2"/>
  <c r="J377" i="2"/>
  <c r="H377" i="2"/>
  <c r="E377" i="2"/>
  <c r="C377" i="2"/>
  <c r="V376" i="2"/>
  <c r="T376" i="2"/>
  <c r="R376" i="2" a="1"/>
  <c r="R376" i="2"/>
  <c r="Q376" i="2"/>
  <c r="O376" i="2"/>
  <c r="M376" i="2"/>
  <c r="J376" i="2"/>
  <c r="W376" i="2" s="1"/>
  <c r="X376" i="2" s="1"/>
  <c r="H376" i="2"/>
  <c r="E376" i="2"/>
  <c r="C376" i="2"/>
  <c r="X375" i="2"/>
  <c r="V375" i="2"/>
  <c r="T375" i="2"/>
  <c r="R375" i="2" a="1"/>
  <c r="R375" i="2" s="1"/>
  <c r="Q375" i="2"/>
  <c r="O375" i="2"/>
  <c r="M375" i="2"/>
  <c r="J375" i="2"/>
  <c r="W375" i="2" s="1"/>
  <c r="H375" i="2"/>
  <c r="E375" i="2"/>
  <c r="C375" i="2"/>
  <c r="V374" i="2"/>
  <c r="T374" i="2"/>
  <c r="Q374" i="2"/>
  <c r="R374" i="2" s="1" a="1"/>
  <c r="R374" i="2" s="1"/>
  <c r="O374" i="2"/>
  <c r="M374" i="2"/>
  <c r="J374" i="2"/>
  <c r="W374" i="2" s="1"/>
  <c r="X374" i="2" s="1"/>
  <c r="H374" i="2"/>
  <c r="E374" i="2"/>
  <c r="C374" i="2"/>
  <c r="W373" i="2"/>
  <c r="X373" i="2" s="1"/>
  <c r="V373" i="2"/>
  <c r="T373" i="2"/>
  <c r="Q373" i="2"/>
  <c r="R373" i="2" s="1" a="1"/>
  <c r="R373" i="2" s="1"/>
  <c r="O373" i="2"/>
  <c r="M373" i="2"/>
  <c r="J373" i="2"/>
  <c r="H373" i="2"/>
  <c r="E373" i="2"/>
  <c r="C373" i="2"/>
  <c r="V372" i="2"/>
  <c r="T372" i="2"/>
  <c r="R372" i="2" a="1"/>
  <c r="R372" i="2" s="1"/>
  <c r="Q372" i="2"/>
  <c r="O372" i="2"/>
  <c r="M372" i="2"/>
  <c r="J372" i="2"/>
  <c r="W372" i="2" s="1"/>
  <c r="X372" i="2" s="1"/>
  <c r="H372" i="2"/>
  <c r="E372" i="2"/>
  <c r="C372" i="2"/>
  <c r="V371" i="2"/>
  <c r="T371" i="2"/>
  <c r="R371" i="2" a="1"/>
  <c r="R371" i="2" s="1"/>
  <c r="Q371" i="2"/>
  <c r="O371" i="2"/>
  <c r="M371" i="2"/>
  <c r="J371" i="2"/>
  <c r="W371" i="2" s="1"/>
  <c r="X371" i="2" s="1"/>
  <c r="H371" i="2"/>
  <c r="E371" i="2"/>
  <c r="C371" i="2"/>
  <c r="V370" i="2"/>
  <c r="T370" i="2"/>
  <c r="Q370" i="2"/>
  <c r="R370" i="2" s="1" a="1"/>
  <c r="R370" i="2" s="1"/>
  <c r="O370" i="2"/>
  <c r="M370" i="2"/>
  <c r="J370" i="2"/>
  <c r="H370" i="2"/>
  <c r="E370" i="2"/>
  <c r="C370" i="2"/>
  <c r="V369" i="2"/>
  <c r="T369" i="2"/>
  <c r="Q369" i="2"/>
  <c r="R369" i="2" s="1" a="1"/>
  <c r="R369" i="2" s="1"/>
  <c r="O369" i="2"/>
  <c r="M369" i="2"/>
  <c r="J369" i="2"/>
  <c r="W369" i="2" s="1"/>
  <c r="X369" i="2" s="1"/>
  <c r="H369" i="2"/>
  <c r="E369" i="2"/>
  <c r="C369" i="2"/>
  <c r="V368" i="2"/>
  <c r="T368" i="2"/>
  <c r="R368" i="2" a="1"/>
  <c r="R368" i="2"/>
  <c r="Q368" i="2"/>
  <c r="O368" i="2"/>
  <c r="M368" i="2"/>
  <c r="J368" i="2"/>
  <c r="W368" i="2" s="1"/>
  <c r="X368" i="2" s="1"/>
  <c r="H368" i="2"/>
  <c r="E368" i="2"/>
  <c r="C368" i="2"/>
  <c r="V367" i="2"/>
  <c r="T367" i="2"/>
  <c r="R367" i="2" a="1"/>
  <c r="R367" i="2" s="1"/>
  <c r="Q367" i="2"/>
  <c r="O367" i="2"/>
  <c r="M367" i="2"/>
  <c r="J367" i="2"/>
  <c r="W367" i="2" s="1"/>
  <c r="X367" i="2" s="1"/>
  <c r="H367" i="2"/>
  <c r="E367" i="2"/>
  <c r="C367" i="2"/>
  <c r="V366" i="2"/>
  <c r="T366" i="2"/>
  <c r="Q366" i="2"/>
  <c r="R366" i="2" s="1" a="1"/>
  <c r="R366" i="2" s="1"/>
  <c r="O366" i="2"/>
  <c r="M366" i="2"/>
  <c r="J366" i="2"/>
  <c r="W366" i="2" s="1"/>
  <c r="X366" i="2" s="1"/>
  <c r="H366" i="2"/>
  <c r="E366" i="2"/>
  <c r="C366" i="2"/>
  <c r="W365" i="2"/>
  <c r="X365" i="2" s="1"/>
  <c r="V365" i="2"/>
  <c r="T365" i="2"/>
  <c r="Q365" i="2"/>
  <c r="R365" i="2" s="1" a="1"/>
  <c r="R365" i="2" s="1"/>
  <c r="O365" i="2"/>
  <c r="M365" i="2"/>
  <c r="J365" i="2"/>
  <c r="H365" i="2"/>
  <c r="E365" i="2"/>
  <c r="C365" i="2"/>
  <c r="V364" i="2"/>
  <c r="T364" i="2"/>
  <c r="R364" i="2" a="1"/>
  <c r="R364" i="2" s="1"/>
  <c r="Q364" i="2"/>
  <c r="O364" i="2"/>
  <c r="M364" i="2"/>
  <c r="J364" i="2"/>
  <c r="W364" i="2" s="1"/>
  <c r="X364" i="2" s="1"/>
  <c r="H364" i="2"/>
  <c r="E364" i="2"/>
  <c r="C364" i="2"/>
  <c r="V363" i="2"/>
  <c r="T363" i="2"/>
  <c r="R363" i="2" a="1"/>
  <c r="R363" i="2" s="1"/>
  <c r="Q363" i="2"/>
  <c r="O363" i="2"/>
  <c r="M363" i="2"/>
  <c r="J363" i="2"/>
  <c r="W363" i="2" s="1"/>
  <c r="X363" i="2" s="1"/>
  <c r="H363" i="2"/>
  <c r="E363" i="2"/>
  <c r="C363" i="2"/>
  <c r="V362" i="2"/>
  <c r="T362" i="2"/>
  <c r="Q362" i="2"/>
  <c r="R362" i="2" s="1" a="1"/>
  <c r="R362" i="2" s="1"/>
  <c r="O362" i="2"/>
  <c r="M362" i="2"/>
  <c r="J362" i="2"/>
  <c r="H362" i="2"/>
  <c r="E362" i="2"/>
  <c r="C362" i="2"/>
  <c r="V361" i="2"/>
  <c r="T361" i="2"/>
  <c r="R361" i="2"/>
  <c r="Q361" i="2"/>
  <c r="R361" i="2" s="1" a="1"/>
  <c r="O361" i="2"/>
  <c r="M361" i="2"/>
  <c r="J361" i="2"/>
  <c r="H361" i="2"/>
  <c r="E361" i="2"/>
  <c r="C361" i="2"/>
  <c r="V360" i="2"/>
  <c r="T360" i="2"/>
  <c r="R360" i="2"/>
  <c r="Q360" i="2"/>
  <c r="R360" i="2" s="1" a="1"/>
  <c r="O360" i="2"/>
  <c r="M360" i="2"/>
  <c r="J360" i="2"/>
  <c r="W360" i="2" s="1"/>
  <c r="X360" i="2" s="1"/>
  <c r="H360" i="2"/>
  <c r="E360" i="2"/>
  <c r="C360" i="2"/>
  <c r="V359" i="2"/>
  <c r="T359" i="2"/>
  <c r="R359" i="2" a="1"/>
  <c r="R359" i="2" s="1"/>
  <c r="Q359" i="2"/>
  <c r="O359" i="2"/>
  <c r="M359" i="2"/>
  <c r="J359" i="2"/>
  <c r="W359" i="2" s="1"/>
  <c r="X359" i="2" s="1"/>
  <c r="H359" i="2"/>
  <c r="E359" i="2"/>
  <c r="C359" i="2"/>
  <c r="V358" i="2"/>
  <c r="T358" i="2"/>
  <c r="Q358" i="2"/>
  <c r="R358" i="2" s="1" a="1"/>
  <c r="R358" i="2" s="1"/>
  <c r="O358" i="2"/>
  <c r="M358" i="2"/>
  <c r="J358" i="2"/>
  <c r="W358" i="2" s="1"/>
  <c r="X358" i="2" s="1"/>
  <c r="H358" i="2"/>
  <c r="E358" i="2"/>
  <c r="C358" i="2"/>
  <c r="V357" i="2"/>
  <c r="T357" i="2"/>
  <c r="Q357" i="2"/>
  <c r="R357" i="2" s="1" a="1"/>
  <c r="R357" i="2" s="1"/>
  <c r="O357" i="2"/>
  <c r="M357" i="2"/>
  <c r="J357" i="2"/>
  <c r="W357" i="2" s="1"/>
  <c r="X357" i="2" s="1"/>
  <c r="H357" i="2"/>
  <c r="E357" i="2"/>
  <c r="C357" i="2"/>
  <c r="V356" i="2"/>
  <c r="T356" i="2"/>
  <c r="R356" i="2" a="1"/>
  <c r="R356" i="2"/>
  <c r="Q356" i="2"/>
  <c r="O356" i="2"/>
  <c r="M356" i="2"/>
  <c r="J356" i="2"/>
  <c r="W356" i="2" s="1"/>
  <c r="X356" i="2" s="1"/>
  <c r="H356" i="2"/>
  <c r="E356" i="2"/>
  <c r="C356" i="2"/>
  <c r="X355" i="2"/>
  <c r="V355" i="2"/>
  <c r="T355" i="2"/>
  <c r="R355" i="2" a="1"/>
  <c r="R355" i="2" s="1"/>
  <c r="Q355" i="2"/>
  <c r="O355" i="2"/>
  <c r="M355" i="2"/>
  <c r="J355" i="2"/>
  <c r="W355" i="2" s="1"/>
  <c r="H355" i="2"/>
  <c r="E355" i="2"/>
  <c r="C355" i="2"/>
  <c r="V354" i="2"/>
  <c r="T354" i="2"/>
  <c r="Q354" i="2"/>
  <c r="R354" i="2" s="1" a="1"/>
  <c r="R354" i="2" s="1"/>
  <c r="O354" i="2"/>
  <c r="M354" i="2"/>
  <c r="J354" i="2"/>
  <c r="W354" i="2" s="1"/>
  <c r="X354" i="2" s="1"/>
  <c r="H354" i="2"/>
  <c r="E354" i="2"/>
  <c r="C354" i="2"/>
  <c r="V353" i="2"/>
  <c r="T353" i="2"/>
  <c r="Q353" i="2"/>
  <c r="R353" i="2" s="1" a="1"/>
  <c r="R353" i="2" s="1"/>
  <c r="O353" i="2"/>
  <c r="M353" i="2"/>
  <c r="J353" i="2"/>
  <c r="W353" i="2" s="1"/>
  <c r="X353" i="2" s="1"/>
  <c r="H353" i="2"/>
  <c r="E353" i="2"/>
  <c r="C353" i="2"/>
  <c r="W352" i="2"/>
  <c r="X352" i="2" s="1"/>
  <c r="V352" i="2"/>
  <c r="T352" i="2"/>
  <c r="R352" i="2"/>
  <c r="Q352" i="2"/>
  <c r="R352" i="2" s="1" a="1"/>
  <c r="O352" i="2"/>
  <c r="M352" i="2"/>
  <c r="J352" i="2"/>
  <c r="H352" i="2"/>
  <c r="E352" i="2"/>
  <c r="C352" i="2"/>
  <c r="V351" i="2"/>
  <c r="T351" i="2"/>
  <c r="R351" i="2" a="1"/>
  <c r="R351" i="2" s="1"/>
  <c r="Q351" i="2"/>
  <c r="O351" i="2"/>
  <c r="M351" i="2"/>
  <c r="J351" i="2"/>
  <c r="W351" i="2" s="1"/>
  <c r="X351" i="2" s="1"/>
  <c r="H351" i="2"/>
  <c r="E351" i="2"/>
  <c r="C351" i="2"/>
  <c r="V350" i="2"/>
  <c r="T350" i="2"/>
  <c r="R350" i="2"/>
  <c r="Q350" i="2"/>
  <c r="R350" i="2" s="1" a="1"/>
  <c r="O350" i="2"/>
  <c r="M350" i="2"/>
  <c r="J350" i="2"/>
  <c r="W350" i="2" s="1"/>
  <c r="X350" i="2" s="1"/>
  <c r="H350" i="2"/>
  <c r="E350" i="2"/>
  <c r="C350" i="2"/>
  <c r="X349" i="2"/>
  <c r="W349" i="2"/>
  <c r="V349" i="2"/>
  <c r="T349" i="2"/>
  <c r="Q349" i="2"/>
  <c r="R349" i="2" s="1" a="1"/>
  <c r="R349" i="2" s="1"/>
  <c r="O349" i="2"/>
  <c r="M349" i="2"/>
  <c r="J349" i="2"/>
  <c r="H349" i="2"/>
  <c r="E349" i="2"/>
  <c r="C349" i="2"/>
  <c r="V348" i="2"/>
  <c r="T348" i="2"/>
  <c r="R348" i="2" a="1"/>
  <c r="R348" i="2" s="1"/>
  <c r="Q348" i="2"/>
  <c r="O348" i="2"/>
  <c r="M348" i="2"/>
  <c r="J348" i="2"/>
  <c r="W348" i="2" s="1"/>
  <c r="X348" i="2" s="1"/>
  <c r="H348" i="2"/>
  <c r="E348" i="2"/>
  <c r="C348" i="2"/>
  <c r="V347" i="2"/>
  <c r="T347" i="2"/>
  <c r="Q347" i="2"/>
  <c r="R347" i="2" s="1" a="1"/>
  <c r="R347" i="2" s="1"/>
  <c r="O347" i="2"/>
  <c r="M347" i="2"/>
  <c r="J347" i="2"/>
  <c r="W347" i="2" s="1"/>
  <c r="X347" i="2" s="1"/>
  <c r="H347" i="2"/>
  <c r="E347" i="2"/>
  <c r="C347" i="2"/>
  <c r="V346" i="2"/>
  <c r="T346" i="2"/>
  <c r="Q346" i="2"/>
  <c r="R346" i="2" s="1" a="1"/>
  <c r="R346" i="2" s="1"/>
  <c r="O346" i="2"/>
  <c r="M346" i="2"/>
  <c r="J346" i="2"/>
  <c r="W346" i="2" s="1"/>
  <c r="X346" i="2" s="1"/>
  <c r="H346" i="2"/>
  <c r="E346" i="2"/>
  <c r="C346" i="2"/>
  <c r="V345" i="2"/>
  <c r="T345" i="2"/>
  <c r="Q345" i="2"/>
  <c r="R345" i="2" s="1" a="1"/>
  <c r="R345" i="2" s="1"/>
  <c r="O345" i="2"/>
  <c r="M345" i="2"/>
  <c r="J345" i="2"/>
  <c r="H345" i="2"/>
  <c r="E345" i="2"/>
  <c r="C345" i="2"/>
  <c r="W344" i="2"/>
  <c r="X344" i="2" s="1"/>
  <c r="V344" i="2"/>
  <c r="T344" i="2"/>
  <c r="Q344" i="2"/>
  <c r="R344" i="2" s="1" a="1"/>
  <c r="R344" i="2" s="1"/>
  <c r="O344" i="2"/>
  <c r="M344" i="2"/>
  <c r="J344" i="2"/>
  <c r="H344" i="2"/>
  <c r="E344" i="2"/>
  <c r="C344" i="2"/>
  <c r="V343" i="2"/>
  <c r="T343" i="2"/>
  <c r="R343" i="2" a="1"/>
  <c r="R343" i="2" s="1"/>
  <c r="Q343" i="2"/>
  <c r="O343" i="2"/>
  <c r="M343" i="2"/>
  <c r="J343" i="2"/>
  <c r="H343" i="2"/>
  <c r="E343" i="2"/>
  <c r="C343" i="2"/>
  <c r="V342" i="2"/>
  <c r="T342" i="2"/>
  <c r="Q342" i="2"/>
  <c r="R342" i="2" s="1" a="1"/>
  <c r="R342" i="2" s="1"/>
  <c r="O342" i="2"/>
  <c r="M342" i="2"/>
  <c r="J342" i="2"/>
  <c r="W342" i="2" s="1"/>
  <c r="X342" i="2" s="1"/>
  <c r="H342" i="2"/>
  <c r="E342" i="2"/>
  <c r="C342" i="2"/>
  <c r="W341" i="2"/>
  <c r="X341" i="2" s="1"/>
  <c r="V341" i="2"/>
  <c r="T341" i="2"/>
  <c r="Q341" i="2"/>
  <c r="R341" i="2" s="1" a="1"/>
  <c r="R341" i="2" s="1"/>
  <c r="O341" i="2"/>
  <c r="M341" i="2"/>
  <c r="J341" i="2"/>
  <c r="H341" i="2"/>
  <c r="E341" i="2"/>
  <c r="C341" i="2"/>
  <c r="V340" i="2"/>
  <c r="T340" i="2"/>
  <c r="R340" i="2" a="1"/>
  <c r="R340" i="2" s="1"/>
  <c r="Q340" i="2"/>
  <c r="O340" i="2"/>
  <c r="M340" i="2"/>
  <c r="J340" i="2"/>
  <c r="W340" i="2" s="1"/>
  <c r="X340" i="2" s="1"/>
  <c r="H340" i="2"/>
  <c r="E340" i="2"/>
  <c r="C340" i="2"/>
  <c r="V339" i="2"/>
  <c r="T339" i="2"/>
  <c r="Q339" i="2"/>
  <c r="R339" i="2" s="1" a="1"/>
  <c r="R339" i="2" s="1"/>
  <c r="O339" i="2"/>
  <c r="M339" i="2"/>
  <c r="J339" i="2"/>
  <c r="W339" i="2" s="1"/>
  <c r="X339" i="2" s="1"/>
  <c r="H339" i="2"/>
  <c r="E339" i="2"/>
  <c r="C339" i="2"/>
  <c r="V338" i="2"/>
  <c r="T338" i="2"/>
  <c r="Q338" i="2"/>
  <c r="R338" i="2" s="1" a="1"/>
  <c r="R338" i="2" s="1"/>
  <c r="O338" i="2"/>
  <c r="M338" i="2"/>
  <c r="J338" i="2"/>
  <c r="W338" i="2" s="1"/>
  <c r="X338" i="2" s="1"/>
  <c r="H338" i="2"/>
  <c r="E338" i="2"/>
  <c r="C338" i="2"/>
  <c r="V337" i="2"/>
  <c r="T337" i="2"/>
  <c r="R337" i="2"/>
  <c r="Q337" i="2"/>
  <c r="R337" i="2" s="1" a="1"/>
  <c r="O337" i="2"/>
  <c r="M337" i="2"/>
  <c r="J337" i="2"/>
  <c r="W337" i="2" s="1"/>
  <c r="X337" i="2" s="1"/>
  <c r="H337" i="2"/>
  <c r="E337" i="2"/>
  <c r="C337" i="2"/>
  <c r="X336" i="2"/>
  <c r="W336" i="2"/>
  <c r="V336" i="2"/>
  <c r="T336" i="2"/>
  <c r="Q336" i="2"/>
  <c r="R336" i="2" s="1" a="1"/>
  <c r="R336" i="2" s="1"/>
  <c r="O336" i="2"/>
  <c r="M336" i="2"/>
  <c r="J336" i="2"/>
  <c r="H336" i="2"/>
  <c r="E336" i="2"/>
  <c r="C336" i="2"/>
  <c r="W335" i="2"/>
  <c r="X335" i="2" s="1"/>
  <c r="V335" i="2"/>
  <c r="T335" i="2"/>
  <c r="R335" i="2" a="1"/>
  <c r="R335" i="2" s="1"/>
  <c r="Q335" i="2"/>
  <c r="O335" i="2"/>
  <c r="M335" i="2"/>
  <c r="J335" i="2"/>
  <c r="H335" i="2"/>
  <c r="E335" i="2"/>
  <c r="C335" i="2"/>
  <c r="W334" i="2"/>
  <c r="X334" i="2" s="1"/>
  <c r="V334" i="2"/>
  <c r="T334" i="2"/>
  <c r="Q334" i="2"/>
  <c r="R334" i="2" s="1" a="1"/>
  <c r="R334" i="2" s="1"/>
  <c r="O334" i="2"/>
  <c r="M334" i="2"/>
  <c r="J334" i="2"/>
  <c r="H334" i="2"/>
  <c r="E334" i="2"/>
  <c r="C334" i="2"/>
  <c r="V333" i="2"/>
  <c r="T333" i="2"/>
  <c r="R333" i="2" a="1"/>
  <c r="R333" i="2" s="1"/>
  <c r="Q333" i="2"/>
  <c r="O333" i="2"/>
  <c r="M333" i="2"/>
  <c r="J333" i="2"/>
  <c r="W333" i="2" s="1"/>
  <c r="X333" i="2" s="1"/>
  <c r="H333" i="2"/>
  <c r="E333" i="2"/>
  <c r="C333" i="2"/>
  <c r="V332" i="2"/>
  <c r="T332" i="2"/>
  <c r="R332" i="2" a="1"/>
  <c r="R332" i="2" s="1"/>
  <c r="Q332" i="2"/>
  <c r="O332" i="2"/>
  <c r="M332" i="2"/>
  <c r="J332" i="2"/>
  <c r="W332" i="2" s="1"/>
  <c r="X332" i="2" s="1"/>
  <c r="H332" i="2"/>
  <c r="E332" i="2"/>
  <c r="C332" i="2"/>
  <c r="V331" i="2"/>
  <c r="T331" i="2"/>
  <c r="Q331" i="2"/>
  <c r="R331" i="2" s="1" a="1"/>
  <c r="R331" i="2" s="1"/>
  <c r="O331" i="2"/>
  <c r="M331" i="2"/>
  <c r="J331" i="2"/>
  <c r="H331" i="2"/>
  <c r="E331" i="2"/>
  <c r="C331" i="2"/>
  <c r="V330" i="2"/>
  <c r="T330" i="2"/>
  <c r="Q330" i="2"/>
  <c r="R330" i="2" s="1" a="1"/>
  <c r="R330" i="2" s="1"/>
  <c r="O330" i="2"/>
  <c r="M330" i="2"/>
  <c r="J330" i="2"/>
  <c r="W330" i="2" s="1"/>
  <c r="X330" i="2" s="1"/>
  <c r="H330" i="2"/>
  <c r="E330" i="2"/>
  <c r="C330" i="2"/>
  <c r="W329" i="2"/>
  <c r="X329" i="2" s="1"/>
  <c r="V329" i="2"/>
  <c r="T329" i="2"/>
  <c r="Q329" i="2"/>
  <c r="R329" i="2" s="1" a="1"/>
  <c r="R329" i="2" s="1"/>
  <c r="O329" i="2"/>
  <c r="M329" i="2"/>
  <c r="J329" i="2"/>
  <c r="H329" i="2"/>
  <c r="E329" i="2"/>
  <c r="C329" i="2"/>
  <c r="V328" i="2"/>
  <c r="T328" i="2"/>
  <c r="R328" i="2" a="1"/>
  <c r="R328" i="2" s="1"/>
  <c r="Q328" i="2"/>
  <c r="O328" i="2"/>
  <c r="M328" i="2"/>
  <c r="J328" i="2"/>
  <c r="W328" i="2" s="1"/>
  <c r="X328" i="2" s="1"/>
  <c r="H328" i="2"/>
  <c r="E328" i="2"/>
  <c r="C328" i="2"/>
  <c r="V327" i="2"/>
  <c r="T327" i="2"/>
  <c r="Q327" i="2"/>
  <c r="R327" i="2" s="1" a="1"/>
  <c r="R327" i="2" s="1"/>
  <c r="O327" i="2"/>
  <c r="M327" i="2"/>
  <c r="J327" i="2"/>
  <c r="W327" i="2" s="1"/>
  <c r="X327" i="2" s="1"/>
  <c r="H327" i="2"/>
  <c r="E327" i="2"/>
  <c r="C327" i="2"/>
  <c r="V326" i="2"/>
  <c r="T326" i="2"/>
  <c r="Q326" i="2"/>
  <c r="R326" i="2" s="1" a="1"/>
  <c r="R326" i="2" s="1"/>
  <c r="O326" i="2"/>
  <c r="M326" i="2"/>
  <c r="J326" i="2"/>
  <c r="W326" i="2" s="1"/>
  <c r="X326" i="2" s="1"/>
  <c r="H326" i="2"/>
  <c r="E326" i="2"/>
  <c r="C326" i="2"/>
  <c r="V325" i="2"/>
  <c r="T325" i="2"/>
  <c r="R325" i="2" a="1"/>
  <c r="R325" i="2" s="1"/>
  <c r="Q325" i="2"/>
  <c r="O325" i="2"/>
  <c r="M325" i="2"/>
  <c r="J325" i="2"/>
  <c r="W325" i="2" s="1"/>
  <c r="X325" i="2" s="1"/>
  <c r="H325" i="2"/>
  <c r="E325" i="2"/>
  <c r="C325" i="2"/>
  <c r="V324" i="2"/>
  <c r="T324" i="2"/>
  <c r="R324" i="2" a="1"/>
  <c r="R324" i="2"/>
  <c r="Q324" i="2"/>
  <c r="O324" i="2"/>
  <c r="M324" i="2"/>
  <c r="J324" i="2"/>
  <c r="W324" i="2" s="1"/>
  <c r="X324" i="2" s="1"/>
  <c r="H324" i="2"/>
  <c r="E324" i="2"/>
  <c r="C324" i="2"/>
  <c r="V323" i="2"/>
  <c r="T323" i="2"/>
  <c r="Q323" i="2"/>
  <c r="R323" i="2" s="1" a="1"/>
  <c r="R323" i="2" s="1"/>
  <c r="O323" i="2"/>
  <c r="M323" i="2"/>
  <c r="J323" i="2"/>
  <c r="H323" i="2"/>
  <c r="E323" i="2"/>
  <c r="C323" i="2"/>
  <c r="V322" i="2"/>
  <c r="T322" i="2"/>
  <c r="R322" i="2"/>
  <c r="Q322" i="2"/>
  <c r="R322" i="2" s="1" a="1"/>
  <c r="O322" i="2"/>
  <c r="M322" i="2"/>
  <c r="J322" i="2"/>
  <c r="W322" i="2" s="1"/>
  <c r="X322" i="2" s="1"/>
  <c r="H322" i="2"/>
  <c r="E322" i="2"/>
  <c r="C322" i="2"/>
  <c r="V321" i="2"/>
  <c r="T321" i="2"/>
  <c r="Q321" i="2"/>
  <c r="R321" i="2" s="1" a="1"/>
  <c r="R321" i="2" s="1"/>
  <c r="O321" i="2"/>
  <c r="M321" i="2"/>
  <c r="J321" i="2"/>
  <c r="W321" i="2" s="1"/>
  <c r="X321" i="2" s="1"/>
  <c r="H321" i="2"/>
  <c r="E321" i="2"/>
  <c r="C321" i="2"/>
  <c r="V320" i="2"/>
  <c r="T320" i="2"/>
  <c r="R320" i="2" a="1"/>
  <c r="R320" i="2" s="1"/>
  <c r="Q320" i="2"/>
  <c r="O320" i="2"/>
  <c r="M320" i="2"/>
  <c r="J320" i="2"/>
  <c r="W320" i="2" s="1"/>
  <c r="X320" i="2" s="1"/>
  <c r="H320" i="2"/>
  <c r="E320" i="2"/>
  <c r="C320" i="2"/>
  <c r="V319" i="2"/>
  <c r="T319" i="2"/>
  <c r="Q319" i="2"/>
  <c r="R319" i="2" s="1" a="1"/>
  <c r="R319" i="2" s="1"/>
  <c r="O319" i="2"/>
  <c r="M319" i="2"/>
  <c r="J319" i="2"/>
  <c r="W319" i="2" s="1"/>
  <c r="X319" i="2" s="1"/>
  <c r="H319" i="2"/>
  <c r="E319" i="2"/>
  <c r="C319" i="2"/>
  <c r="V318" i="2"/>
  <c r="W318" i="2" s="1"/>
  <c r="X318" i="2" s="1"/>
  <c r="T318" i="2"/>
  <c r="Q318" i="2"/>
  <c r="R318" i="2" s="1" a="1"/>
  <c r="R318" i="2" s="1"/>
  <c r="O318" i="2"/>
  <c r="M318" i="2"/>
  <c r="J318" i="2"/>
  <c r="H318" i="2"/>
  <c r="E318" i="2"/>
  <c r="C318" i="2"/>
  <c r="V317" i="2"/>
  <c r="T317" i="2"/>
  <c r="R317" i="2" a="1"/>
  <c r="R317" i="2" s="1"/>
  <c r="Q317" i="2"/>
  <c r="O317" i="2"/>
  <c r="M317" i="2"/>
  <c r="J317" i="2"/>
  <c r="W317" i="2" s="1"/>
  <c r="X317" i="2" s="1"/>
  <c r="H317" i="2"/>
  <c r="E317" i="2"/>
  <c r="C317" i="2"/>
  <c r="V316" i="2"/>
  <c r="T316" i="2"/>
  <c r="R316" i="2" a="1"/>
  <c r="R316" i="2"/>
  <c r="Q316" i="2"/>
  <c r="O316" i="2"/>
  <c r="M316" i="2"/>
  <c r="J316" i="2"/>
  <c r="W316" i="2" s="1"/>
  <c r="X316" i="2" s="1"/>
  <c r="H316" i="2"/>
  <c r="E316" i="2"/>
  <c r="C316" i="2"/>
  <c r="V315" i="2"/>
  <c r="T315" i="2"/>
  <c r="Q315" i="2"/>
  <c r="R315" i="2" s="1" a="1"/>
  <c r="R315" i="2" s="1"/>
  <c r="O315" i="2"/>
  <c r="M315" i="2"/>
  <c r="J315" i="2"/>
  <c r="H315" i="2"/>
  <c r="E315" i="2"/>
  <c r="C315" i="2"/>
  <c r="V314" i="2"/>
  <c r="T314" i="2"/>
  <c r="R314" i="2"/>
  <c r="Q314" i="2"/>
  <c r="R314" i="2" s="1" a="1"/>
  <c r="O314" i="2"/>
  <c r="M314" i="2"/>
  <c r="J314" i="2"/>
  <c r="W314" i="2" s="1"/>
  <c r="X314" i="2" s="1"/>
  <c r="H314" i="2"/>
  <c r="E314" i="2"/>
  <c r="C314" i="2"/>
  <c r="X313" i="2"/>
  <c r="W313" i="2"/>
  <c r="V313" i="2"/>
  <c r="T313" i="2"/>
  <c r="Q313" i="2"/>
  <c r="R313" i="2" s="1" a="1"/>
  <c r="R313" i="2" s="1"/>
  <c r="O313" i="2"/>
  <c r="M313" i="2"/>
  <c r="J313" i="2"/>
  <c r="H313" i="2"/>
  <c r="E313" i="2"/>
  <c r="C313" i="2"/>
  <c r="V312" i="2"/>
  <c r="T312" i="2"/>
  <c r="R312" i="2" a="1"/>
  <c r="R312" i="2" s="1"/>
  <c r="Q312" i="2"/>
  <c r="O312" i="2"/>
  <c r="M312" i="2"/>
  <c r="J312" i="2"/>
  <c r="W312" i="2" s="1"/>
  <c r="X312" i="2" s="1"/>
  <c r="H312" i="2"/>
  <c r="E312" i="2"/>
  <c r="C312" i="2"/>
  <c r="V311" i="2"/>
  <c r="T311" i="2"/>
  <c r="Q311" i="2"/>
  <c r="R311" i="2" s="1" a="1"/>
  <c r="R311" i="2" s="1"/>
  <c r="O311" i="2"/>
  <c r="M311" i="2"/>
  <c r="J311" i="2"/>
  <c r="W311" i="2" s="1"/>
  <c r="X311" i="2" s="1"/>
  <c r="H311" i="2"/>
  <c r="E311" i="2"/>
  <c r="C311" i="2"/>
  <c r="W310" i="2"/>
  <c r="X310" i="2" s="1"/>
  <c r="V310" i="2"/>
  <c r="T310" i="2"/>
  <c r="Q310" i="2"/>
  <c r="R310" i="2" s="1" a="1"/>
  <c r="R310" i="2" s="1"/>
  <c r="O310" i="2"/>
  <c r="M310" i="2"/>
  <c r="J310" i="2"/>
  <c r="H310" i="2"/>
  <c r="E310" i="2"/>
  <c r="C310" i="2"/>
  <c r="V309" i="2"/>
  <c r="T309" i="2"/>
  <c r="R309" i="2" a="1"/>
  <c r="R309" i="2"/>
  <c r="Q309" i="2"/>
  <c r="O309" i="2"/>
  <c r="M309" i="2"/>
  <c r="J309" i="2"/>
  <c r="W309" i="2" s="1"/>
  <c r="X309" i="2" s="1"/>
  <c r="H309" i="2"/>
  <c r="E309" i="2"/>
  <c r="C309" i="2"/>
  <c r="V308" i="2"/>
  <c r="T308" i="2"/>
  <c r="R308" i="2" a="1"/>
  <c r="R308" i="2"/>
  <c r="Q308" i="2"/>
  <c r="O308" i="2"/>
  <c r="M308" i="2"/>
  <c r="J308" i="2"/>
  <c r="W308" i="2" s="1"/>
  <c r="X308" i="2" s="1"/>
  <c r="H308" i="2"/>
  <c r="E308" i="2"/>
  <c r="C308" i="2"/>
  <c r="V307" i="2"/>
  <c r="T307" i="2"/>
  <c r="Q307" i="2"/>
  <c r="R307" i="2" s="1" a="1"/>
  <c r="R307" i="2" s="1"/>
  <c r="O307" i="2"/>
  <c r="M307" i="2"/>
  <c r="J307" i="2"/>
  <c r="W307" i="2" s="1"/>
  <c r="X307" i="2" s="1"/>
  <c r="H307" i="2"/>
  <c r="E307" i="2"/>
  <c r="C307" i="2"/>
  <c r="V306" i="2"/>
  <c r="T306" i="2"/>
  <c r="Q306" i="2"/>
  <c r="R306" i="2" s="1" a="1"/>
  <c r="R306" i="2" s="1"/>
  <c r="O306" i="2"/>
  <c r="M306" i="2"/>
  <c r="J306" i="2"/>
  <c r="W306" i="2" s="1"/>
  <c r="X306" i="2" s="1"/>
  <c r="H306" i="2"/>
  <c r="E306" i="2"/>
  <c r="C306" i="2"/>
  <c r="W305" i="2"/>
  <c r="X305" i="2" s="1"/>
  <c r="V305" i="2"/>
  <c r="T305" i="2"/>
  <c r="Q305" i="2"/>
  <c r="R305" i="2" s="1" a="1"/>
  <c r="R305" i="2" s="1"/>
  <c r="O305" i="2"/>
  <c r="M305" i="2"/>
  <c r="J305" i="2"/>
  <c r="H305" i="2"/>
  <c r="E305" i="2"/>
  <c r="C305" i="2"/>
  <c r="V304" i="2"/>
  <c r="T304" i="2"/>
  <c r="R304" i="2" a="1"/>
  <c r="R304" i="2" s="1"/>
  <c r="Q304" i="2"/>
  <c r="O304" i="2"/>
  <c r="M304" i="2"/>
  <c r="J304" i="2"/>
  <c r="W304" i="2" s="1"/>
  <c r="X304" i="2" s="1"/>
  <c r="H304" i="2"/>
  <c r="E304" i="2"/>
  <c r="C304" i="2"/>
  <c r="V303" i="2"/>
  <c r="T303" i="2"/>
  <c r="Q303" i="2"/>
  <c r="R303" i="2" s="1" a="1"/>
  <c r="R303" i="2" s="1"/>
  <c r="O303" i="2"/>
  <c r="M303" i="2"/>
  <c r="J303" i="2"/>
  <c r="W303" i="2" s="1"/>
  <c r="X303" i="2" s="1"/>
  <c r="H303" i="2"/>
  <c r="E303" i="2"/>
  <c r="C303" i="2"/>
  <c r="V302" i="2"/>
  <c r="T302" i="2"/>
  <c r="Q302" i="2"/>
  <c r="R302" i="2" s="1" a="1"/>
  <c r="R302" i="2" s="1"/>
  <c r="O302" i="2"/>
  <c r="M302" i="2"/>
  <c r="J302" i="2"/>
  <c r="W302" i="2" s="1"/>
  <c r="X302" i="2" s="1"/>
  <c r="H302" i="2"/>
  <c r="E302" i="2"/>
  <c r="C302" i="2"/>
  <c r="V301" i="2"/>
  <c r="T301" i="2"/>
  <c r="R301" i="2" a="1"/>
  <c r="R301" i="2"/>
  <c r="Q301" i="2"/>
  <c r="O301" i="2"/>
  <c r="M301" i="2"/>
  <c r="J301" i="2"/>
  <c r="W301" i="2" s="1"/>
  <c r="X301" i="2" s="1"/>
  <c r="H301" i="2"/>
  <c r="E301" i="2"/>
  <c r="C301" i="2"/>
  <c r="V300" i="2"/>
  <c r="T300" i="2"/>
  <c r="R300" i="2" a="1"/>
  <c r="R300" i="2"/>
  <c r="Q300" i="2"/>
  <c r="O300" i="2"/>
  <c r="M300" i="2"/>
  <c r="J300" i="2"/>
  <c r="W300" i="2" s="1"/>
  <c r="X300" i="2" s="1"/>
  <c r="H300" i="2"/>
  <c r="E300" i="2"/>
  <c r="C300" i="2"/>
  <c r="V299" i="2"/>
  <c r="T299" i="2"/>
  <c r="Q299" i="2"/>
  <c r="R299" i="2" s="1" a="1"/>
  <c r="R299" i="2" s="1"/>
  <c r="O299" i="2"/>
  <c r="M299" i="2"/>
  <c r="J299" i="2"/>
  <c r="W299" i="2" s="1"/>
  <c r="X299" i="2" s="1"/>
  <c r="H299" i="2"/>
  <c r="E299" i="2"/>
  <c r="C299" i="2"/>
  <c r="V298" i="2"/>
  <c r="T298" i="2"/>
  <c r="Q298" i="2"/>
  <c r="R298" i="2" s="1" a="1"/>
  <c r="R298" i="2" s="1"/>
  <c r="O298" i="2"/>
  <c r="M298" i="2"/>
  <c r="J298" i="2"/>
  <c r="W298" i="2" s="1"/>
  <c r="X298" i="2" s="1"/>
  <c r="H298" i="2"/>
  <c r="E298" i="2"/>
  <c r="C298" i="2"/>
  <c r="W297" i="2"/>
  <c r="X297" i="2" s="1"/>
  <c r="V297" i="2"/>
  <c r="T297" i="2"/>
  <c r="Q297" i="2"/>
  <c r="R297" i="2" s="1" a="1"/>
  <c r="R297" i="2" s="1"/>
  <c r="O297" i="2"/>
  <c r="M297" i="2"/>
  <c r="J297" i="2"/>
  <c r="H297" i="2"/>
  <c r="E297" i="2"/>
  <c r="C297" i="2"/>
  <c r="V296" i="2"/>
  <c r="T296" i="2"/>
  <c r="R296" i="2" a="1"/>
  <c r="R296" i="2" s="1"/>
  <c r="Q296" i="2"/>
  <c r="O296" i="2"/>
  <c r="M296" i="2"/>
  <c r="J296" i="2"/>
  <c r="W296" i="2" s="1"/>
  <c r="X296" i="2" s="1"/>
  <c r="H296" i="2"/>
  <c r="E296" i="2"/>
  <c r="C296" i="2"/>
  <c r="V295" i="2"/>
  <c r="T295" i="2"/>
  <c r="Q295" i="2"/>
  <c r="R295" i="2" s="1" a="1"/>
  <c r="R295" i="2" s="1"/>
  <c r="O295" i="2"/>
  <c r="M295" i="2"/>
  <c r="J295" i="2"/>
  <c r="W295" i="2" s="1"/>
  <c r="X295" i="2" s="1"/>
  <c r="H295" i="2"/>
  <c r="E295" i="2"/>
  <c r="C295" i="2"/>
  <c r="V294" i="2"/>
  <c r="T294" i="2"/>
  <c r="Q294" i="2"/>
  <c r="R294" i="2" s="1" a="1"/>
  <c r="R294" i="2" s="1"/>
  <c r="O294" i="2"/>
  <c r="M294" i="2"/>
  <c r="J294" i="2"/>
  <c r="W294" i="2" s="1"/>
  <c r="X294" i="2" s="1"/>
  <c r="H294" i="2"/>
  <c r="E294" i="2"/>
  <c r="C294" i="2"/>
  <c r="V293" i="2"/>
  <c r="T293" i="2"/>
  <c r="R293" i="2" a="1"/>
  <c r="R293" i="2" s="1"/>
  <c r="Q293" i="2"/>
  <c r="O293" i="2"/>
  <c r="M293" i="2"/>
  <c r="J293" i="2"/>
  <c r="W293" i="2" s="1"/>
  <c r="X293" i="2" s="1"/>
  <c r="H293" i="2"/>
  <c r="E293" i="2"/>
  <c r="C293" i="2"/>
  <c r="V292" i="2"/>
  <c r="T292" i="2"/>
  <c r="R292" i="2" a="1"/>
  <c r="R292" i="2"/>
  <c r="Q292" i="2"/>
  <c r="O292" i="2"/>
  <c r="M292" i="2"/>
  <c r="J292" i="2"/>
  <c r="W292" i="2" s="1"/>
  <c r="X292" i="2" s="1"/>
  <c r="H292" i="2"/>
  <c r="E292" i="2"/>
  <c r="C292" i="2"/>
  <c r="V291" i="2"/>
  <c r="T291" i="2"/>
  <c r="Q291" i="2"/>
  <c r="R291" i="2" s="1" a="1"/>
  <c r="R291" i="2" s="1"/>
  <c r="O291" i="2"/>
  <c r="M291" i="2"/>
  <c r="J291" i="2"/>
  <c r="H291" i="2"/>
  <c r="E291" i="2"/>
  <c r="C291" i="2"/>
  <c r="V290" i="2"/>
  <c r="T290" i="2"/>
  <c r="R290" i="2"/>
  <c r="Q290" i="2"/>
  <c r="R290" i="2" s="1" a="1"/>
  <c r="O290" i="2"/>
  <c r="M290" i="2"/>
  <c r="J290" i="2"/>
  <c r="W290" i="2" s="1"/>
  <c r="X290" i="2" s="1"/>
  <c r="H290" i="2"/>
  <c r="E290" i="2"/>
  <c r="C290" i="2"/>
  <c r="V289" i="2"/>
  <c r="T289" i="2"/>
  <c r="Q289" i="2"/>
  <c r="R289" i="2" s="1" a="1"/>
  <c r="R289" i="2" s="1"/>
  <c r="O289" i="2"/>
  <c r="M289" i="2"/>
  <c r="J289" i="2"/>
  <c r="W289" i="2" s="1"/>
  <c r="X289" i="2" s="1"/>
  <c r="H289" i="2"/>
  <c r="E289" i="2"/>
  <c r="C289" i="2"/>
  <c r="V288" i="2"/>
  <c r="T288" i="2"/>
  <c r="R288" i="2" a="1"/>
  <c r="R288" i="2" s="1"/>
  <c r="Q288" i="2"/>
  <c r="O288" i="2"/>
  <c r="M288" i="2"/>
  <c r="J288" i="2"/>
  <c r="W288" i="2" s="1"/>
  <c r="X288" i="2" s="1"/>
  <c r="H288" i="2"/>
  <c r="E288" i="2"/>
  <c r="C288" i="2"/>
  <c r="V287" i="2"/>
  <c r="T287" i="2"/>
  <c r="Q287" i="2"/>
  <c r="R287" i="2" s="1" a="1"/>
  <c r="R287" i="2" s="1"/>
  <c r="O287" i="2"/>
  <c r="M287" i="2"/>
  <c r="J287" i="2"/>
  <c r="W287" i="2" s="1"/>
  <c r="X287" i="2" s="1"/>
  <c r="H287" i="2"/>
  <c r="E287" i="2"/>
  <c r="C287" i="2"/>
  <c r="V286" i="2"/>
  <c r="W286" i="2" s="1"/>
  <c r="X286" i="2" s="1"/>
  <c r="T286" i="2"/>
  <c r="Q286" i="2"/>
  <c r="R286" i="2" s="1" a="1"/>
  <c r="R286" i="2" s="1"/>
  <c r="O286" i="2"/>
  <c r="M286" i="2"/>
  <c r="J286" i="2"/>
  <c r="H286" i="2"/>
  <c r="E286" i="2"/>
  <c r="C286" i="2"/>
  <c r="V285" i="2"/>
  <c r="T285" i="2"/>
  <c r="R285" i="2" a="1"/>
  <c r="R285" i="2"/>
  <c r="Q285" i="2"/>
  <c r="O285" i="2"/>
  <c r="M285" i="2"/>
  <c r="J285" i="2"/>
  <c r="W285" i="2" s="1"/>
  <c r="X285" i="2" s="1"/>
  <c r="H285" i="2"/>
  <c r="E285" i="2"/>
  <c r="C285" i="2"/>
  <c r="V284" i="2"/>
  <c r="T284" i="2"/>
  <c r="R284" i="2" a="1"/>
  <c r="R284" i="2"/>
  <c r="Q284" i="2"/>
  <c r="O284" i="2"/>
  <c r="M284" i="2"/>
  <c r="J284" i="2"/>
  <c r="W284" i="2" s="1"/>
  <c r="X284" i="2" s="1"/>
  <c r="H284" i="2"/>
  <c r="E284" i="2"/>
  <c r="C284" i="2"/>
  <c r="V283" i="2"/>
  <c r="T283" i="2"/>
  <c r="Q283" i="2"/>
  <c r="R283" i="2" s="1" a="1"/>
  <c r="R283" i="2" s="1"/>
  <c r="O283" i="2"/>
  <c r="M283" i="2"/>
  <c r="J283" i="2"/>
  <c r="H283" i="2"/>
  <c r="E283" i="2"/>
  <c r="C283" i="2"/>
  <c r="V282" i="2"/>
  <c r="T282" i="2"/>
  <c r="Q282" i="2"/>
  <c r="R282" i="2" s="1" a="1"/>
  <c r="R282" i="2" s="1"/>
  <c r="O282" i="2"/>
  <c r="M282" i="2"/>
  <c r="J282" i="2"/>
  <c r="W282" i="2" s="1"/>
  <c r="X282" i="2" s="1"/>
  <c r="H282" i="2"/>
  <c r="E282" i="2"/>
  <c r="C282" i="2"/>
  <c r="W281" i="2"/>
  <c r="X281" i="2" s="1"/>
  <c r="V281" i="2"/>
  <c r="T281" i="2"/>
  <c r="Q281" i="2"/>
  <c r="R281" i="2" s="1" a="1"/>
  <c r="R281" i="2" s="1"/>
  <c r="O281" i="2"/>
  <c r="M281" i="2"/>
  <c r="J281" i="2"/>
  <c r="H281" i="2"/>
  <c r="E281" i="2"/>
  <c r="C281" i="2"/>
  <c r="V280" i="2"/>
  <c r="T280" i="2"/>
  <c r="R280" i="2" a="1"/>
  <c r="R280" i="2" s="1"/>
  <c r="Q280" i="2"/>
  <c r="O280" i="2"/>
  <c r="M280" i="2"/>
  <c r="J280" i="2"/>
  <c r="W280" i="2" s="1"/>
  <c r="X280" i="2" s="1"/>
  <c r="H280" i="2"/>
  <c r="E280" i="2"/>
  <c r="C280" i="2"/>
  <c r="V279" i="2"/>
  <c r="T279" i="2"/>
  <c r="Q279" i="2"/>
  <c r="R279" i="2" s="1" a="1"/>
  <c r="R279" i="2" s="1"/>
  <c r="O279" i="2"/>
  <c r="M279" i="2"/>
  <c r="J279" i="2"/>
  <c r="W279" i="2" s="1"/>
  <c r="X279" i="2" s="1"/>
  <c r="H279" i="2"/>
  <c r="E279" i="2"/>
  <c r="C279" i="2"/>
  <c r="W278" i="2"/>
  <c r="X278" i="2" s="1"/>
  <c r="V278" i="2"/>
  <c r="T278" i="2"/>
  <c r="Q278" i="2"/>
  <c r="R278" i="2" s="1" a="1"/>
  <c r="R278" i="2" s="1"/>
  <c r="O278" i="2"/>
  <c r="M278" i="2"/>
  <c r="J278" i="2"/>
  <c r="H278" i="2"/>
  <c r="E278" i="2"/>
  <c r="C278" i="2"/>
  <c r="V277" i="2"/>
  <c r="T277" i="2"/>
  <c r="R277" i="2" a="1"/>
  <c r="R277" i="2"/>
  <c r="Q277" i="2"/>
  <c r="O277" i="2"/>
  <c r="M277" i="2"/>
  <c r="J277" i="2"/>
  <c r="W277" i="2" s="1"/>
  <c r="X277" i="2" s="1"/>
  <c r="H277" i="2"/>
  <c r="E277" i="2"/>
  <c r="C277" i="2"/>
  <c r="V276" i="2"/>
  <c r="T276" i="2"/>
  <c r="R276" i="2" a="1"/>
  <c r="R276" i="2"/>
  <c r="Q276" i="2"/>
  <c r="O276" i="2"/>
  <c r="M276" i="2"/>
  <c r="J276" i="2"/>
  <c r="W276" i="2" s="1"/>
  <c r="X276" i="2" s="1"/>
  <c r="H276" i="2"/>
  <c r="E276" i="2"/>
  <c r="C276" i="2"/>
  <c r="V275" i="2"/>
  <c r="T275" i="2"/>
  <c r="Q275" i="2"/>
  <c r="R275" i="2" s="1" a="1"/>
  <c r="R275" i="2" s="1"/>
  <c r="O275" i="2"/>
  <c r="M275" i="2"/>
  <c r="J275" i="2"/>
  <c r="H275" i="2"/>
  <c r="E275" i="2"/>
  <c r="C275" i="2"/>
  <c r="V274" i="2"/>
  <c r="T274" i="2"/>
  <c r="Q274" i="2"/>
  <c r="R274" i="2" s="1" a="1"/>
  <c r="R274" i="2" s="1"/>
  <c r="O274" i="2"/>
  <c r="M274" i="2"/>
  <c r="J274" i="2"/>
  <c r="W274" i="2" s="1"/>
  <c r="X274" i="2" s="1"/>
  <c r="H274" i="2"/>
  <c r="E274" i="2"/>
  <c r="C274" i="2"/>
  <c r="W273" i="2"/>
  <c r="X273" i="2" s="1"/>
  <c r="V273" i="2"/>
  <c r="T273" i="2"/>
  <c r="Q273" i="2"/>
  <c r="R273" i="2" s="1" a="1"/>
  <c r="R273" i="2" s="1"/>
  <c r="O273" i="2"/>
  <c r="M273" i="2"/>
  <c r="J273" i="2"/>
  <c r="H273" i="2"/>
  <c r="E273" i="2"/>
  <c r="C273" i="2"/>
  <c r="V272" i="2"/>
  <c r="T272" i="2"/>
  <c r="R272" i="2" a="1"/>
  <c r="R272" i="2" s="1"/>
  <c r="Q272" i="2"/>
  <c r="O272" i="2"/>
  <c r="M272" i="2"/>
  <c r="J272" i="2"/>
  <c r="W272" i="2" s="1"/>
  <c r="X272" i="2" s="1"/>
  <c r="H272" i="2"/>
  <c r="E272" i="2"/>
  <c r="C272" i="2"/>
  <c r="V271" i="2"/>
  <c r="T271" i="2"/>
  <c r="Q271" i="2"/>
  <c r="R271" i="2" s="1" a="1"/>
  <c r="R271" i="2" s="1"/>
  <c r="O271" i="2"/>
  <c r="M271" i="2"/>
  <c r="J271" i="2"/>
  <c r="W271" i="2" s="1"/>
  <c r="X271" i="2" s="1"/>
  <c r="H271" i="2"/>
  <c r="E271" i="2"/>
  <c r="C271" i="2"/>
  <c r="V270" i="2"/>
  <c r="T270" i="2"/>
  <c r="Q270" i="2"/>
  <c r="R270" i="2" s="1" a="1"/>
  <c r="R270" i="2" s="1"/>
  <c r="O270" i="2"/>
  <c r="M270" i="2"/>
  <c r="J270" i="2"/>
  <c r="W270" i="2" s="1"/>
  <c r="X270" i="2" s="1"/>
  <c r="H270" i="2"/>
  <c r="E270" i="2"/>
  <c r="C270" i="2"/>
  <c r="V269" i="2"/>
  <c r="T269" i="2"/>
  <c r="R269" i="2" a="1"/>
  <c r="R269" i="2"/>
  <c r="Q269" i="2"/>
  <c r="O269" i="2"/>
  <c r="M269" i="2"/>
  <c r="J269" i="2"/>
  <c r="W269" i="2" s="1"/>
  <c r="X269" i="2" s="1"/>
  <c r="H269" i="2"/>
  <c r="E269" i="2"/>
  <c r="C269" i="2"/>
  <c r="X268" i="2"/>
  <c r="V268" i="2"/>
  <c r="T268" i="2"/>
  <c r="R268" i="2" a="1"/>
  <c r="R268" i="2" s="1"/>
  <c r="Q268" i="2"/>
  <c r="O268" i="2"/>
  <c r="M268" i="2"/>
  <c r="J268" i="2"/>
  <c r="W268" i="2" s="1"/>
  <c r="H268" i="2"/>
  <c r="E268" i="2"/>
  <c r="C268" i="2"/>
  <c r="V267" i="2"/>
  <c r="T267" i="2"/>
  <c r="Q267" i="2"/>
  <c r="R267" i="2" s="1" a="1"/>
  <c r="R267" i="2" s="1"/>
  <c r="O267" i="2"/>
  <c r="M267" i="2"/>
  <c r="J267" i="2"/>
  <c r="W267" i="2" s="1"/>
  <c r="X267" i="2" s="1"/>
  <c r="H267" i="2"/>
  <c r="E267" i="2"/>
  <c r="C267" i="2"/>
  <c r="V266" i="2"/>
  <c r="T266" i="2"/>
  <c r="R266" i="2"/>
  <c r="Q266" i="2"/>
  <c r="R266" i="2" s="1" a="1"/>
  <c r="O266" i="2"/>
  <c r="M266" i="2"/>
  <c r="J266" i="2"/>
  <c r="W266" i="2" s="1"/>
  <c r="X266" i="2" s="1"/>
  <c r="H266" i="2"/>
  <c r="E266" i="2"/>
  <c r="C266" i="2"/>
  <c r="X265" i="2"/>
  <c r="W265" i="2"/>
  <c r="V265" i="2"/>
  <c r="T265" i="2"/>
  <c r="Q265" i="2"/>
  <c r="R265" i="2" s="1" a="1"/>
  <c r="R265" i="2" s="1"/>
  <c r="O265" i="2"/>
  <c r="M265" i="2"/>
  <c r="J265" i="2"/>
  <c r="H265" i="2"/>
  <c r="E265" i="2"/>
  <c r="C265" i="2"/>
  <c r="V264" i="2"/>
  <c r="T264" i="2"/>
  <c r="R264" i="2" a="1"/>
  <c r="R264" i="2" s="1"/>
  <c r="Q264" i="2"/>
  <c r="O264" i="2"/>
  <c r="M264" i="2"/>
  <c r="J264" i="2"/>
  <c r="W264" i="2" s="1"/>
  <c r="X264" i="2" s="1"/>
  <c r="H264" i="2"/>
  <c r="E264" i="2"/>
  <c r="C264" i="2"/>
  <c r="V263" i="2"/>
  <c r="T263" i="2"/>
  <c r="Q263" i="2"/>
  <c r="R263" i="2" s="1" a="1"/>
  <c r="R263" i="2" s="1"/>
  <c r="O263" i="2"/>
  <c r="M263" i="2"/>
  <c r="J263" i="2"/>
  <c r="W263" i="2" s="1"/>
  <c r="X263" i="2" s="1"/>
  <c r="H263" i="2"/>
  <c r="E263" i="2"/>
  <c r="C263" i="2"/>
  <c r="W262" i="2"/>
  <c r="X262" i="2" s="1"/>
  <c r="V262" i="2"/>
  <c r="T262" i="2"/>
  <c r="Q262" i="2"/>
  <c r="R262" i="2" s="1" a="1"/>
  <c r="R262" i="2" s="1"/>
  <c r="O262" i="2"/>
  <c r="M262" i="2"/>
  <c r="J262" i="2"/>
  <c r="H262" i="2"/>
  <c r="E262" i="2"/>
  <c r="C262" i="2"/>
  <c r="V261" i="2"/>
  <c r="T261" i="2"/>
  <c r="R261" i="2" a="1"/>
  <c r="R261" i="2" s="1"/>
  <c r="Q261" i="2"/>
  <c r="O261" i="2"/>
  <c r="M261" i="2"/>
  <c r="J261" i="2"/>
  <c r="W261" i="2" s="1"/>
  <c r="X261" i="2" s="1"/>
  <c r="H261" i="2"/>
  <c r="E261" i="2"/>
  <c r="C261" i="2"/>
  <c r="V260" i="2"/>
  <c r="T260" i="2"/>
  <c r="R260" i="2" a="1"/>
  <c r="R260" i="2" s="1"/>
  <c r="Q260" i="2"/>
  <c r="O260" i="2"/>
  <c r="M260" i="2"/>
  <c r="J260" i="2"/>
  <c r="W260" i="2" s="1"/>
  <c r="X260" i="2" s="1"/>
  <c r="H260" i="2"/>
  <c r="E260" i="2"/>
  <c r="C260" i="2"/>
  <c r="V259" i="2"/>
  <c r="T259" i="2"/>
  <c r="Q259" i="2"/>
  <c r="R259" i="2" s="1" a="1"/>
  <c r="R259" i="2" s="1"/>
  <c r="O259" i="2"/>
  <c r="M259" i="2"/>
  <c r="J259" i="2"/>
  <c r="W259" i="2" s="1"/>
  <c r="X259" i="2" s="1"/>
  <c r="H259" i="2"/>
  <c r="E259" i="2"/>
  <c r="C259" i="2"/>
  <c r="V258" i="2"/>
  <c r="T258" i="2"/>
  <c r="Q258" i="2"/>
  <c r="R258" i="2" s="1" a="1"/>
  <c r="R258" i="2" s="1"/>
  <c r="O258" i="2"/>
  <c r="M258" i="2"/>
  <c r="J258" i="2"/>
  <c r="W258" i="2" s="1"/>
  <c r="X258" i="2" s="1"/>
  <c r="H258" i="2"/>
  <c r="E258" i="2"/>
  <c r="C258" i="2"/>
  <c r="W257" i="2"/>
  <c r="X257" i="2" s="1"/>
  <c r="V257" i="2"/>
  <c r="T257" i="2"/>
  <c r="Q257" i="2"/>
  <c r="R257" i="2" s="1" a="1"/>
  <c r="R257" i="2" s="1"/>
  <c r="O257" i="2"/>
  <c r="M257" i="2"/>
  <c r="J257" i="2"/>
  <c r="H257" i="2"/>
  <c r="E257" i="2"/>
  <c r="C257" i="2"/>
  <c r="V256" i="2"/>
  <c r="T256" i="2"/>
  <c r="R256" i="2" a="1"/>
  <c r="R256" i="2" s="1"/>
  <c r="Q256" i="2"/>
  <c r="O256" i="2"/>
  <c r="M256" i="2"/>
  <c r="J256" i="2"/>
  <c r="W256" i="2" s="1"/>
  <c r="X256" i="2" s="1"/>
  <c r="H256" i="2"/>
  <c r="E256" i="2"/>
  <c r="C256" i="2"/>
  <c r="V255" i="2"/>
  <c r="T255" i="2"/>
  <c r="Q255" i="2"/>
  <c r="R255" i="2" s="1" a="1"/>
  <c r="R255" i="2" s="1"/>
  <c r="O255" i="2"/>
  <c r="M255" i="2"/>
  <c r="J255" i="2"/>
  <c r="W255" i="2" s="1"/>
  <c r="X255" i="2" s="1"/>
  <c r="H255" i="2"/>
  <c r="E255" i="2"/>
  <c r="C255" i="2"/>
  <c r="V254" i="2"/>
  <c r="T254" i="2"/>
  <c r="Q254" i="2"/>
  <c r="R254" i="2" s="1" a="1"/>
  <c r="R254" i="2" s="1"/>
  <c r="O254" i="2"/>
  <c r="M254" i="2"/>
  <c r="J254" i="2"/>
  <c r="W254" i="2" s="1"/>
  <c r="X254" i="2" s="1"/>
  <c r="H254" i="2"/>
  <c r="E254" i="2"/>
  <c r="C254" i="2"/>
  <c r="V253" i="2"/>
  <c r="T253" i="2"/>
  <c r="R253" i="2" a="1"/>
  <c r="R253" i="2" s="1"/>
  <c r="Q253" i="2"/>
  <c r="O253" i="2"/>
  <c r="M253" i="2"/>
  <c r="J253" i="2"/>
  <c r="W253" i="2" s="1"/>
  <c r="X253" i="2" s="1"/>
  <c r="H253" i="2"/>
  <c r="E253" i="2"/>
  <c r="C253" i="2"/>
  <c r="V252" i="2"/>
  <c r="T252" i="2"/>
  <c r="R252" i="2" a="1"/>
  <c r="R252" i="2" s="1"/>
  <c r="Q252" i="2"/>
  <c r="O252" i="2"/>
  <c r="M252" i="2"/>
  <c r="J252" i="2"/>
  <c r="W252" i="2" s="1"/>
  <c r="X252" i="2" s="1"/>
  <c r="H252" i="2"/>
  <c r="E252" i="2"/>
  <c r="C252" i="2"/>
  <c r="V251" i="2"/>
  <c r="T251" i="2"/>
  <c r="Q251" i="2"/>
  <c r="R251" i="2" s="1" a="1"/>
  <c r="R251" i="2" s="1"/>
  <c r="O251" i="2"/>
  <c r="M251" i="2"/>
  <c r="J251" i="2"/>
  <c r="W251" i="2" s="1"/>
  <c r="X251" i="2" s="1"/>
  <c r="H251" i="2"/>
  <c r="E251" i="2"/>
  <c r="C251" i="2"/>
  <c r="V250" i="2"/>
  <c r="T250" i="2"/>
  <c r="R250" i="2"/>
  <c r="Q250" i="2"/>
  <c r="R250" i="2" s="1" a="1"/>
  <c r="O250" i="2"/>
  <c r="M250" i="2"/>
  <c r="J250" i="2"/>
  <c r="W250" i="2" s="1"/>
  <c r="X250" i="2" s="1"/>
  <c r="H250" i="2"/>
  <c r="E250" i="2"/>
  <c r="C250" i="2"/>
  <c r="X249" i="2"/>
  <c r="W249" i="2"/>
  <c r="V249" i="2"/>
  <c r="T249" i="2"/>
  <c r="Q249" i="2"/>
  <c r="R249" i="2" s="1" a="1"/>
  <c r="R249" i="2" s="1"/>
  <c r="O249" i="2"/>
  <c r="M249" i="2"/>
  <c r="J249" i="2"/>
  <c r="H249" i="2"/>
  <c r="E249" i="2"/>
  <c r="C249" i="2"/>
  <c r="V248" i="2"/>
  <c r="T248" i="2"/>
  <c r="R248" i="2" a="1"/>
  <c r="R248" i="2" s="1"/>
  <c r="Q248" i="2"/>
  <c r="O248" i="2"/>
  <c r="M248" i="2"/>
  <c r="J248" i="2"/>
  <c r="W248" i="2" s="1"/>
  <c r="X248" i="2" s="1"/>
  <c r="H248" i="2"/>
  <c r="E248" i="2"/>
  <c r="C248" i="2"/>
  <c r="V247" i="2"/>
  <c r="T247" i="2"/>
  <c r="Q247" i="2"/>
  <c r="R247" i="2" s="1" a="1"/>
  <c r="R247" i="2" s="1"/>
  <c r="O247" i="2"/>
  <c r="M247" i="2"/>
  <c r="J247" i="2"/>
  <c r="W247" i="2" s="1"/>
  <c r="X247" i="2" s="1"/>
  <c r="H247" i="2"/>
  <c r="E247" i="2"/>
  <c r="C247" i="2"/>
  <c r="W246" i="2"/>
  <c r="X246" i="2" s="1"/>
  <c r="V246" i="2"/>
  <c r="T246" i="2"/>
  <c r="Q246" i="2"/>
  <c r="R246" i="2" s="1" a="1"/>
  <c r="R246" i="2" s="1"/>
  <c r="O246" i="2"/>
  <c r="M246" i="2"/>
  <c r="J246" i="2"/>
  <c r="H246" i="2"/>
  <c r="E246" i="2"/>
  <c r="C246" i="2"/>
  <c r="V245" i="2"/>
  <c r="T245" i="2"/>
  <c r="R245" i="2" a="1"/>
  <c r="R245" i="2" s="1"/>
  <c r="Q245" i="2"/>
  <c r="O245" i="2"/>
  <c r="M245" i="2"/>
  <c r="J245" i="2"/>
  <c r="W245" i="2" s="1"/>
  <c r="X245" i="2" s="1"/>
  <c r="H245" i="2"/>
  <c r="E245" i="2"/>
  <c r="C245" i="2"/>
  <c r="V244" i="2"/>
  <c r="T244" i="2"/>
  <c r="R244" i="2" a="1"/>
  <c r="R244" i="2" s="1"/>
  <c r="Q244" i="2"/>
  <c r="O244" i="2"/>
  <c r="M244" i="2"/>
  <c r="J244" i="2"/>
  <c r="W244" i="2" s="1"/>
  <c r="X244" i="2" s="1"/>
  <c r="H244" i="2"/>
  <c r="E244" i="2"/>
  <c r="C244" i="2"/>
  <c r="V243" i="2"/>
  <c r="T243" i="2"/>
  <c r="Q243" i="2"/>
  <c r="R243" i="2" s="1" a="1"/>
  <c r="R243" i="2" s="1"/>
  <c r="O243" i="2"/>
  <c r="M243" i="2"/>
  <c r="J243" i="2"/>
  <c r="H243" i="2"/>
  <c r="E243" i="2"/>
  <c r="C243" i="2"/>
  <c r="V242" i="2"/>
  <c r="T242" i="2"/>
  <c r="R242" i="2"/>
  <c r="Q242" i="2"/>
  <c r="R242" i="2" s="1" a="1"/>
  <c r="O242" i="2"/>
  <c r="M242" i="2"/>
  <c r="J242" i="2"/>
  <c r="W242" i="2" s="1"/>
  <c r="X242" i="2" s="1"/>
  <c r="H242" i="2"/>
  <c r="E242" i="2"/>
  <c r="C242" i="2"/>
  <c r="V241" i="2"/>
  <c r="T241" i="2"/>
  <c r="Q241" i="2"/>
  <c r="R241" i="2" s="1" a="1"/>
  <c r="R241" i="2" s="1"/>
  <c r="O241" i="2"/>
  <c r="M241" i="2"/>
  <c r="J241" i="2"/>
  <c r="W241" i="2" s="1"/>
  <c r="X241" i="2" s="1"/>
  <c r="H241" i="2"/>
  <c r="E241" i="2"/>
  <c r="C241" i="2"/>
  <c r="V240" i="2"/>
  <c r="T240" i="2"/>
  <c r="R240" i="2" a="1"/>
  <c r="R240" i="2" s="1"/>
  <c r="Q240" i="2"/>
  <c r="O240" i="2"/>
  <c r="M240" i="2"/>
  <c r="J240" i="2"/>
  <c r="W240" i="2" s="1"/>
  <c r="X240" i="2" s="1"/>
  <c r="H240" i="2"/>
  <c r="E240" i="2"/>
  <c r="C240" i="2"/>
  <c r="V239" i="2"/>
  <c r="T239" i="2"/>
  <c r="Q239" i="2"/>
  <c r="R239" i="2" s="1" a="1"/>
  <c r="R239" i="2" s="1"/>
  <c r="O239" i="2"/>
  <c r="M239" i="2"/>
  <c r="J239" i="2"/>
  <c r="W239" i="2" s="1"/>
  <c r="X239" i="2" s="1"/>
  <c r="H239" i="2"/>
  <c r="E239" i="2"/>
  <c r="C239" i="2"/>
  <c r="V238" i="2"/>
  <c r="T238" i="2"/>
  <c r="Q238" i="2"/>
  <c r="R238" i="2" s="1" a="1"/>
  <c r="R238" i="2" s="1"/>
  <c r="O238" i="2"/>
  <c r="M238" i="2"/>
  <c r="J238" i="2"/>
  <c r="W238" i="2" s="1"/>
  <c r="X238" i="2" s="1"/>
  <c r="H238" i="2"/>
  <c r="E238" i="2"/>
  <c r="C238" i="2"/>
  <c r="V237" i="2"/>
  <c r="T237" i="2"/>
  <c r="R237" i="2" a="1"/>
  <c r="R237" i="2"/>
  <c r="Q237" i="2"/>
  <c r="O237" i="2"/>
  <c r="M237" i="2"/>
  <c r="J237" i="2"/>
  <c r="W237" i="2" s="1"/>
  <c r="X237" i="2" s="1"/>
  <c r="H237" i="2"/>
  <c r="E237" i="2"/>
  <c r="C237" i="2"/>
  <c r="X236" i="2"/>
  <c r="V236" i="2"/>
  <c r="T236" i="2"/>
  <c r="R236" i="2" a="1"/>
  <c r="R236" i="2" s="1"/>
  <c r="Q236" i="2"/>
  <c r="O236" i="2"/>
  <c r="M236" i="2"/>
  <c r="J236" i="2"/>
  <c r="W236" i="2" s="1"/>
  <c r="H236" i="2"/>
  <c r="E236" i="2"/>
  <c r="C236" i="2"/>
  <c r="V235" i="2"/>
  <c r="T235" i="2"/>
  <c r="Q235" i="2"/>
  <c r="R235" i="2" s="1" a="1"/>
  <c r="R235" i="2" s="1"/>
  <c r="O235" i="2"/>
  <c r="M235" i="2"/>
  <c r="J235" i="2"/>
  <c r="W235" i="2" s="1"/>
  <c r="X235" i="2" s="1"/>
  <c r="H235" i="2"/>
  <c r="E235" i="2"/>
  <c r="C235" i="2"/>
  <c r="V234" i="2"/>
  <c r="T234" i="2"/>
  <c r="R234" i="2"/>
  <c r="Q234" i="2"/>
  <c r="R234" i="2" s="1" a="1"/>
  <c r="O234" i="2"/>
  <c r="M234" i="2"/>
  <c r="J234" i="2"/>
  <c r="W234" i="2" s="1"/>
  <c r="X234" i="2" s="1"/>
  <c r="H234" i="2"/>
  <c r="E234" i="2"/>
  <c r="C234" i="2"/>
  <c r="V233" i="2"/>
  <c r="T233" i="2"/>
  <c r="R233" i="2"/>
  <c r="Q233" i="2"/>
  <c r="R233" i="2" s="1" a="1"/>
  <c r="O233" i="2"/>
  <c r="M233" i="2"/>
  <c r="J233" i="2"/>
  <c r="W233" i="2" s="1"/>
  <c r="X233" i="2" s="1"/>
  <c r="H233" i="2"/>
  <c r="E233" i="2"/>
  <c r="C233" i="2"/>
  <c r="V232" i="2"/>
  <c r="T232" i="2"/>
  <c r="R232" i="2" a="1"/>
  <c r="R232" i="2" s="1"/>
  <c r="Q232" i="2"/>
  <c r="O232" i="2"/>
  <c r="M232" i="2"/>
  <c r="J232" i="2"/>
  <c r="W232" i="2" s="1"/>
  <c r="X232" i="2" s="1"/>
  <c r="H232" i="2"/>
  <c r="E232" i="2"/>
  <c r="C232" i="2"/>
  <c r="V231" i="2"/>
  <c r="T231" i="2"/>
  <c r="R231" i="2" a="1"/>
  <c r="R231" i="2" s="1"/>
  <c r="Q231" i="2"/>
  <c r="O231" i="2"/>
  <c r="M231" i="2"/>
  <c r="J231" i="2"/>
  <c r="W231" i="2" s="1"/>
  <c r="X231" i="2" s="1"/>
  <c r="H231" i="2"/>
  <c r="E231" i="2"/>
  <c r="C231" i="2"/>
  <c r="W230" i="2"/>
  <c r="X230" i="2" s="1"/>
  <c r="V230" i="2"/>
  <c r="T230" i="2"/>
  <c r="Q230" i="2"/>
  <c r="R230" i="2" s="1" a="1"/>
  <c r="R230" i="2" s="1"/>
  <c r="O230" i="2"/>
  <c r="M230" i="2"/>
  <c r="J230" i="2"/>
  <c r="H230" i="2"/>
  <c r="E230" i="2"/>
  <c r="C230" i="2"/>
  <c r="V229" i="2"/>
  <c r="T229" i="2"/>
  <c r="R229" i="2" a="1"/>
  <c r="R229" i="2" s="1"/>
  <c r="Q229" i="2"/>
  <c r="O229" i="2"/>
  <c r="M229" i="2"/>
  <c r="J229" i="2"/>
  <c r="W229" i="2" s="1"/>
  <c r="X229" i="2" s="1"/>
  <c r="H229" i="2"/>
  <c r="E229" i="2"/>
  <c r="C229" i="2"/>
  <c r="V228" i="2"/>
  <c r="T228" i="2"/>
  <c r="R228" i="2" a="1"/>
  <c r="R228" i="2"/>
  <c r="Q228" i="2"/>
  <c r="O228" i="2"/>
  <c r="M228" i="2"/>
  <c r="J228" i="2"/>
  <c r="W228" i="2" s="1"/>
  <c r="X228" i="2" s="1"/>
  <c r="H228" i="2"/>
  <c r="E228" i="2"/>
  <c r="C228" i="2"/>
  <c r="X227" i="2"/>
  <c r="V227" i="2"/>
  <c r="T227" i="2"/>
  <c r="Q227" i="2"/>
  <c r="R227" i="2" s="1" a="1"/>
  <c r="R227" i="2" s="1"/>
  <c r="O227" i="2"/>
  <c r="M227" i="2"/>
  <c r="J227" i="2"/>
  <c r="W227" i="2" s="1"/>
  <c r="H227" i="2"/>
  <c r="E227" i="2"/>
  <c r="C227" i="2"/>
  <c r="V226" i="2"/>
  <c r="T226" i="2"/>
  <c r="R226" i="2"/>
  <c r="Q226" i="2"/>
  <c r="R226" i="2" s="1" a="1"/>
  <c r="O226" i="2"/>
  <c r="M226" i="2"/>
  <c r="J226" i="2"/>
  <c r="H226" i="2"/>
  <c r="E226" i="2"/>
  <c r="C226" i="2"/>
  <c r="V225" i="2"/>
  <c r="T225" i="2"/>
  <c r="R225" i="2"/>
  <c r="Q225" i="2"/>
  <c r="R225" i="2" s="1" a="1"/>
  <c r="O225" i="2"/>
  <c r="M225" i="2"/>
  <c r="J225" i="2"/>
  <c r="W225" i="2" s="1"/>
  <c r="X225" i="2" s="1"/>
  <c r="H225" i="2"/>
  <c r="E225" i="2"/>
  <c r="C225" i="2"/>
  <c r="V224" i="2"/>
  <c r="T224" i="2"/>
  <c r="R224" i="2" a="1"/>
  <c r="R224" i="2" s="1"/>
  <c r="Q224" i="2"/>
  <c r="O224" i="2"/>
  <c r="M224" i="2"/>
  <c r="J224" i="2"/>
  <c r="W224" i="2" s="1"/>
  <c r="X224" i="2" s="1"/>
  <c r="H224" i="2"/>
  <c r="E224" i="2"/>
  <c r="C224" i="2"/>
  <c r="V223" i="2"/>
  <c r="T223" i="2"/>
  <c r="R223" i="2" a="1"/>
  <c r="R223" i="2" s="1"/>
  <c r="Q223" i="2"/>
  <c r="O223" i="2"/>
  <c r="M223" i="2"/>
  <c r="J223" i="2"/>
  <c r="W223" i="2" s="1"/>
  <c r="X223" i="2" s="1"/>
  <c r="H223" i="2"/>
  <c r="E223" i="2"/>
  <c r="C223" i="2"/>
  <c r="V222" i="2"/>
  <c r="T222" i="2"/>
  <c r="Q222" i="2"/>
  <c r="R222" i="2" s="1" a="1"/>
  <c r="R222" i="2" s="1"/>
  <c r="O222" i="2"/>
  <c r="M222" i="2"/>
  <c r="J222" i="2"/>
  <c r="W222" i="2" s="1"/>
  <c r="X222" i="2" s="1"/>
  <c r="H222" i="2"/>
  <c r="E222" i="2"/>
  <c r="C222" i="2"/>
  <c r="V221" i="2"/>
  <c r="T221" i="2"/>
  <c r="R221" i="2" a="1"/>
  <c r="R221" i="2" s="1"/>
  <c r="Q221" i="2"/>
  <c r="O221" i="2"/>
  <c r="M221" i="2"/>
  <c r="J221" i="2"/>
  <c r="W221" i="2" s="1"/>
  <c r="X221" i="2" s="1"/>
  <c r="H221" i="2"/>
  <c r="E221" i="2"/>
  <c r="C221" i="2"/>
  <c r="V220" i="2"/>
  <c r="T220" i="2"/>
  <c r="Q220" i="2"/>
  <c r="R220" i="2" s="1" a="1"/>
  <c r="R220" i="2" s="1"/>
  <c r="O220" i="2"/>
  <c r="M220" i="2"/>
  <c r="J220" i="2"/>
  <c r="W220" i="2" s="1"/>
  <c r="X220" i="2" s="1"/>
  <c r="H220" i="2"/>
  <c r="E220" i="2"/>
  <c r="C220" i="2"/>
  <c r="V219" i="2"/>
  <c r="W219" i="2" s="1"/>
  <c r="X219" i="2" s="1"/>
  <c r="T219" i="2"/>
  <c r="Q219" i="2"/>
  <c r="R219" i="2" s="1" a="1"/>
  <c r="R219" i="2" s="1"/>
  <c r="O219" i="2"/>
  <c r="M219" i="2"/>
  <c r="J219" i="2"/>
  <c r="H219" i="2"/>
  <c r="E219" i="2"/>
  <c r="C219" i="2"/>
  <c r="V218" i="2"/>
  <c r="T218" i="2"/>
  <c r="Q218" i="2"/>
  <c r="R218" i="2" s="1" a="1"/>
  <c r="R218" i="2" s="1"/>
  <c r="O218" i="2"/>
  <c r="M218" i="2"/>
  <c r="J218" i="2"/>
  <c r="W218" i="2" s="1"/>
  <c r="X218" i="2" s="1"/>
  <c r="H218" i="2"/>
  <c r="E218" i="2"/>
  <c r="C218" i="2"/>
  <c r="V217" i="2"/>
  <c r="T217" i="2"/>
  <c r="R217" i="2" a="1"/>
  <c r="R217" i="2" s="1"/>
  <c r="Q217" i="2"/>
  <c r="O217" i="2"/>
  <c r="M217" i="2"/>
  <c r="J217" i="2"/>
  <c r="W217" i="2" s="1"/>
  <c r="X217" i="2" s="1"/>
  <c r="H217" i="2"/>
  <c r="E217" i="2"/>
  <c r="C217" i="2"/>
  <c r="V216" i="2"/>
  <c r="T216" i="2"/>
  <c r="R216" i="2" a="1"/>
  <c r="R216" i="2" s="1"/>
  <c r="Q216" i="2"/>
  <c r="O216" i="2"/>
  <c r="M216" i="2"/>
  <c r="J216" i="2"/>
  <c r="W216" i="2" s="1"/>
  <c r="X216" i="2" s="1"/>
  <c r="H216" i="2"/>
  <c r="E216" i="2"/>
  <c r="C216" i="2"/>
  <c r="V215" i="2"/>
  <c r="T215" i="2"/>
  <c r="R215" i="2" a="1"/>
  <c r="R215" i="2" s="1"/>
  <c r="Q215" i="2"/>
  <c r="O215" i="2"/>
  <c r="M215" i="2"/>
  <c r="J215" i="2"/>
  <c r="H215" i="2"/>
  <c r="E215" i="2"/>
  <c r="C215" i="2"/>
  <c r="W214" i="2"/>
  <c r="X214" i="2" s="1"/>
  <c r="V214" i="2"/>
  <c r="T214" i="2"/>
  <c r="Q214" i="2"/>
  <c r="R214" i="2" s="1" a="1"/>
  <c r="R214" i="2" s="1"/>
  <c r="O214" i="2"/>
  <c r="M214" i="2"/>
  <c r="J214" i="2"/>
  <c r="H214" i="2"/>
  <c r="E214" i="2"/>
  <c r="C214" i="2"/>
  <c r="V213" i="2"/>
  <c r="T213" i="2"/>
  <c r="Q213" i="2"/>
  <c r="R213" i="2" s="1" a="1"/>
  <c r="R213" i="2" s="1"/>
  <c r="O213" i="2"/>
  <c r="M213" i="2"/>
  <c r="J213" i="2"/>
  <c r="W213" i="2" s="1"/>
  <c r="X213" i="2" s="1"/>
  <c r="H213" i="2"/>
  <c r="E213" i="2"/>
  <c r="C213" i="2"/>
  <c r="V212" i="2"/>
  <c r="T212" i="2"/>
  <c r="R212" i="2" a="1"/>
  <c r="R212" i="2" s="1"/>
  <c r="Q212" i="2"/>
  <c r="O212" i="2"/>
  <c r="M212" i="2"/>
  <c r="J212" i="2"/>
  <c r="W212" i="2" s="1"/>
  <c r="X212" i="2" s="1"/>
  <c r="H212" i="2"/>
  <c r="E212" i="2"/>
  <c r="C212" i="2"/>
  <c r="V211" i="2"/>
  <c r="T211" i="2"/>
  <c r="Q211" i="2"/>
  <c r="R211" i="2" s="1" a="1"/>
  <c r="R211" i="2" s="1"/>
  <c r="O211" i="2"/>
  <c r="M211" i="2"/>
  <c r="J211" i="2"/>
  <c r="W211" i="2" s="1"/>
  <c r="X211" i="2" s="1"/>
  <c r="H211" i="2"/>
  <c r="E211" i="2"/>
  <c r="C211" i="2"/>
  <c r="V210" i="2"/>
  <c r="T210" i="2"/>
  <c r="R210" i="2" a="1"/>
  <c r="R210" i="2" s="1"/>
  <c r="Q210" i="2"/>
  <c r="O210" i="2"/>
  <c r="M210" i="2"/>
  <c r="J210" i="2"/>
  <c r="W210" i="2" s="1"/>
  <c r="X210" i="2" s="1"/>
  <c r="H210" i="2"/>
  <c r="E210" i="2"/>
  <c r="C210" i="2"/>
  <c r="V209" i="2"/>
  <c r="T209" i="2"/>
  <c r="Q209" i="2"/>
  <c r="R209" i="2" s="1" a="1"/>
  <c r="R209" i="2" s="1"/>
  <c r="O209" i="2"/>
  <c r="M209" i="2"/>
  <c r="J209" i="2"/>
  <c r="W209" i="2" s="1"/>
  <c r="X209" i="2" s="1"/>
  <c r="H209" i="2"/>
  <c r="E209" i="2"/>
  <c r="C209" i="2"/>
  <c r="V208" i="2"/>
  <c r="T208" i="2"/>
  <c r="R208" i="2" a="1"/>
  <c r="R208" i="2" s="1"/>
  <c r="Q208" i="2"/>
  <c r="O208" i="2"/>
  <c r="M208" i="2"/>
  <c r="J208" i="2"/>
  <c r="W208" i="2" s="1"/>
  <c r="X208" i="2" s="1"/>
  <c r="H208" i="2"/>
  <c r="E208" i="2"/>
  <c r="C208" i="2"/>
  <c r="V207" i="2"/>
  <c r="T207" i="2"/>
  <c r="Q207" i="2"/>
  <c r="R207" i="2" s="1" a="1"/>
  <c r="R207" i="2" s="1"/>
  <c r="O207" i="2"/>
  <c r="M207" i="2"/>
  <c r="J207" i="2"/>
  <c r="H207" i="2"/>
  <c r="E207" i="2"/>
  <c r="C207" i="2"/>
  <c r="V206" i="2"/>
  <c r="T206" i="2"/>
  <c r="R206" i="2" a="1"/>
  <c r="R206" i="2"/>
  <c r="Q206" i="2"/>
  <c r="O206" i="2"/>
  <c r="M206" i="2"/>
  <c r="J206" i="2"/>
  <c r="W206" i="2" s="1"/>
  <c r="X206" i="2" s="1"/>
  <c r="H206" i="2"/>
  <c r="E206" i="2"/>
  <c r="C206" i="2"/>
  <c r="V205" i="2"/>
  <c r="T205" i="2"/>
  <c r="R205" i="2" a="1"/>
  <c r="R205" i="2" s="1"/>
  <c r="Q205" i="2"/>
  <c r="O205" i="2"/>
  <c r="M205" i="2"/>
  <c r="J205" i="2"/>
  <c r="W205" i="2" s="1"/>
  <c r="X205" i="2" s="1"/>
  <c r="H205" i="2"/>
  <c r="E205" i="2"/>
  <c r="C205" i="2"/>
  <c r="V204" i="2"/>
  <c r="T204" i="2"/>
  <c r="Q204" i="2"/>
  <c r="R204" i="2" s="1" a="1"/>
  <c r="R204" i="2" s="1"/>
  <c r="O204" i="2"/>
  <c r="M204" i="2"/>
  <c r="J204" i="2"/>
  <c r="W204" i="2" s="1"/>
  <c r="X204" i="2" s="1"/>
  <c r="H204" i="2"/>
  <c r="E204" i="2"/>
  <c r="C204" i="2"/>
  <c r="V203" i="2"/>
  <c r="T203" i="2"/>
  <c r="R203" i="2" a="1"/>
  <c r="R203" i="2" s="1"/>
  <c r="Q203" i="2"/>
  <c r="O203" i="2"/>
  <c r="M203" i="2"/>
  <c r="J203" i="2"/>
  <c r="H203" i="2"/>
  <c r="E203" i="2"/>
  <c r="C203" i="2"/>
  <c r="V202" i="2"/>
  <c r="T202" i="2"/>
  <c r="R202" i="2"/>
  <c r="Q202" i="2"/>
  <c r="R202" i="2" s="1" a="1"/>
  <c r="O202" i="2"/>
  <c r="M202" i="2"/>
  <c r="J202" i="2"/>
  <c r="W202" i="2" s="1"/>
  <c r="X202" i="2" s="1"/>
  <c r="H202" i="2"/>
  <c r="E202" i="2"/>
  <c r="C202" i="2"/>
  <c r="V201" i="2"/>
  <c r="T201" i="2"/>
  <c r="Q201" i="2"/>
  <c r="R201" i="2" s="1" a="1"/>
  <c r="R201" i="2" s="1"/>
  <c r="O201" i="2"/>
  <c r="M201" i="2"/>
  <c r="J201" i="2"/>
  <c r="W201" i="2" s="1"/>
  <c r="X201" i="2" s="1"/>
  <c r="H201" i="2"/>
  <c r="E201" i="2"/>
  <c r="C201" i="2"/>
  <c r="V200" i="2"/>
  <c r="T200" i="2"/>
  <c r="R200" i="2" a="1"/>
  <c r="R200" i="2" s="1"/>
  <c r="Q200" i="2"/>
  <c r="O200" i="2"/>
  <c r="M200" i="2"/>
  <c r="J200" i="2"/>
  <c r="W200" i="2" s="1"/>
  <c r="X200" i="2" s="1"/>
  <c r="H200" i="2"/>
  <c r="E200" i="2"/>
  <c r="C200" i="2"/>
  <c r="V199" i="2"/>
  <c r="T199" i="2"/>
  <c r="Q199" i="2"/>
  <c r="R199" i="2" s="1" a="1"/>
  <c r="R199" i="2" s="1"/>
  <c r="O199" i="2"/>
  <c r="M199" i="2"/>
  <c r="J199" i="2"/>
  <c r="W199" i="2" s="1"/>
  <c r="X199" i="2" s="1"/>
  <c r="H199" i="2"/>
  <c r="E199" i="2"/>
  <c r="C199" i="2"/>
  <c r="V198" i="2"/>
  <c r="T198" i="2"/>
  <c r="Q198" i="2"/>
  <c r="R198" i="2" s="1" a="1"/>
  <c r="R198" i="2" s="1"/>
  <c r="O198" i="2"/>
  <c r="M198" i="2"/>
  <c r="J198" i="2"/>
  <c r="W198" i="2" s="1"/>
  <c r="X198" i="2" s="1"/>
  <c r="H198" i="2"/>
  <c r="E198" i="2"/>
  <c r="C198" i="2"/>
  <c r="V197" i="2"/>
  <c r="T197" i="2"/>
  <c r="R197" i="2" a="1"/>
  <c r="R197" i="2" s="1"/>
  <c r="Q197" i="2"/>
  <c r="O197" i="2"/>
  <c r="M197" i="2"/>
  <c r="J197" i="2"/>
  <c r="W197" i="2" s="1"/>
  <c r="X197" i="2" s="1"/>
  <c r="H197" i="2"/>
  <c r="E197" i="2"/>
  <c r="C197" i="2"/>
  <c r="V196" i="2"/>
  <c r="T196" i="2"/>
  <c r="Q196" i="2"/>
  <c r="R196" i="2" s="1" a="1"/>
  <c r="R196" i="2" s="1"/>
  <c r="O196" i="2"/>
  <c r="M196" i="2"/>
  <c r="J196" i="2"/>
  <c r="W196" i="2" s="1"/>
  <c r="X196" i="2" s="1"/>
  <c r="H196" i="2"/>
  <c r="E196" i="2"/>
  <c r="C196" i="2"/>
  <c r="V195" i="2"/>
  <c r="T195" i="2"/>
  <c r="R195" i="2" a="1"/>
  <c r="R195" i="2" s="1"/>
  <c r="Q195" i="2"/>
  <c r="O195" i="2"/>
  <c r="M195" i="2"/>
  <c r="J195" i="2"/>
  <c r="W195" i="2" s="1"/>
  <c r="X195" i="2" s="1"/>
  <c r="H195" i="2"/>
  <c r="E195" i="2"/>
  <c r="C195" i="2"/>
  <c r="V194" i="2"/>
  <c r="T194" i="2"/>
  <c r="R194" i="2"/>
  <c r="Q194" i="2"/>
  <c r="R194" i="2" s="1" a="1"/>
  <c r="O194" i="2"/>
  <c r="M194" i="2"/>
  <c r="J194" i="2"/>
  <c r="W194" i="2" s="1"/>
  <c r="X194" i="2" s="1"/>
  <c r="H194" i="2"/>
  <c r="E194" i="2"/>
  <c r="C194" i="2"/>
  <c r="V193" i="2"/>
  <c r="T193" i="2"/>
  <c r="Q193" i="2"/>
  <c r="R193" i="2" s="1" a="1"/>
  <c r="R193" i="2" s="1"/>
  <c r="O193" i="2"/>
  <c r="M193" i="2"/>
  <c r="J193" i="2"/>
  <c r="W193" i="2" s="1"/>
  <c r="X193" i="2" s="1"/>
  <c r="H193" i="2"/>
  <c r="E193" i="2"/>
  <c r="C193" i="2"/>
  <c r="V192" i="2"/>
  <c r="T192" i="2"/>
  <c r="R192" i="2" a="1"/>
  <c r="R192" i="2" s="1"/>
  <c r="Q192" i="2"/>
  <c r="O192" i="2"/>
  <c r="M192" i="2"/>
  <c r="J192" i="2"/>
  <c r="W192" i="2" s="1"/>
  <c r="X192" i="2" s="1"/>
  <c r="H192" i="2"/>
  <c r="E192" i="2"/>
  <c r="C192" i="2"/>
  <c r="V191" i="2"/>
  <c r="T191" i="2"/>
  <c r="Q191" i="2"/>
  <c r="R191" i="2" s="1" a="1"/>
  <c r="R191" i="2" s="1"/>
  <c r="O191" i="2"/>
  <c r="M191" i="2"/>
  <c r="J191" i="2"/>
  <c r="W191" i="2" s="1"/>
  <c r="X191" i="2" s="1"/>
  <c r="H191" i="2"/>
  <c r="E191" i="2"/>
  <c r="C191" i="2"/>
  <c r="W190" i="2"/>
  <c r="X190" i="2" s="1"/>
  <c r="V190" i="2"/>
  <c r="T190" i="2"/>
  <c r="Q190" i="2"/>
  <c r="R190" i="2" s="1" a="1"/>
  <c r="R190" i="2" s="1"/>
  <c r="O190" i="2"/>
  <c r="M190" i="2"/>
  <c r="J190" i="2"/>
  <c r="H190" i="2"/>
  <c r="E190" i="2"/>
  <c r="C190" i="2"/>
  <c r="V189" i="2"/>
  <c r="T189" i="2"/>
  <c r="R189" i="2" a="1"/>
  <c r="R189" i="2" s="1"/>
  <c r="Q189" i="2"/>
  <c r="O189" i="2"/>
  <c r="M189" i="2"/>
  <c r="J189" i="2"/>
  <c r="W189" i="2" s="1"/>
  <c r="X189" i="2" s="1"/>
  <c r="H189" i="2"/>
  <c r="E189" i="2"/>
  <c r="C189" i="2"/>
  <c r="V188" i="2"/>
  <c r="T188" i="2"/>
  <c r="Q188" i="2"/>
  <c r="R188" i="2" s="1" a="1"/>
  <c r="R188" i="2" s="1"/>
  <c r="O188" i="2"/>
  <c r="M188" i="2"/>
  <c r="J188" i="2"/>
  <c r="W188" i="2" s="1"/>
  <c r="X188" i="2" s="1"/>
  <c r="H188" i="2"/>
  <c r="E188" i="2"/>
  <c r="C188" i="2"/>
  <c r="V187" i="2"/>
  <c r="T187" i="2"/>
  <c r="R187" i="2" a="1"/>
  <c r="R187" i="2" s="1"/>
  <c r="Q187" i="2"/>
  <c r="O187" i="2"/>
  <c r="M187" i="2"/>
  <c r="J187" i="2"/>
  <c r="W187" i="2" s="1"/>
  <c r="X187" i="2" s="1"/>
  <c r="H187" i="2"/>
  <c r="E187" i="2"/>
  <c r="C187" i="2"/>
  <c r="V186" i="2"/>
  <c r="T186" i="2"/>
  <c r="R186" i="2"/>
  <c r="Q186" i="2"/>
  <c r="R186" i="2" s="1" a="1"/>
  <c r="O186" i="2"/>
  <c r="M186" i="2"/>
  <c r="J186" i="2"/>
  <c r="W186" i="2" s="1"/>
  <c r="X186" i="2" s="1"/>
  <c r="H186" i="2"/>
  <c r="E186" i="2"/>
  <c r="C186" i="2"/>
  <c r="X185" i="2"/>
  <c r="V185" i="2"/>
  <c r="T185" i="2"/>
  <c r="Q185" i="2"/>
  <c r="R185" i="2" s="1" a="1"/>
  <c r="R185" i="2" s="1"/>
  <c r="O185" i="2"/>
  <c r="M185" i="2"/>
  <c r="J185" i="2"/>
  <c r="W185" i="2" s="1"/>
  <c r="H185" i="2"/>
  <c r="E185" i="2"/>
  <c r="C185" i="2"/>
  <c r="V184" i="2"/>
  <c r="T184" i="2"/>
  <c r="R184" i="2" a="1"/>
  <c r="R184" i="2" s="1"/>
  <c r="Q184" i="2"/>
  <c r="O184" i="2"/>
  <c r="M184" i="2"/>
  <c r="J184" i="2"/>
  <c r="W184" i="2" s="1"/>
  <c r="X184" i="2" s="1"/>
  <c r="H184" i="2"/>
  <c r="E184" i="2"/>
  <c r="C184" i="2"/>
  <c r="V183" i="2"/>
  <c r="T183" i="2"/>
  <c r="Q183" i="2"/>
  <c r="R183" i="2" s="1" a="1"/>
  <c r="R183" i="2" s="1"/>
  <c r="O183" i="2"/>
  <c r="M183" i="2"/>
  <c r="J183" i="2"/>
  <c r="W183" i="2" s="1"/>
  <c r="X183" i="2" s="1"/>
  <c r="H183" i="2"/>
  <c r="E183" i="2"/>
  <c r="C183" i="2"/>
  <c r="W182" i="2"/>
  <c r="X182" i="2" s="1"/>
  <c r="V182" i="2"/>
  <c r="T182" i="2"/>
  <c r="Q182" i="2"/>
  <c r="R182" i="2" s="1" a="1"/>
  <c r="R182" i="2" s="1"/>
  <c r="O182" i="2"/>
  <c r="M182" i="2"/>
  <c r="J182" i="2"/>
  <c r="H182" i="2"/>
  <c r="E182" i="2"/>
  <c r="C182" i="2"/>
  <c r="V181" i="2"/>
  <c r="T181" i="2"/>
  <c r="R181" i="2" a="1"/>
  <c r="R181" i="2" s="1"/>
  <c r="Q181" i="2"/>
  <c r="O181" i="2"/>
  <c r="M181" i="2"/>
  <c r="J181" i="2"/>
  <c r="W181" i="2" s="1"/>
  <c r="X181" i="2" s="1"/>
  <c r="H181" i="2"/>
  <c r="E181" i="2"/>
  <c r="C181" i="2"/>
  <c r="V180" i="2"/>
  <c r="T180" i="2"/>
  <c r="Q180" i="2"/>
  <c r="R180" i="2" s="1" a="1"/>
  <c r="R180" i="2" s="1"/>
  <c r="O180" i="2"/>
  <c r="M180" i="2"/>
  <c r="J180" i="2"/>
  <c r="W180" i="2" s="1"/>
  <c r="X180" i="2" s="1"/>
  <c r="H180" i="2"/>
  <c r="E180" i="2"/>
  <c r="C180" i="2"/>
  <c r="V179" i="2"/>
  <c r="T179" i="2"/>
  <c r="R179" i="2" a="1"/>
  <c r="R179" i="2" s="1"/>
  <c r="Q179" i="2"/>
  <c r="O179" i="2"/>
  <c r="M179" i="2"/>
  <c r="J179" i="2"/>
  <c r="W179" i="2" s="1"/>
  <c r="X179" i="2" s="1"/>
  <c r="H179" i="2"/>
  <c r="E179" i="2"/>
  <c r="C179" i="2"/>
  <c r="V178" i="2"/>
  <c r="T178" i="2"/>
  <c r="Q178" i="2"/>
  <c r="R178" i="2" s="1" a="1"/>
  <c r="R178" i="2" s="1"/>
  <c r="O178" i="2"/>
  <c r="M178" i="2"/>
  <c r="J178" i="2"/>
  <c r="W178" i="2" s="1"/>
  <c r="X178" i="2" s="1"/>
  <c r="H178" i="2"/>
  <c r="E178" i="2"/>
  <c r="C178" i="2"/>
  <c r="V177" i="2"/>
  <c r="T177" i="2"/>
  <c r="Q177" i="2"/>
  <c r="R177" i="2" s="1" a="1"/>
  <c r="R177" i="2" s="1"/>
  <c r="O177" i="2"/>
  <c r="M177" i="2"/>
  <c r="J177" i="2"/>
  <c r="W177" i="2" s="1"/>
  <c r="X177" i="2" s="1"/>
  <c r="H177" i="2"/>
  <c r="E177" i="2"/>
  <c r="C177" i="2"/>
  <c r="V176" i="2"/>
  <c r="T176" i="2"/>
  <c r="R176" i="2" a="1"/>
  <c r="R176" i="2" s="1"/>
  <c r="Q176" i="2"/>
  <c r="O176" i="2"/>
  <c r="M176" i="2"/>
  <c r="J176" i="2"/>
  <c r="W176" i="2" s="1"/>
  <c r="X176" i="2" s="1"/>
  <c r="H176" i="2"/>
  <c r="E176" i="2"/>
  <c r="C176" i="2"/>
  <c r="V175" i="2"/>
  <c r="T175" i="2"/>
  <c r="Q175" i="2"/>
  <c r="R175" i="2" s="1" a="1"/>
  <c r="R175" i="2" s="1"/>
  <c r="O175" i="2"/>
  <c r="M175" i="2"/>
  <c r="J175" i="2"/>
  <c r="W175" i="2" s="1"/>
  <c r="X175" i="2" s="1"/>
  <c r="H175" i="2"/>
  <c r="E175" i="2"/>
  <c r="C175" i="2"/>
  <c r="W174" i="2"/>
  <c r="X174" i="2" s="1"/>
  <c r="V174" i="2"/>
  <c r="T174" i="2"/>
  <c r="Q174" i="2"/>
  <c r="R174" i="2" s="1" a="1"/>
  <c r="R174" i="2" s="1"/>
  <c r="O174" i="2"/>
  <c r="M174" i="2"/>
  <c r="J174" i="2"/>
  <c r="H174" i="2"/>
  <c r="E174" i="2"/>
  <c r="C174" i="2"/>
  <c r="V173" i="2"/>
  <c r="T173" i="2"/>
  <c r="R173" i="2" a="1"/>
  <c r="R173" i="2" s="1"/>
  <c r="Q173" i="2"/>
  <c r="O173" i="2"/>
  <c r="M173" i="2"/>
  <c r="J173" i="2"/>
  <c r="W173" i="2" s="1"/>
  <c r="X173" i="2" s="1"/>
  <c r="H173" i="2"/>
  <c r="E173" i="2"/>
  <c r="C173" i="2"/>
  <c r="V172" i="2"/>
  <c r="T172" i="2"/>
  <c r="Q172" i="2"/>
  <c r="R172" i="2" s="1" a="1"/>
  <c r="R172" i="2" s="1"/>
  <c r="O172" i="2"/>
  <c r="M172" i="2"/>
  <c r="J172" i="2"/>
  <c r="W172" i="2" s="1"/>
  <c r="X172" i="2" s="1"/>
  <c r="H172" i="2"/>
  <c r="E172" i="2"/>
  <c r="C172" i="2"/>
  <c r="V171" i="2"/>
  <c r="T171" i="2"/>
  <c r="R171" i="2" a="1"/>
  <c r="R171" i="2" s="1"/>
  <c r="Q171" i="2"/>
  <c r="O171" i="2"/>
  <c r="M171" i="2"/>
  <c r="J171" i="2"/>
  <c r="H171" i="2"/>
  <c r="E171" i="2"/>
  <c r="C171" i="2"/>
  <c r="V170" i="2"/>
  <c r="T170" i="2"/>
  <c r="R170" i="2"/>
  <c r="Q170" i="2"/>
  <c r="R170" i="2" s="1" a="1"/>
  <c r="O170" i="2"/>
  <c r="M170" i="2"/>
  <c r="J170" i="2"/>
  <c r="W170" i="2" s="1"/>
  <c r="X170" i="2" s="1"/>
  <c r="H170" i="2"/>
  <c r="E170" i="2"/>
  <c r="C170" i="2"/>
  <c r="V169" i="2"/>
  <c r="T169" i="2"/>
  <c r="Q169" i="2"/>
  <c r="R169" i="2" s="1" a="1"/>
  <c r="R169" i="2" s="1"/>
  <c r="O169" i="2"/>
  <c r="M169" i="2"/>
  <c r="J169" i="2"/>
  <c r="W169" i="2" s="1"/>
  <c r="X169" i="2" s="1"/>
  <c r="H169" i="2"/>
  <c r="E169" i="2"/>
  <c r="C169" i="2"/>
  <c r="V168" i="2"/>
  <c r="T168" i="2"/>
  <c r="R168" i="2" a="1"/>
  <c r="R168" i="2" s="1"/>
  <c r="Q168" i="2"/>
  <c r="O168" i="2"/>
  <c r="M168" i="2"/>
  <c r="J168" i="2"/>
  <c r="W168" i="2" s="1"/>
  <c r="X168" i="2" s="1"/>
  <c r="H168" i="2"/>
  <c r="E168" i="2"/>
  <c r="C168" i="2"/>
  <c r="V167" i="2"/>
  <c r="T167" i="2"/>
  <c r="Q167" i="2"/>
  <c r="R167" i="2" s="1" a="1"/>
  <c r="R167" i="2" s="1"/>
  <c r="O167" i="2"/>
  <c r="M167" i="2"/>
  <c r="J167" i="2"/>
  <c r="W167" i="2" s="1"/>
  <c r="X167" i="2" s="1"/>
  <c r="H167" i="2"/>
  <c r="E167" i="2"/>
  <c r="C167" i="2"/>
  <c r="V166" i="2"/>
  <c r="T166" i="2"/>
  <c r="Q166" i="2"/>
  <c r="R166" i="2" s="1" a="1"/>
  <c r="R166" i="2" s="1"/>
  <c r="O166" i="2"/>
  <c r="M166" i="2"/>
  <c r="J166" i="2"/>
  <c r="W166" i="2" s="1"/>
  <c r="X166" i="2" s="1"/>
  <c r="H166" i="2"/>
  <c r="E166" i="2"/>
  <c r="C166" i="2"/>
  <c r="V165" i="2"/>
  <c r="T165" i="2"/>
  <c r="R165" i="2" a="1"/>
  <c r="R165" i="2" s="1"/>
  <c r="Q165" i="2"/>
  <c r="O165" i="2"/>
  <c r="M165" i="2"/>
  <c r="J165" i="2"/>
  <c r="W165" i="2" s="1"/>
  <c r="X165" i="2" s="1"/>
  <c r="H165" i="2"/>
  <c r="E165" i="2"/>
  <c r="C165" i="2"/>
  <c r="V164" i="2"/>
  <c r="T164" i="2"/>
  <c r="Q164" i="2"/>
  <c r="R164" i="2" s="1" a="1"/>
  <c r="R164" i="2" s="1"/>
  <c r="O164" i="2"/>
  <c r="M164" i="2"/>
  <c r="J164" i="2"/>
  <c r="W164" i="2" s="1"/>
  <c r="X164" i="2" s="1"/>
  <c r="H164" i="2"/>
  <c r="E164" i="2"/>
  <c r="C164" i="2"/>
  <c r="V163" i="2"/>
  <c r="T163" i="2"/>
  <c r="R163" i="2" a="1"/>
  <c r="R163" i="2" s="1"/>
  <c r="Q163" i="2"/>
  <c r="O163" i="2"/>
  <c r="M163" i="2"/>
  <c r="J163" i="2"/>
  <c r="W163" i="2" s="1"/>
  <c r="X163" i="2" s="1"/>
  <c r="H163" i="2"/>
  <c r="E163" i="2"/>
  <c r="C163" i="2"/>
  <c r="V162" i="2"/>
  <c r="T162" i="2"/>
  <c r="R162" i="2"/>
  <c r="Q162" i="2"/>
  <c r="R162" i="2" s="1" a="1"/>
  <c r="O162" i="2"/>
  <c r="M162" i="2"/>
  <c r="J162" i="2"/>
  <c r="W162" i="2" s="1"/>
  <c r="X162" i="2" s="1"/>
  <c r="H162" i="2"/>
  <c r="E162" i="2"/>
  <c r="C162" i="2"/>
  <c r="V161" i="2"/>
  <c r="T161" i="2"/>
  <c r="Q161" i="2"/>
  <c r="R161" i="2" s="1" a="1"/>
  <c r="R161" i="2" s="1"/>
  <c r="O161" i="2"/>
  <c r="M161" i="2"/>
  <c r="J161" i="2"/>
  <c r="W161" i="2" s="1"/>
  <c r="X161" i="2" s="1"/>
  <c r="H161" i="2"/>
  <c r="E161" i="2"/>
  <c r="C161" i="2"/>
  <c r="V160" i="2"/>
  <c r="T160" i="2"/>
  <c r="R160" i="2" a="1"/>
  <c r="R160" i="2" s="1"/>
  <c r="Q160" i="2"/>
  <c r="O160" i="2"/>
  <c r="M160" i="2"/>
  <c r="J160" i="2"/>
  <c r="W160" i="2" s="1"/>
  <c r="X160" i="2" s="1"/>
  <c r="H160" i="2"/>
  <c r="E160" i="2"/>
  <c r="C160" i="2"/>
  <c r="V159" i="2"/>
  <c r="T159" i="2"/>
  <c r="Q159" i="2"/>
  <c r="R159" i="2" s="1" a="1"/>
  <c r="R159" i="2" s="1"/>
  <c r="O159" i="2"/>
  <c r="M159" i="2"/>
  <c r="J159" i="2"/>
  <c r="W159" i="2" s="1"/>
  <c r="X159" i="2" s="1"/>
  <c r="H159" i="2"/>
  <c r="E159" i="2"/>
  <c r="C159" i="2"/>
  <c r="W158" i="2"/>
  <c r="X158" i="2" s="1"/>
  <c r="V158" i="2"/>
  <c r="T158" i="2"/>
  <c r="Q158" i="2"/>
  <c r="R158" i="2" s="1" a="1"/>
  <c r="R158" i="2" s="1"/>
  <c r="O158" i="2"/>
  <c r="M158" i="2"/>
  <c r="J158" i="2"/>
  <c r="H158" i="2"/>
  <c r="E158" i="2"/>
  <c r="C158" i="2"/>
  <c r="V157" i="2"/>
  <c r="T157" i="2"/>
  <c r="R157" i="2" a="1"/>
  <c r="R157" i="2" s="1"/>
  <c r="Q157" i="2"/>
  <c r="O157" i="2"/>
  <c r="M157" i="2"/>
  <c r="J157" i="2"/>
  <c r="W157" i="2" s="1"/>
  <c r="X157" i="2" s="1"/>
  <c r="H157" i="2"/>
  <c r="E157" i="2"/>
  <c r="C157" i="2"/>
  <c r="V156" i="2"/>
  <c r="T156" i="2"/>
  <c r="Q156" i="2"/>
  <c r="R156" i="2" s="1" a="1"/>
  <c r="R156" i="2" s="1"/>
  <c r="O156" i="2"/>
  <c r="M156" i="2"/>
  <c r="J156" i="2"/>
  <c r="W156" i="2" s="1"/>
  <c r="X156" i="2" s="1"/>
  <c r="H156" i="2"/>
  <c r="E156" i="2"/>
  <c r="C156" i="2"/>
  <c r="V155" i="2"/>
  <c r="T155" i="2"/>
  <c r="R155" i="2" a="1"/>
  <c r="R155" i="2" s="1"/>
  <c r="Q155" i="2"/>
  <c r="O155" i="2"/>
  <c r="M155" i="2"/>
  <c r="J155" i="2"/>
  <c r="W155" i="2" s="1"/>
  <c r="X155" i="2" s="1"/>
  <c r="H155" i="2"/>
  <c r="E155" i="2"/>
  <c r="C155" i="2"/>
  <c r="V154" i="2"/>
  <c r="T154" i="2"/>
  <c r="R154" i="2"/>
  <c r="Q154" i="2"/>
  <c r="R154" i="2" s="1" a="1"/>
  <c r="O154" i="2"/>
  <c r="M154" i="2"/>
  <c r="J154" i="2"/>
  <c r="W154" i="2" s="1"/>
  <c r="X154" i="2" s="1"/>
  <c r="H154" i="2"/>
  <c r="E154" i="2"/>
  <c r="C154" i="2"/>
  <c r="X153" i="2"/>
  <c r="V153" i="2"/>
  <c r="T153" i="2"/>
  <c r="Q153" i="2"/>
  <c r="R153" i="2" s="1" a="1"/>
  <c r="R153" i="2" s="1"/>
  <c r="O153" i="2"/>
  <c r="M153" i="2"/>
  <c r="J153" i="2"/>
  <c r="W153" i="2" s="1"/>
  <c r="H153" i="2"/>
  <c r="E153" i="2"/>
  <c r="C153" i="2"/>
  <c r="V152" i="2"/>
  <c r="T152" i="2"/>
  <c r="R152" i="2" a="1"/>
  <c r="R152" i="2" s="1"/>
  <c r="Q152" i="2"/>
  <c r="O152" i="2"/>
  <c r="M152" i="2"/>
  <c r="J152" i="2"/>
  <c r="W152" i="2" s="1"/>
  <c r="X152" i="2" s="1"/>
  <c r="H152" i="2"/>
  <c r="E152" i="2"/>
  <c r="C152" i="2"/>
  <c r="V151" i="2"/>
  <c r="T151" i="2"/>
  <c r="Q151" i="2"/>
  <c r="R151" i="2" s="1" a="1"/>
  <c r="R151" i="2" s="1"/>
  <c r="O151" i="2"/>
  <c r="M151" i="2"/>
  <c r="J151" i="2"/>
  <c r="W151" i="2" s="1"/>
  <c r="X151" i="2" s="1"/>
  <c r="H151" i="2"/>
  <c r="E151" i="2"/>
  <c r="C151" i="2"/>
  <c r="W150" i="2"/>
  <c r="X150" i="2" s="1"/>
  <c r="V150" i="2"/>
  <c r="T150" i="2"/>
  <c r="Q150" i="2"/>
  <c r="R150" i="2" s="1" a="1"/>
  <c r="R150" i="2" s="1"/>
  <c r="O150" i="2"/>
  <c r="M150" i="2"/>
  <c r="J150" i="2"/>
  <c r="H150" i="2"/>
  <c r="E150" i="2"/>
  <c r="C150" i="2"/>
  <c r="V149" i="2"/>
  <c r="T149" i="2"/>
  <c r="R149" i="2" a="1"/>
  <c r="R149" i="2" s="1"/>
  <c r="Q149" i="2"/>
  <c r="O149" i="2"/>
  <c r="M149" i="2"/>
  <c r="J149" i="2"/>
  <c r="W149" i="2" s="1"/>
  <c r="X149" i="2" s="1"/>
  <c r="H149" i="2"/>
  <c r="E149" i="2"/>
  <c r="C149" i="2"/>
  <c r="V148" i="2"/>
  <c r="T148" i="2"/>
  <c r="Q148" i="2"/>
  <c r="R148" i="2" s="1" a="1"/>
  <c r="R148" i="2" s="1"/>
  <c r="O148" i="2"/>
  <c r="M148" i="2"/>
  <c r="J148" i="2"/>
  <c r="W148" i="2" s="1"/>
  <c r="X148" i="2" s="1"/>
  <c r="H148" i="2"/>
  <c r="E148" i="2"/>
  <c r="C148" i="2"/>
  <c r="V147" i="2"/>
  <c r="T147" i="2"/>
  <c r="R147" i="2" a="1"/>
  <c r="R147" i="2" s="1"/>
  <c r="Q147" i="2"/>
  <c r="O147" i="2"/>
  <c r="M147" i="2"/>
  <c r="J147" i="2"/>
  <c r="W147" i="2" s="1"/>
  <c r="X147" i="2" s="1"/>
  <c r="H147" i="2"/>
  <c r="E147" i="2"/>
  <c r="C147" i="2"/>
  <c r="V146" i="2"/>
  <c r="T146" i="2"/>
  <c r="Q146" i="2"/>
  <c r="R146" i="2" s="1" a="1"/>
  <c r="R146" i="2" s="1"/>
  <c r="O146" i="2"/>
  <c r="M146" i="2"/>
  <c r="J146" i="2"/>
  <c r="W146" i="2" s="1"/>
  <c r="X146" i="2" s="1"/>
  <c r="H146" i="2"/>
  <c r="E146" i="2"/>
  <c r="C146" i="2"/>
  <c r="V145" i="2"/>
  <c r="T145" i="2"/>
  <c r="Q145" i="2"/>
  <c r="R145" i="2" s="1" a="1"/>
  <c r="R145" i="2" s="1"/>
  <c r="O145" i="2"/>
  <c r="M145" i="2"/>
  <c r="J145" i="2"/>
  <c r="W145" i="2" s="1"/>
  <c r="X145" i="2" s="1"/>
  <c r="H145" i="2"/>
  <c r="E145" i="2"/>
  <c r="C145" i="2"/>
  <c r="V144" i="2"/>
  <c r="T144" i="2"/>
  <c r="R144" i="2" a="1"/>
  <c r="R144" i="2" s="1"/>
  <c r="Q144" i="2"/>
  <c r="O144" i="2"/>
  <c r="M144" i="2"/>
  <c r="J144" i="2"/>
  <c r="W144" i="2" s="1"/>
  <c r="X144" i="2" s="1"/>
  <c r="H144" i="2"/>
  <c r="E144" i="2"/>
  <c r="C144" i="2"/>
  <c r="V143" i="2"/>
  <c r="T143" i="2"/>
  <c r="Q143" i="2"/>
  <c r="R143" i="2" s="1" a="1"/>
  <c r="R143" i="2" s="1"/>
  <c r="O143" i="2"/>
  <c r="M143" i="2"/>
  <c r="J143" i="2"/>
  <c r="W143" i="2" s="1"/>
  <c r="X143" i="2" s="1"/>
  <c r="H143" i="2"/>
  <c r="E143" i="2"/>
  <c r="C143" i="2"/>
  <c r="W142" i="2"/>
  <c r="X142" i="2" s="1"/>
  <c r="V142" i="2"/>
  <c r="T142" i="2"/>
  <c r="Q142" i="2"/>
  <c r="R142" i="2" s="1" a="1"/>
  <c r="R142" i="2" s="1"/>
  <c r="O142" i="2"/>
  <c r="M142" i="2"/>
  <c r="J142" i="2"/>
  <c r="H142" i="2"/>
  <c r="E142" i="2"/>
  <c r="C142" i="2"/>
  <c r="V141" i="2"/>
  <c r="T141" i="2"/>
  <c r="R141" i="2" a="1"/>
  <c r="R141" i="2" s="1"/>
  <c r="Q141" i="2"/>
  <c r="O141" i="2"/>
  <c r="M141" i="2"/>
  <c r="J141" i="2"/>
  <c r="W141" i="2" s="1"/>
  <c r="X141" i="2" s="1"/>
  <c r="H141" i="2"/>
  <c r="E141" i="2"/>
  <c r="C141" i="2"/>
  <c r="V140" i="2"/>
  <c r="T140" i="2"/>
  <c r="Q140" i="2"/>
  <c r="R140" i="2" s="1" a="1"/>
  <c r="R140" i="2" s="1"/>
  <c r="O140" i="2"/>
  <c r="M140" i="2"/>
  <c r="J140" i="2"/>
  <c r="W140" i="2" s="1"/>
  <c r="X140" i="2" s="1"/>
  <c r="H140" i="2"/>
  <c r="E140" i="2"/>
  <c r="C140" i="2"/>
  <c r="V139" i="2"/>
  <c r="T139" i="2"/>
  <c r="R139" i="2" a="1"/>
  <c r="R139" i="2" s="1"/>
  <c r="Q139" i="2"/>
  <c r="O139" i="2"/>
  <c r="M139" i="2"/>
  <c r="J139" i="2"/>
  <c r="H139" i="2"/>
  <c r="E139" i="2"/>
  <c r="C139" i="2"/>
  <c r="V138" i="2"/>
  <c r="T138" i="2"/>
  <c r="R138" i="2"/>
  <c r="Q138" i="2"/>
  <c r="R138" i="2" s="1" a="1"/>
  <c r="O138" i="2"/>
  <c r="M138" i="2"/>
  <c r="J138" i="2"/>
  <c r="W138" i="2" s="1"/>
  <c r="X138" i="2" s="1"/>
  <c r="H138" i="2"/>
  <c r="E138" i="2"/>
  <c r="C138" i="2"/>
  <c r="V137" i="2"/>
  <c r="T137" i="2"/>
  <c r="Q137" i="2"/>
  <c r="R137" i="2" s="1" a="1"/>
  <c r="R137" i="2" s="1"/>
  <c r="O137" i="2"/>
  <c r="M137" i="2"/>
  <c r="J137" i="2"/>
  <c r="W137" i="2" s="1"/>
  <c r="X137" i="2" s="1"/>
  <c r="H137" i="2"/>
  <c r="E137" i="2"/>
  <c r="C137" i="2"/>
  <c r="V136" i="2"/>
  <c r="T136" i="2"/>
  <c r="R136" i="2" a="1"/>
  <c r="R136" i="2" s="1"/>
  <c r="Q136" i="2"/>
  <c r="O136" i="2"/>
  <c r="M136" i="2"/>
  <c r="J136" i="2"/>
  <c r="W136" i="2" s="1"/>
  <c r="X136" i="2" s="1"/>
  <c r="H136" i="2"/>
  <c r="E136" i="2"/>
  <c r="C136" i="2"/>
  <c r="V135" i="2"/>
  <c r="T135" i="2"/>
  <c r="Q135" i="2"/>
  <c r="R135" i="2" s="1" a="1"/>
  <c r="R135" i="2" s="1"/>
  <c r="O135" i="2"/>
  <c r="M135" i="2"/>
  <c r="J135" i="2"/>
  <c r="W135" i="2" s="1"/>
  <c r="X135" i="2" s="1"/>
  <c r="H135" i="2"/>
  <c r="E135" i="2"/>
  <c r="C135" i="2"/>
  <c r="V134" i="2"/>
  <c r="T134" i="2"/>
  <c r="Q134" i="2"/>
  <c r="R134" i="2" s="1" a="1"/>
  <c r="R134" i="2" s="1"/>
  <c r="O134" i="2"/>
  <c r="M134" i="2"/>
  <c r="J134" i="2"/>
  <c r="W134" i="2" s="1"/>
  <c r="X134" i="2" s="1"/>
  <c r="H134" i="2"/>
  <c r="E134" i="2"/>
  <c r="C134" i="2"/>
  <c r="V133" i="2"/>
  <c r="T133" i="2"/>
  <c r="R133" i="2" a="1"/>
  <c r="R133" i="2" s="1"/>
  <c r="Q133" i="2"/>
  <c r="O133" i="2"/>
  <c r="M133" i="2"/>
  <c r="J133" i="2"/>
  <c r="W133" i="2" s="1"/>
  <c r="X133" i="2" s="1"/>
  <c r="H133" i="2"/>
  <c r="E133" i="2"/>
  <c r="C133" i="2"/>
  <c r="V132" i="2"/>
  <c r="T132" i="2"/>
  <c r="Q132" i="2"/>
  <c r="R132" i="2" s="1" a="1"/>
  <c r="R132" i="2" s="1"/>
  <c r="O132" i="2"/>
  <c r="M132" i="2"/>
  <c r="J132" i="2"/>
  <c r="W132" i="2" s="1"/>
  <c r="X132" i="2" s="1"/>
  <c r="H132" i="2"/>
  <c r="E132" i="2"/>
  <c r="C132" i="2"/>
  <c r="V131" i="2"/>
  <c r="T131" i="2"/>
  <c r="R131" i="2" a="1"/>
  <c r="R131" i="2" s="1"/>
  <c r="Q131" i="2"/>
  <c r="O131" i="2"/>
  <c r="M131" i="2"/>
  <c r="J131" i="2"/>
  <c r="W131" i="2" s="1"/>
  <c r="X131" i="2" s="1"/>
  <c r="H131" i="2"/>
  <c r="E131" i="2"/>
  <c r="C131" i="2"/>
  <c r="V130" i="2"/>
  <c r="T130" i="2"/>
  <c r="R130" i="2"/>
  <c r="Q130" i="2"/>
  <c r="R130" i="2" s="1" a="1"/>
  <c r="O130" i="2"/>
  <c r="M130" i="2"/>
  <c r="J130" i="2"/>
  <c r="W130" i="2" s="1"/>
  <c r="X130" i="2" s="1"/>
  <c r="H130" i="2"/>
  <c r="E130" i="2"/>
  <c r="C130" i="2"/>
  <c r="V129" i="2"/>
  <c r="T129" i="2"/>
  <c r="Q129" i="2"/>
  <c r="R129" i="2" s="1" a="1"/>
  <c r="R129" i="2" s="1"/>
  <c r="O129" i="2"/>
  <c r="M129" i="2"/>
  <c r="J129" i="2"/>
  <c r="W129" i="2" s="1"/>
  <c r="X129" i="2" s="1"/>
  <c r="H129" i="2"/>
  <c r="E129" i="2"/>
  <c r="C129" i="2"/>
  <c r="V128" i="2"/>
  <c r="T128" i="2"/>
  <c r="R128" i="2" a="1"/>
  <c r="R128" i="2" s="1"/>
  <c r="Q128" i="2"/>
  <c r="O128" i="2"/>
  <c r="M128" i="2"/>
  <c r="J128" i="2"/>
  <c r="W128" i="2" s="1"/>
  <c r="X128" i="2" s="1"/>
  <c r="H128" i="2"/>
  <c r="E128" i="2"/>
  <c r="C128" i="2"/>
  <c r="V127" i="2"/>
  <c r="T127" i="2"/>
  <c r="Q127" i="2"/>
  <c r="R127" i="2" s="1" a="1"/>
  <c r="R127" i="2" s="1"/>
  <c r="O127" i="2"/>
  <c r="M127" i="2"/>
  <c r="J127" i="2"/>
  <c r="W127" i="2" s="1"/>
  <c r="X127" i="2" s="1"/>
  <c r="H127" i="2"/>
  <c r="E127" i="2"/>
  <c r="C127" i="2"/>
  <c r="W126" i="2"/>
  <c r="X126" i="2" s="1"/>
  <c r="V126" i="2"/>
  <c r="T126" i="2"/>
  <c r="Q126" i="2"/>
  <c r="R126" i="2" s="1" a="1"/>
  <c r="R126" i="2" s="1"/>
  <c r="O126" i="2"/>
  <c r="M126" i="2"/>
  <c r="J126" i="2"/>
  <c r="H126" i="2"/>
  <c r="E126" i="2"/>
  <c r="C126" i="2"/>
  <c r="V125" i="2"/>
  <c r="T125" i="2"/>
  <c r="R125" i="2" a="1"/>
  <c r="R125" i="2"/>
  <c r="Q125" i="2"/>
  <c r="O125" i="2"/>
  <c r="M125" i="2"/>
  <c r="J125" i="2"/>
  <c r="W125" i="2" s="1"/>
  <c r="X125" i="2" s="1"/>
  <c r="H125" i="2"/>
  <c r="E125" i="2"/>
  <c r="C125" i="2"/>
  <c r="V124" i="2"/>
  <c r="T124" i="2"/>
  <c r="R124" i="2" a="1"/>
  <c r="R124" i="2"/>
  <c r="Q124" i="2"/>
  <c r="O124" i="2"/>
  <c r="M124" i="2"/>
  <c r="J124" i="2"/>
  <c r="W124" i="2" s="1"/>
  <c r="X124" i="2" s="1"/>
  <c r="H124" i="2"/>
  <c r="E124" i="2"/>
  <c r="C124" i="2"/>
  <c r="V123" i="2"/>
  <c r="T123" i="2"/>
  <c r="R123" i="2" a="1"/>
  <c r="R123" i="2" s="1"/>
  <c r="Q123" i="2"/>
  <c r="O123" i="2"/>
  <c r="M123" i="2"/>
  <c r="J123" i="2"/>
  <c r="H123" i="2"/>
  <c r="E123" i="2"/>
  <c r="C123" i="2"/>
  <c r="V122" i="2"/>
  <c r="T122" i="2"/>
  <c r="R122" i="2"/>
  <c r="Q122" i="2"/>
  <c r="R122" i="2" s="1" a="1"/>
  <c r="O122" i="2"/>
  <c r="M122" i="2"/>
  <c r="J122" i="2"/>
  <c r="W122" i="2" s="1"/>
  <c r="X122" i="2" s="1"/>
  <c r="H122" i="2"/>
  <c r="E122" i="2"/>
  <c r="C122" i="2"/>
  <c r="X121" i="2"/>
  <c r="W121" i="2"/>
  <c r="V121" i="2"/>
  <c r="T121" i="2"/>
  <c r="Q121" i="2"/>
  <c r="R121" i="2" s="1" a="1"/>
  <c r="R121" i="2" s="1"/>
  <c r="O121" i="2"/>
  <c r="M121" i="2"/>
  <c r="J121" i="2"/>
  <c r="H121" i="2"/>
  <c r="E121" i="2"/>
  <c r="C121" i="2"/>
  <c r="V120" i="2"/>
  <c r="T120" i="2"/>
  <c r="R120" i="2" a="1"/>
  <c r="R120" i="2" s="1"/>
  <c r="Q120" i="2"/>
  <c r="O120" i="2"/>
  <c r="M120" i="2"/>
  <c r="J120" i="2"/>
  <c r="W120" i="2" s="1"/>
  <c r="X120" i="2" s="1"/>
  <c r="H120" i="2"/>
  <c r="E120" i="2"/>
  <c r="C120" i="2"/>
  <c r="V119" i="2"/>
  <c r="T119" i="2"/>
  <c r="Q119" i="2"/>
  <c r="R119" i="2" s="1" a="1"/>
  <c r="R119" i="2" s="1"/>
  <c r="O119" i="2"/>
  <c r="M119" i="2"/>
  <c r="J119" i="2"/>
  <c r="W119" i="2" s="1"/>
  <c r="X119" i="2" s="1"/>
  <c r="H119" i="2"/>
  <c r="E119" i="2"/>
  <c r="C119" i="2"/>
  <c r="V118" i="2"/>
  <c r="T118" i="2"/>
  <c r="Q118" i="2"/>
  <c r="R118" i="2" s="1" a="1"/>
  <c r="R118" i="2" s="1"/>
  <c r="O118" i="2"/>
  <c r="M118" i="2"/>
  <c r="J118" i="2"/>
  <c r="W118" i="2" s="1"/>
  <c r="X118" i="2" s="1"/>
  <c r="H118" i="2"/>
  <c r="E118" i="2"/>
  <c r="C118" i="2"/>
  <c r="V117" i="2"/>
  <c r="T117" i="2"/>
  <c r="R117" i="2" a="1"/>
  <c r="R117" i="2"/>
  <c r="Q117" i="2"/>
  <c r="O117" i="2"/>
  <c r="M117" i="2"/>
  <c r="J117" i="2"/>
  <c r="W117" i="2" s="1"/>
  <c r="X117" i="2" s="1"/>
  <c r="H117" i="2"/>
  <c r="E117" i="2"/>
  <c r="C117" i="2"/>
  <c r="V116" i="2"/>
  <c r="T116" i="2"/>
  <c r="R116" i="2" a="1"/>
  <c r="R116" i="2"/>
  <c r="Q116" i="2"/>
  <c r="O116" i="2"/>
  <c r="M116" i="2"/>
  <c r="J116" i="2"/>
  <c r="W116" i="2" s="1"/>
  <c r="X116" i="2" s="1"/>
  <c r="H116" i="2"/>
  <c r="E116" i="2"/>
  <c r="C116" i="2"/>
  <c r="V115" i="2"/>
  <c r="T115" i="2"/>
  <c r="R115" i="2" a="1"/>
  <c r="R115" i="2" s="1"/>
  <c r="Q115" i="2"/>
  <c r="O115" i="2"/>
  <c r="M115" i="2"/>
  <c r="J115" i="2"/>
  <c r="H115" i="2"/>
  <c r="E115" i="2"/>
  <c r="C115" i="2"/>
  <c r="V114" i="2"/>
  <c r="T114" i="2"/>
  <c r="Q114" i="2"/>
  <c r="R114" i="2" s="1" a="1"/>
  <c r="R114" i="2" s="1"/>
  <c r="O114" i="2"/>
  <c r="M114" i="2"/>
  <c r="J114" i="2"/>
  <c r="W114" i="2" s="1"/>
  <c r="X114" i="2" s="1"/>
  <c r="H114" i="2"/>
  <c r="E114" i="2"/>
  <c r="C114" i="2"/>
  <c r="W113" i="2"/>
  <c r="X113" i="2" s="1"/>
  <c r="V113" i="2"/>
  <c r="T113" i="2"/>
  <c r="Q113" i="2"/>
  <c r="R113" i="2" s="1" a="1"/>
  <c r="R113" i="2" s="1"/>
  <c r="O113" i="2"/>
  <c r="M113" i="2"/>
  <c r="J113" i="2"/>
  <c r="H113" i="2"/>
  <c r="E113" i="2"/>
  <c r="C113" i="2"/>
  <c r="V112" i="2"/>
  <c r="T112" i="2"/>
  <c r="R112" i="2" a="1"/>
  <c r="R112" i="2" s="1"/>
  <c r="Q112" i="2"/>
  <c r="O112" i="2"/>
  <c r="M112" i="2"/>
  <c r="J112" i="2"/>
  <c r="W112" i="2" s="1"/>
  <c r="X112" i="2" s="1"/>
  <c r="H112" i="2"/>
  <c r="E112" i="2"/>
  <c r="C112" i="2"/>
  <c r="V111" i="2"/>
  <c r="T111" i="2"/>
  <c r="Q111" i="2"/>
  <c r="R111" i="2" s="1" a="1"/>
  <c r="R111" i="2" s="1"/>
  <c r="O111" i="2"/>
  <c r="M111" i="2"/>
  <c r="J111" i="2"/>
  <c r="W111" i="2" s="1"/>
  <c r="X111" i="2" s="1"/>
  <c r="H111" i="2"/>
  <c r="E111" i="2"/>
  <c r="C111" i="2"/>
  <c r="V110" i="2"/>
  <c r="T110" i="2"/>
  <c r="Q110" i="2"/>
  <c r="R110" i="2" s="1" a="1"/>
  <c r="R110" i="2" s="1"/>
  <c r="O110" i="2"/>
  <c r="M110" i="2"/>
  <c r="J110" i="2"/>
  <c r="W110" i="2" s="1"/>
  <c r="X110" i="2" s="1"/>
  <c r="H110" i="2"/>
  <c r="E110" i="2"/>
  <c r="C110" i="2"/>
  <c r="V109" i="2"/>
  <c r="T109" i="2"/>
  <c r="R109" i="2" a="1"/>
  <c r="R109" i="2"/>
  <c r="Q109" i="2"/>
  <c r="O109" i="2"/>
  <c r="M109" i="2"/>
  <c r="J109" i="2"/>
  <c r="W109" i="2" s="1"/>
  <c r="X109" i="2" s="1"/>
  <c r="H109" i="2"/>
  <c r="E109" i="2"/>
  <c r="C109" i="2"/>
  <c r="V108" i="2"/>
  <c r="T108" i="2"/>
  <c r="R108" i="2" a="1"/>
  <c r="R108" i="2"/>
  <c r="Q108" i="2"/>
  <c r="O108" i="2"/>
  <c r="M108" i="2"/>
  <c r="J108" i="2"/>
  <c r="W108" i="2" s="1"/>
  <c r="X108" i="2" s="1"/>
  <c r="H108" i="2"/>
  <c r="E108" i="2"/>
  <c r="C108" i="2"/>
  <c r="V107" i="2"/>
  <c r="T107" i="2"/>
  <c r="R107" i="2" a="1"/>
  <c r="R107" i="2" s="1"/>
  <c r="Q107" i="2"/>
  <c r="O107" i="2"/>
  <c r="M107" i="2"/>
  <c r="J107" i="2"/>
  <c r="W107" i="2" s="1"/>
  <c r="X107" i="2" s="1"/>
  <c r="H107" i="2"/>
  <c r="E107" i="2"/>
  <c r="C107" i="2"/>
  <c r="V106" i="2"/>
  <c r="T106" i="2"/>
  <c r="R106" i="2"/>
  <c r="Q106" i="2"/>
  <c r="R106" i="2" s="1" a="1"/>
  <c r="O106" i="2"/>
  <c r="M106" i="2"/>
  <c r="J106" i="2"/>
  <c r="W106" i="2" s="1"/>
  <c r="X106" i="2" s="1"/>
  <c r="H106" i="2"/>
  <c r="E106" i="2"/>
  <c r="C106" i="2"/>
  <c r="X105" i="2"/>
  <c r="W105" i="2"/>
  <c r="V105" i="2"/>
  <c r="T105" i="2"/>
  <c r="Q105" i="2"/>
  <c r="R105" i="2" s="1" a="1"/>
  <c r="R105" i="2" s="1"/>
  <c r="O105" i="2"/>
  <c r="M105" i="2"/>
  <c r="J105" i="2"/>
  <c r="H105" i="2"/>
  <c r="E105" i="2"/>
  <c r="C105" i="2"/>
  <c r="V104" i="2"/>
  <c r="T104" i="2"/>
  <c r="R104" i="2" a="1"/>
  <c r="R104" i="2" s="1"/>
  <c r="Q104" i="2"/>
  <c r="O104" i="2"/>
  <c r="M104" i="2"/>
  <c r="J104" i="2"/>
  <c r="W104" i="2" s="1"/>
  <c r="X104" i="2" s="1"/>
  <c r="H104" i="2"/>
  <c r="E104" i="2"/>
  <c r="C104" i="2"/>
  <c r="V103" i="2"/>
  <c r="T103" i="2"/>
  <c r="Q103" i="2"/>
  <c r="R103" i="2" s="1" a="1"/>
  <c r="R103" i="2" s="1"/>
  <c r="O103" i="2"/>
  <c r="M103" i="2"/>
  <c r="J103" i="2"/>
  <c r="W103" i="2" s="1"/>
  <c r="X103" i="2" s="1"/>
  <c r="H103" i="2"/>
  <c r="E103" i="2"/>
  <c r="C103" i="2"/>
  <c r="W102" i="2"/>
  <c r="X102" i="2" s="1"/>
  <c r="V102" i="2"/>
  <c r="T102" i="2"/>
  <c r="Q102" i="2"/>
  <c r="R102" i="2" s="1" a="1"/>
  <c r="R102" i="2" s="1"/>
  <c r="O102" i="2"/>
  <c r="M102" i="2"/>
  <c r="J102" i="2"/>
  <c r="H102" i="2"/>
  <c r="E102" i="2"/>
  <c r="C102" i="2"/>
  <c r="V101" i="2"/>
  <c r="T101" i="2"/>
  <c r="R101" i="2" a="1"/>
  <c r="R101" i="2" s="1"/>
  <c r="Q101" i="2"/>
  <c r="O101" i="2"/>
  <c r="M101" i="2"/>
  <c r="J101" i="2"/>
  <c r="W101" i="2" s="1"/>
  <c r="X101" i="2" s="1"/>
  <c r="H101" i="2"/>
  <c r="E101" i="2"/>
  <c r="C101" i="2"/>
  <c r="V100" i="2"/>
  <c r="T100" i="2"/>
  <c r="R100" i="2" a="1"/>
  <c r="R100" i="2"/>
  <c r="Q100" i="2"/>
  <c r="O100" i="2"/>
  <c r="M100" i="2"/>
  <c r="J100" i="2"/>
  <c r="W100" i="2" s="1"/>
  <c r="X100" i="2" s="1"/>
  <c r="H100" i="2"/>
  <c r="E100" i="2"/>
  <c r="C100" i="2"/>
  <c r="V99" i="2"/>
  <c r="T99" i="2"/>
  <c r="R99" i="2" a="1"/>
  <c r="R99" i="2" s="1"/>
  <c r="Q99" i="2"/>
  <c r="O99" i="2"/>
  <c r="M99" i="2"/>
  <c r="J99" i="2"/>
  <c r="W99" i="2" s="1"/>
  <c r="X99" i="2" s="1"/>
  <c r="H99" i="2"/>
  <c r="E99" i="2"/>
  <c r="C99" i="2"/>
  <c r="V98" i="2"/>
  <c r="T98" i="2"/>
  <c r="R98" i="2"/>
  <c r="Q98" i="2"/>
  <c r="R98" i="2" s="1" a="1"/>
  <c r="O98" i="2"/>
  <c r="M98" i="2"/>
  <c r="J98" i="2"/>
  <c r="W98" i="2" s="1"/>
  <c r="X98" i="2" s="1"/>
  <c r="H98" i="2"/>
  <c r="E98" i="2"/>
  <c r="C98" i="2"/>
  <c r="V97" i="2"/>
  <c r="T97" i="2"/>
  <c r="Q97" i="2"/>
  <c r="R97" i="2" s="1" a="1"/>
  <c r="R97" i="2" s="1"/>
  <c r="O97" i="2"/>
  <c r="M97" i="2"/>
  <c r="J97" i="2"/>
  <c r="W97" i="2" s="1"/>
  <c r="X97" i="2" s="1"/>
  <c r="H97" i="2"/>
  <c r="E97" i="2"/>
  <c r="C97" i="2"/>
  <c r="V96" i="2"/>
  <c r="T96" i="2"/>
  <c r="R96" i="2" a="1"/>
  <c r="R96" i="2" s="1"/>
  <c r="Q96" i="2"/>
  <c r="O96" i="2"/>
  <c r="M96" i="2"/>
  <c r="J96" i="2"/>
  <c r="W96" i="2" s="1"/>
  <c r="X96" i="2" s="1"/>
  <c r="H96" i="2"/>
  <c r="E96" i="2"/>
  <c r="C96" i="2"/>
  <c r="V95" i="2"/>
  <c r="T95" i="2"/>
  <c r="Q95" i="2"/>
  <c r="R95" i="2" s="1" a="1"/>
  <c r="R95" i="2" s="1"/>
  <c r="O95" i="2"/>
  <c r="M95" i="2"/>
  <c r="J95" i="2"/>
  <c r="W95" i="2" s="1"/>
  <c r="X95" i="2" s="1"/>
  <c r="H95" i="2"/>
  <c r="E95" i="2"/>
  <c r="C95" i="2"/>
  <c r="V94" i="2"/>
  <c r="W94" i="2" s="1"/>
  <c r="X94" i="2" s="1"/>
  <c r="T94" i="2"/>
  <c r="Q94" i="2"/>
  <c r="R94" i="2" s="1" a="1"/>
  <c r="R94" i="2" s="1"/>
  <c r="O94" i="2"/>
  <c r="M94" i="2"/>
  <c r="J94" i="2"/>
  <c r="H94" i="2"/>
  <c r="E94" i="2"/>
  <c r="C94" i="2"/>
  <c r="V93" i="2"/>
  <c r="T93" i="2"/>
  <c r="R93" i="2" a="1"/>
  <c r="R93" i="2"/>
  <c r="Q93" i="2"/>
  <c r="O93" i="2"/>
  <c r="M93" i="2"/>
  <c r="J93" i="2"/>
  <c r="W93" i="2" s="1"/>
  <c r="X93" i="2" s="1"/>
  <c r="H93" i="2"/>
  <c r="E93" i="2"/>
  <c r="C93" i="2"/>
  <c r="V92" i="2"/>
  <c r="T92" i="2"/>
  <c r="R92" i="2" a="1"/>
  <c r="R92" i="2"/>
  <c r="Q92" i="2"/>
  <c r="O92" i="2"/>
  <c r="M92" i="2"/>
  <c r="J92" i="2"/>
  <c r="W92" i="2" s="1"/>
  <c r="X92" i="2" s="1"/>
  <c r="H92" i="2"/>
  <c r="E92" i="2"/>
  <c r="C92" i="2"/>
  <c r="V91" i="2"/>
  <c r="T91" i="2"/>
  <c r="R91" i="2" a="1"/>
  <c r="R91" i="2" s="1"/>
  <c r="Q91" i="2"/>
  <c r="O91" i="2"/>
  <c r="M91" i="2"/>
  <c r="J91" i="2"/>
  <c r="H91" i="2"/>
  <c r="E91" i="2"/>
  <c r="C91" i="2"/>
  <c r="V90" i="2"/>
  <c r="T90" i="2"/>
  <c r="Q90" i="2"/>
  <c r="R90" i="2" s="1" a="1"/>
  <c r="R90" i="2" s="1"/>
  <c r="O90" i="2"/>
  <c r="M90" i="2"/>
  <c r="J90" i="2"/>
  <c r="W90" i="2" s="1"/>
  <c r="X90" i="2" s="1"/>
  <c r="H90" i="2"/>
  <c r="E90" i="2"/>
  <c r="C90" i="2"/>
  <c r="V89" i="2"/>
  <c r="T89" i="2"/>
  <c r="Q89" i="2"/>
  <c r="R89" i="2" s="1" a="1"/>
  <c r="R89" i="2" s="1"/>
  <c r="O89" i="2"/>
  <c r="M89" i="2"/>
  <c r="J89" i="2"/>
  <c r="W89" i="2" s="1"/>
  <c r="X89" i="2" s="1"/>
  <c r="H89" i="2"/>
  <c r="E89" i="2"/>
  <c r="C89" i="2"/>
  <c r="V88" i="2"/>
  <c r="T88" i="2"/>
  <c r="R88" i="2" a="1"/>
  <c r="R88" i="2"/>
  <c r="Q88" i="2"/>
  <c r="O88" i="2"/>
  <c r="M88" i="2"/>
  <c r="J88" i="2"/>
  <c r="W88" i="2" s="1"/>
  <c r="X88" i="2" s="1"/>
  <c r="H88" i="2"/>
  <c r="E88" i="2"/>
  <c r="C88" i="2"/>
  <c r="X87" i="2"/>
  <c r="V87" i="2"/>
  <c r="T87" i="2"/>
  <c r="Q87" i="2"/>
  <c r="R87" i="2" s="1" a="1"/>
  <c r="R87" i="2" s="1"/>
  <c r="O87" i="2"/>
  <c r="M87" i="2"/>
  <c r="J87" i="2"/>
  <c r="W87" i="2" s="1"/>
  <c r="H87" i="2"/>
  <c r="E87" i="2"/>
  <c r="C87" i="2"/>
  <c r="V86" i="2"/>
  <c r="W86" i="2" s="1"/>
  <c r="X86" i="2" s="1"/>
  <c r="T86" i="2"/>
  <c r="Q86" i="2"/>
  <c r="R86" i="2" s="1" a="1"/>
  <c r="R86" i="2" s="1"/>
  <c r="O86" i="2"/>
  <c r="M86" i="2"/>
  <c r="J86" i="2"/>
  <c r="H86" i="2"/>
  <c r="E86" i="2"/>
  <c r="C86" i="2"/>
  <c r="V85" i="2"/>
  <c r="T85" i="2"/>
  <c r="R85" i="2" a="1"/>
  <c r="R85" i="2" s="1"/>
  <c r="Q85" i="2"/>
  <c r="O85" i="2"/>
  <c r="M85" i="2"/>
  <c r="J85" i="2"/>
  <c r="W85" i="2" s="1"/>
  <c r="X85" i="2" s="1"/>
  <c r="H85" i="2"/>
  <c r="E85" i="2"/>
  <c r="C85" i="2"/>
  <c r="V84" i="2"/>
  <c r="T84" i="2"/>
  <c r="R84" i="2" a="1"/>
  <c r="R84" i="2" s="1"/>
  <c r="Q84" i="2"/>
  <c r="O84" i="2"/>
  <c r="M84" i="2"/>
  <c r="J84" i="2"/>
  <c r="W84" i="2" s="1"/>
  <c r="X84" i="2" s="1"/>
  <c r="H84" i="2"/>
  <c r="E84" i="2"/>
  <c r="C84" i="2"/>
  <c r="V83" i="2"/>
  <c r="T83" i="2"/>
  <c r="R83" i="2" a="1"/>
  <c r="R83" i="2" s="1"/>
  <c r="Q83" i="2"/>
  <c r="O83" i="2"/>
  <c r="M83" i="2"/>
  <c r="J83" i="2"/>
  <c r="H83" i="2"/>
  <c r="E83" i="2"/>
  <c r="C83" i="2"/>
  <c r="V82" i="2"/>
  <c r="T82" i="2"/>
  <c r="Q82" i="2"/>
  <c r="R82" i="2" s="1" a="1"/>
  <c r="R82" i="2" s="1"/>
  <c r="O82" i="2"/>
  <c r="M82" i="2"/>
  <c r="J82" i="2"/>
  <c r="W82" i="2" s="1"/>
  <c r="X82" i="2" s="1"/>
  <c r="H82" i="2"/>
  <c r="E82" i="2"/>
  <c r="C82" i="2"/>
  <c r="V81" i="2"/>
  <c r="T81" i="2"/>
  <c r="R81" i="2" a="1"/>
  <c r="R81" i="2" s="1"/>
  <c r="Q81" i="2"/>
  <c r="O81" i="2"/>
  <c r="M81" i="2"/>
  <c r="J81" i="2"/>
  <c r="W81" i="2" s="1"/>
  <c r="X81" i="2" s="1"/>
  <c r="H81" i="2"/>
  <c r="E81" i="2"/>
  <c r="C81" i="2"/>
  <c r="V80" i="2"/>
  <c r="T80" i="2"/>
  <c r="R80" i="2" a="1"/>
  <c r="R80" i="2" s="1"/>
  <c r="Q80" i="2"/>
  <c r="O80" i="2"/>
  <c r="M80" i="2"/>
  <c r="J80" i="2"/>
  <c r="W80" i="2" s="1"/>
  <c r="X80" i="2" s="1"/>
  <c r="H80" i="2"/>
  <c r="E80" i="2"/>
  <c r="C80" i="2"/>
  <c r="V79" i="2"/>
  <c r="T79" i="2"/>
  <c r="Q79" i="2"/>
  <c r="R79" i="2" s="1" a="1"/>
  <c r="R79" i="2" s="1"/>
  <c r="O79" i="2"/>
  <c r="M79" i="2"/>
  <c r="J79" i="2"/>
  <c r="H79" i="2"/>
  <c r="E79" i="2"/>
  <c r="C79" i="2"/>
  <c r="V78" i="2"/>
  <c r="T78" i="2"/>
  <c r="Q78" i="2"/>
  <c r="R78" i="2" s="1" a="1"/>
  <c r="R78" i="2" s="1"/>
  <c r="O78" i="2"/>
  <c r="M78" i="2"/>
  <c r="J78" i="2"/>
  <c r="W78" i="2" s="1"/>
  <c r="X78" i="2" s="1"/>
  <c r="H78" i="2"/>
  <c r="E78" i="2"/>
  <c r="C78" i="2"/>
  <c r="V77" i="2"/>
  <c r="T77" i="2"/>
  <c r="R77" i="2" a="1"/>
  <c r="R77" i="2" s="1"/>
  <c r="Q77" i="2"/>
  <c r="O77" i="2"/>
  <c r="M77" i="2"/>
  <c r="J77" i="2"/>
  <c r="W77" i="2" s="1"/>
  <c r="X77" i="2" s="1"/>
  <c r="H77" i="2"/>
  <c r="E77" i="2"/>
  <c r="C77" i="2"/>
  <c r="V76" i="2"/>
  <c r="T76" i="2"/>
  <c r="R76" i="2" a="1"/>
  <c r="R76" i="2"/>
  <c r="Q76" i="2"/>
  <c r="O76" i="2"/>
  <c r="M76" i="2"/>
  <c r="J76" i="2"/>
  <c r="W76" i="2" s="1"/>
  <c r="X76" i="2" s="1"/>
  <c r="H76" i="2"/>
  <c r="E76" i="2"/>
  <c r="C76" i="2"/>
  <c r="V75" i="2"/>
  <c r="T75" i="2"/>
  <c r="R75" i="2" a="1"/>
  <c r="R75" i="2" s="1"/>
  <c r="Q75" i="2"/>
  <c r="O75" i="2"/>
  <c r="M75" i="2"/>
  <c r="J75" i="2"/>
  <c r="W75" i="2" s="1"/>
  <c r="X75" i="2" s="1"/>
  <c r="H75" i="2"/>
  <c r="E75" i="2"/>
  <c r="C75" i="2"/>
  <c r="V74" i="2"/>
  <c r="T74" i="2"/>
  <c r="R74" i="2" a="1"/>
  <c r="R74" i="2"/>
  <c r="Q74" i="2"/>
  <c r="O74" i="2"/>
  <c r="M74" i="2"/>
  <c r="J74" i="2"/>
  <c r="W74" i="2" s="1"/>
  <c r="X74" i="2" s="1"/>
  <c r="H74" i="2"/>
  <c r="E74" i="2"/>
  <c r="C74" i="2"/>
  <c r="V73" i="2"/>
  <c r="T73" i="2"/>
  <c r="R73" i="2" a="1"/>
  <c r="R73" i="2" s="1"/>
  <c r="Q73" i="2"/>
  <c r="O73" i="2"/>
  <c r="M73" i="2"/>
  <c r="J73" i="2"/>
  <c r="W73" i="2" s="1"/>
  <c r="X73" i="2" s="1"/>
  <c r="H73" i="2"/>
  <c r="E73" i="2"/>
  <c r="C73" i="2"/>
  <c r="V72" i="2"/>
  <c r="T72" i="2"/>
  <c r="R72" i="2" a="1"/>
  <c r="R72" i="2"/>
  <c r="Q72" i="2"/>
  <c r="O72" i="2"/>
  <c r="M72" i="2"/>
  <c r="J72" i="2"/>
  <c r="W72" i="2" s="1"/>
  <c r="X72" i="2" s="1"/>
  <c r="H72" i="2"/>
  <c r="E72" i="2"/>
  <c r="C72" i="2"/>
  <c r="V71" i="2"/>
  <c r="T71" i="2"/>
  <c r="Q71" i="2"/>
  <c r="R71" i="2" s="1" a="1"/>
  <c r="R71" i="2" s="1"/>
  <c r="O71" i="2"/>
  <c r="M71" i="2"/>
  <c r="J71" i="2"/>
  <c r="W71" i="2" s="1"/>
  <c r="X71" i="2" s="1"/>
  <c r="H71" i="2"/>
  <c r="E71" i="2"/>
  <c r="C71" i="2"/>
  <c r="V70" i="2"/>
  <c r="T70" i="2"/>
  <c r="R70" i="2" a="1"/>
  <c r="R70" i="2" s="1"/>
  <c r="Q70" i="2"/>
  <c r="O70" i="2"/>
  <c r="M70" i="2"/>
  <c r="J70" i="2"/>
  <c r="W70" i="2" s="1"/>
  <c r="X70" i="2" s="1"/>
  <c r="H70" i="2"/>
  <c r="E70" i="2"/>
  <c r="C70" i="2"/>
  <c r="V69" i="2"/>
  <c r="T69" i="2"/>
  <c r="R69" i="2" a="1"/>
  <c r="R69" i="2"/>
  <c r="Q69" i="2"/>
  <c r="O69" i="2"/>
  <c r="M69" i="2"/>
  <c r="J69" i="2"/>
  <c r="W69" i="2" s="1"/>
  <c r="X69" i="2" s="1"/>
  <c r="H69" i="2"/>
  <c r="E69" i="2"/>
  <c r="C69" i="2"/>
  <c r="V68" i="2"/>
  <c r="T68" i="2"/>
  <c r="R68" i="2" a="1"/>
  <c r="R68" i="2" s="1"/>
  <c r="Q68" i="2"/>
  <c r="O68" i="2"/>
  <c r="M68" i="2"/>
  <c r="J68" i="2"/>
  <c r="W68" i="2" s="1"/>
  <c r="X68" i="2" s="1"/>
  <c r="H68" i="2"/>
  <c r="E68" i="2"/>
  <c r="C68" i="2"/>
  <c r="V67" i="2"/>
  <c r="T67" i="2"/>
  <c r="R67" i="2" a="1"/>
  <c r="R67" i="2"/>
  <c r="Q67" i="2"/>
  <c r="O67" i="2"/>
  <c r="M67" i="2"/>
  <c r="J67" i="2"/>
  <c r="W67" i="2" s="1"/>
  <c r="X67" i="2" s="1"/>
  <c r="H67" i="2"/>
  <c r="E67" i="2"/>
  <c r="C67" i="2"/>
  <c r="V66" i="2"/>
  <c r="T66" i="2"/>
  <c r="Q66" i="2"/>
  <c r="R66" i="2" s="1" a="1"/>
  <c r="R66" i="2" s="1"/>
  <c r="O66" i="2"/>
  <c r="M66" i="2"/>
  <c r="J66" i="2"/>
  <c r="W66" i="2" s="1"/>
  <c r="X66" i="2" s="1"/>
  <c r="H66" i="2"/>
  <c r="E66" i="2"/>
  <c r="C66" i="2"/>
  <c r="V65" i="2"/>
  <c r="T65" i="2"/>
  <c r="Q65" i="2"/>
  <c r="R65" i="2" s="1" a="1"/>
  <c r="R65" i="2" s="1"/>
  <c r="O65" i="2"/>
  <c r="M65" i="2"/>
  <c r="J65" i="2"/>
  <c r="W65" i="2" s="1"/>
  <c r="X65" i="2" s="1"/>
  <c r="H65" i="2"/>
  <c r="E65" i="2"/>
  <c r="C65" i="2"/>
  <c r="V64" i="2"/>
  <c r="T64" i="2"/>
  <c r="R64" i="2" a="1"/>
  <c r="R64" i="2" s="1"/>
  <c r="Q64" i="2"/>
  <c r="O64" i="2"/>
  <c r="M64" i="2"/>
  <c r="J64" i="2"/>
  <c r="W64" i="2" s="1"/>
  <c r="X64" i="2" s="1"/>
  <c r="H64" i="2"/>
  <c r="E64" i="2"/>
  <c r="C64" i="2"/>
  <c r="V63" i="2"/>
  <c r="T63" i="2"/>
  <c r="Q63" i="2"/>
  <c r="R63" i="2" s="1" a="1"/>
  <c r="R63" i="2" s="1"/>
  <c r="O63" i="2"/>
  <c r="M63" i="2"/>
  <c r="J63" i="2"/>
  <c r="W63" i="2" s="1"/>
  <c r="X63" i="2" s="1"/>
  <c r="H63" i="2"/>
  <c r="E63" i="2"/>
  <c r="C63" i="2"/>
  <c r="V62" i="2"/>
  <c r="T62" i="2"/>
  <c r="R62" i="2" a="1"/>
  <c r="R62" i="2" s="1"/>
  <c r="Q62" i="2"/>
  <c r="O62" i="2"/>
  <c r="M62" i="2"/>
  <c r="J62" i="2"/>
  <c r="W62" i="2" s="1"/>
  <c r="X62" i="2" s="1"/>
  <c r="H62" i="2"/>
  <c r="E62" i="2"/>
  <c r="C62" i="2"/>
  <c r="V61" i="2"/>
  <c r="T61" i="2"/>
  <c r="R61" i="2" a="1"/>
  <c r="R61" i="2"/>
  <c r="Q61" i="2"/>
  <c r="O61" i="2"/>
  <c r="M61" i="2"/>
  <c r="J61" i="2"/>
  <c r="W61" i="2" s="1"/>
  <c r="X61" i="2" s="1"/>
  <c r="H61" i="2"/>
  <c r="E61" i="2"/>
  <c r="C61" i="2"/>
  <c r="V60" i="2"/>
  <c r="T60" i="2"/>
  <c r="R60" i="2" a="1"/>
  <c r="R60" i="2" s="1"/>
  <c r="Q60" i="2"/>
  <c r="O60" i="2"/>
  <c r="M60" i="2"/>
  <c r="J60" i="2"/>
  <c r="W60" i="2" s="1"/>
  <c r="X60" i="2" s="1"/>
  <c r="H60" i="2"/>
  <c r="E60" i="2"/>
  <c r="C60" i="2"/>
  <c r="V59" i="2"/>
  <c r="T59" i="2"/>
  <c r="R59" i="2" a="1"/>
  <c r="R59" i="2"/>
  <c r="Q59" i="2"/>
  <c r="O59" i="2"/>
  <c r="M59" i="2"/>
  <c r="J59" i="2"/>
  <c r="W59" i="2" s="1"/>
  <c r="X59" i="2" s="1"/>
  <c r="H59" i="2"/>
  <c r="E59" i="2"/>
  <c r="C59" i="2"/>
  <c r="V58" i="2"/>
  <c r="T58" i="2"/>
  <c r="Q58" i="2"/>
  <c r="R58" i="2" s="1" a="1"/>
  <c r="R58" i="2" s="1"/>
  <c r="O58" i="2"/>
  <c r="M58" i="2"/>
  <c r="J58" i="2"/>
  <c r="W58" i="2" s="1"/>
  <c r="X58" i="2" s="1"/>
  <c r="H58" i="2"/>
  <c r="E58" i="2"/>
  <c r="C58" i="2"/>
  <c r="V57" i="2"/>
  <c r="T57" i="2"/>
  <c r="Q57" i="2"/>
  <c r="R57" i="2" s="1" a="1"/>
  <c r="R57" i="2" s="1"/>
  <c r="O57" i="2"/>
  <c r="M57" i="2"/>
  <c r="J57" i="2"/>
  <c r="W57" i="2" s="1"/>
  <c r="X57" i="2" s="1"/>
  <c r="H57" i="2"/>
  <c r="E57" i="2"/>
  <c r="C57" i="2"/>
  <c r="V56" i="2"/>
  <c r="T56" i="2"/>
  <c r="R56" i="2" a="1"/>
  <c r="R56" i="2" s="1"/>
  <c r="Q56" i="2"/>
  <c r="O56" i="2"/>
  <c r="M56" i="2"/>
  <c r="J56" i="2"/>
  <c r="W56" i="2" s="1"/>
  <c r="X56" i="2" s="1"/>
  <c r="H56" i="2"/>
  <c r="E56" i="2"/>
  <c r="C56" i="2"/>
  <c r="V55" i="2"/>
  <c r="T55" i="2"/>
  <c r="Q55" i="2"/>
  <c r="R55" i="2" s="1" a="1"/>
  <c r="R55" i="2" s="1"/>
  <c r="O55" i="2"/>
  <c r="M55" i="2"/>
  <c r="J55" i="2"/>
  <c r="W55" i="2" s="1"/>
  <c r="X55" i="2" s="1"/>
  <c r="H55" i="2"/>
  <c r="E55" i="2"/>
  <c r="C55" i="2"/>
  <c r="V54" i="2"/>
  <c r="T54" i="2"/>
  <c r="R54" i="2" a="1"/>
  <c r="R54" i="2" s="1"/>
  <c r="Q54" i="2"/>
  <c r="O54" i="2"/>
  <c r="M54" i="2"/>
  <c r="J54" i="2"/>
  <c r="W54" i="2" s="1"/>
  <c r="X54" i="2" s="1"/>
  <c r="H54" i="2"/>
  <c r="E54" i="2"/>
  <c r="C54" i="2"/>
  <c r="V53" i="2"/>
  <c r="T53" i="2"/>
  <c r="R53" i="2" a="1"/>
  <c r="R53" i="2"/>
  <c r="Q53" i="2"/>
  <c r="O53" i="2"/>
  <c r="M53" i="2"/>
  <c r="J53" i="2"/>
  <c r="W53" i="2" s="1"/>
  <c r="X53" i="2" s="1"/>
  <c r="H53" i="2"/>
  <c r="E53" i="2"/>
  <c r="C53" i="2"/>
  <c r="V52" i="2"/>
  <c r="T52" i="2"/>
  <c r="R52" i="2" a="1"/>
  <c r="R52" i="2" s="1"/>
  <c r="Q52" i="2"/>
  <c r="O52" i="2"/>
  <c r="M52" i="2"/>
  <c r="J52" i="2"/>
  <c r="W52" i="2" s="1"/>
  <c r="X52" i="2" s="1"/>
  <c r="H52" i="2"/>
  <c r="E52" i="2"/>
  <c r="C52" i="2"/>
  <c r="V51" i="2"/>
  <c r="T51" i="2"/>
  <c r="R51" i="2" a="1"/>
  <c r="R51" i="2"/>
  <c r="Q51" i="2"/>
  <c r="O51" i="2"/>
  <c r="M51" i="2"/>
  <c r="J51" i="2"/>
  <c r="W51" i="2" s="1"/>
  <c r="X51" i="2" s="1"/>
  <c r="H51" i="2"/>
  <c r="E51" i="2"/>
  <c r="C51" i="2"/>
  <c r="V50" i="2"/>
  <c r="T50" i="2"/>
  <c r="Q50" i="2"/>
  <c r="R50" i="2" s="1" a="1"/>
  <c r="R50" i="2" s="1"/>
  <c r="O50" i="2"/>
  <c r="M50" i="2"/>
  <c r="J50" i="2"/>
  <c r="W50" i="2" s="1"/>
  <c r="X50" i="2" s="1"/>
  <c r="H50" i="2"/>
  <c r="E50" i="2"/>
  <c r="C50" i="2"/>
  <c r="V49" i="2"/>
  <c r="T49" i="2"/>
  <c r="Q49" i="2"/>
  <c r="R49" i="2" s="1" a="1"/>
  <c r="R49" i="2" s="1"/>
  <c r="O49" i="2"/>
  <c r="M49" i="2"/>
  <c r="J49" i="2"/>
  <c r="W49" i="2" s="1"/>
  <c r="X49" i="2" s="1"/>
  <c r="H49" i="2"/>
  <c r="E49" i="2"/>
  <c r="C49" i="2"/>
  <c r="V48" i="2"/>
  <c r="T48" i="2"/>
  <c r="R48" i="2" a="1"/>
  <c r="R48" i="2" s="1"/>
  <c r="Q48" i="2"/>
  <c r="O48" i="2"/>
  <c r="M48" i="2"/>
  <c r="J48" i="2"/>
  <c r="W48" i="2" s="1"/>
  <c r="X48" i="2" s="1"/>
  <c r="H48" i="2"/>
  <c r="E48" i="2"/>
  <c r="C48" i="2"/>
  <c r="V47" i="2"/>
  <c r="T47" i="2"/>
  <c r="Q47" i="2"/>
  <c r="R47" i="2" s="1" a="1"/>
  <c r="R47" i="2" s="1"/>
  <c r="O47" i="2"/>
  <c r="M47" i="2"/>
  <c r="J47" i="2"/>
  <c r="W47" i="2" s="1"/>
  <c r="X47" i="2" s="1"/>
  <c r="H47" i="2"/>
  <c r="E47" i="2"/>
  <c r="C47" i="2"/>
  <c r="V46" i="2"/>
  <c r="T46" i="2"/>
  <c r="R46" i="2" a="1"/>
  <c r="R46" i="2" s="1"/>
  <c r="Q46" i="2"/>
  <c r="O46" i="2"/>
  <c r="M46" i="2"/>
  <c r="J46" i="2"/>
  <c r="W46" i="2" s="1"/>
  <c r="X46" i="2" s="1"/>
  <c r="H46" i="2"/>
  <c r="E46" i="2"/>
  <c r="C46" i="2"/>
  <c r="V45" i="2"/>
  <c r="T45" i="2"/>
  <c r="R45" i="2" a="1"/>
  <c r="R45" i="2"/>
  <c r="Q45" i="2"/>
  <c r="O45" i="2"/>
  <c r="M45" i="2"/>
  <c r="J45" i="2"/>
  <c r="W45" i="2" s="1"/>
  <c r="X45" i="2" s="1"/>
  <c r="H45" i="2"/>
  <c r="E45" i="2"/>
  <c r="C45" i="2"/>
  <c r="V44" i="2"/>
  <c r="T44" i="2"/>
  <c r="R44" i="2" a="1"/>
  <c r="R44" i="2" s="1"/>
  <c r="Q44" i="2"/>
  <c r="O44" i="2"/>
  <c r="M44" i="2"/>
  <c r="J44" i="2"/>
  <c r="W44" i="2" s="1"/>
  <c r="X44" i="2" s="1"/>
  <c r="H44" i="2"/>
  <c r="E44" i="2"/>
  <c r="C44" i="2"/>
  <c r="V43" i="2"/>
  <c r="T43" i="2"/>
  <c r="R43" i="2" a="1"/>
  <c r="R43" i="2"/>
  <c r="Q43" i="2"/>
  <c r="O43" i="2"/>
  <c r="M43" i="2"/>
  <c r="J43" i="2"/>
  <c r="W43" i="2" s="1"/>
  <c r="X43" i="2" s="1"/>
  <c r="H43" i="2"/>
  <c r="E43" i="2"/>
  <c r="C43" i="2"/>
  <c r="V42" i="2"/>
  <c r="T42" i="2"/>
  <c r="Q42" i="2"/>
  <c r="R42" i="2" s="1" a="1"/>
  <c r="R42" i="2" s="1"/>
  <c r="O42" i="2"/>
  <c r="M42" i="2"/>
  <c r="J42" i="2"/>
  <c r="W42" i="2" s="1"/>
  <c r="X42" i="2" s="1"/>
  <c r="H42" i="2"/>
  <c r="E42" i="2"/>
  <c r="C42" i="2"/>
  <c r="V41" i="2"/>
  <c r="T41" i="2"/>
  <c r="Q41" i="2"/>
  <c r="R41" i="2" s="1" a="1"/>
  <c r="R41" i="2" s="1"/>
  <c r="O41" i="2"/>
  <c r="M41" i="2"/>
  <c r="J41" i="2"/>
  <c r="W41" i="2" s="1"/>
  <c r="X41" i="2" s="1"/>
  <c r="H41" i="2"/>
  <c r="E41" i="2"/>
  <c r="C41" i="2"/>
  <c r="V40" i="2"/>
  <c r="T40" i="2"/>
  <c r="R40" i="2" a="1"/>
  <c r="R40" i="2" s="1"/>
  <c r="Q40" i="2"/>
  <c r="O40" i="2"/>
  <c r="M40" i="2"/>
  <c r="J40" i="2"/>
  <c r="W40" i="2" s="1"/>
  <c r="X40" i="2" s="1"/>
  <c r="H40" i="2"/>
  <c r="E40" i="2"/>
  <c r="C40" i="2"/>
  <c r="V39" i="2"/>
  <c r="T39" i="2"/>
  <c r="Q39" i="2"/>
  <c r="R39" i="2" s="1" a="1"/>
  <c r="R39" i="2" s="1"/>
  <c r="O39" i="2"/>
  <c r="M39" i="2"/>
  <c r="J39" i="2"/>
  <c r="W39" i="2" s="1"/>
  <c r="X39" i="2" s="1"/>
  <c r="H39" i="2"/>
  <c r="E39" i="2"/>
  <c r="C39" i="2"/>
  <c r="V38" i="2"/>
  <c r="T38" i="2"/>
  <c r="R38" i="2" a="1"/>
  <c r="R38" i="2" s="1"/>
  <c r="Q38" i="2"/>
  <c r="O38" i="2"/>
  <c r="M38" i="2"/>
  <c r="J38" i="2"/>
  <c r="W38" i="2" s="1"/>
  <c r="X38" i="2" s="1"/>
  <c r="H38" i="2"/>
  <c r="E38" i="2"/>
  <c r="C38" i="2"/>
  <c r="V37" i="2"/>
  <c r="T37" i="2"/>
  <c r="R37" i="2" a="1"/>
  <c r="R37" i="2"/>
  <c r="Q37" i="2"/>
  <c r="O37" i="2"/>
  <c r="M37" i="2"/>
  <c r="J37" i="2"/>
  <c r="W37" i="2" s="1"/>
  <c r="X37" i="2" s="1"/>
  <c r="H37" i="2"/>
  <c r="E37" i="2"/>
  <c r="C37" i="2"/>
  <c r="V36" i="2"/>
  <c r="T36" i="2"/>
  <c r="R36" i="2" a="1"/>
  <c r="R36" i="2" s="1"/>
  <c r="Q36" i="2"/>
  <c r="O36" i="2"/>
  <c r="M36" i="2"/>
  <c r="J36" i="2"/>
  <c r="W36" i="2" s="1"/>
  <c r="X36" i="2" s="1"/>
  <c r="H36" i="2"/>
  <c r="E36" i="2"/>
  <c r="C36" i="2"/>
  <c r="V35" i="2"/>
  <c r="T35" i="2"/>
  <c r="R35" i="2" a="1"/>
  <c r="R35" i="2"/>
  <c r="Q35" i="2"/>
  <c r="O35" i="2"/>
  <c r="M35" i="2"/>
  <c r="J35" i="2"/>
  <c r="W35" i="2" s="1"/>
  <c r="X35" i="2" s="1"/>
  <c r="H35" i="2"/>
  <c r="E35" i="2"/>
  <c r="C35" i="2"/>
  <c r="V34" i="2"/>
  <c r="T34" i="2"/>
  <c r="Q34" i="2"/>
  <c r="R34" i="2" s="1" a="1"/>
  <c r="R34" i="2" s="1"/>
  <c r="O34" i="2"/>
  <c r="M34" i="2"/>
  <c r="J34" i="2"/>
  <c r="W34" i="2" s="1"/>
  <c r="X34" i="2" s="1"/>
  <c r="H34" i="2"/>
  <c r="E34" i="2"/>
  <c r="C34" i="2"/>
  <c r="V33" i="2"/>
  <c r="T33" i="2"/>
  <c r="Q33" i="2"/>
  <c r="R33" i="2" s="1" a="1"/>
  <c r="R33" i="2" s="1"/>
  <c r="O33" i="2"/>
  <c r="M33" i="2"/>
  <c r="J33" i="2"/>
  <c r="W33" i="2" s="1"/>
  <c r="X33" i="2" s="1"/>
  <c r="H33" i="2"/>
  <c r="E33" i="2"/>
  <c r="C33" i="2"/>
  <c r="V32" i="2"/>
  <c r="T32" i="2"/>
  <c r="R32" i="2" a="1"/>
  <c r="R32" i="2" s="1"/>
  <c r="Q32" i="2"/>
  <c r="O32" i="2"/>
  <c r="M32" i="2"/>
  <c r="J32" i="2"/>
  <c r="W32" i="2" s="1"/>
  <c r="X32" i="2" s="1"/>
  <c r="H32" i="2"/>
  <c r="E32" i="2"/>
  <c r="C32" i="2"/>
  <c r="V31" i="2"/>
  <c r="T31" i="2"/>
  <c r="Q31" i="2"/>
  <c r="R31" i="2" s="1" a="1"/>
  <c r="R31" i="2" s="1"/>
  <c r="O31" i="2"/>
  <c r="M31" i="2"/>
  <c r="J31" i="2"/>
  <c r="W31" i="2" s="1"/>
  <c r="X31" i="2" s="1"/>
  <c r="H31" i="2"/>
  <c r="E31" i="2"/>
  <c r="C31" i="2"/>
  <c r="V30" i="2"/>
  <c r="T30" i="2"/>
  <c r="R30" i="2" a="1"/>
  <c r="R30" i="2" s="1"/>
  <c r="Q30" i="2"/>
  <c r="O30" i="2"/>
  <c r="M30" i="2"/>
  <c r="J30" i="2"/>
  <c r="W30" i="2" s="1"/>
  <c r="X30" i="2" s="1"/>
  <c r="H30" i="2"/>
  <c r="E30" i="2"/>
  <c r="C30" i="2"/>
  <c r="V29" i="2"/>
  <c r="T29" i="2"/>
  <c r="R29" i="2" a="1"/>
  <c r="R29" i="2"/>
  <c r="Q29" i="2"/>
  <c r="O29" i="2"/>
  <c r="M29" i="2"/>
  <c r="J29" i="2"/>
  <c r="W29" i="2" s="1"/>
  <c r="X29" i="2" s="1"/>
  <c r="H29" i="2"/>
  <c r="E29" i="2"/>
  <c r="C29" i="2"/>
  <c r="V28" i="2"/>
  <c r="T28" i="2"/>
  <c r="R28" i="2" a="1"/>
  <c r="R28" i="2" s="1"/>
  <c r="Q28" i="2"/>
  <c r="O28" i="2"/>
  <c r="M28" i="2"/>
  <c r="J28" i="2"/>
  <c r="W28" i="2" s="1"/>
  <c r="X28" i="2" s="1"/>
  <c r="H28" i="2"/>
  <c r="E28" i="2"/>
  <c r="C28" i="2"/>
  <c r="V27" i="2"/>
  <c r="T27" i="2"/>
  <c r="R27" i="2" a="1"/>
  <c r="R27" i="2"/>
  <c r="Q27" i="2"/>
  <c r="O27" i="2"/>
  <c r="M27" i="2"/>
  <c r="J27" i="2"/>
  <c r="W27" i="2" s="1"/>
  <c r="X27" i="2" s="1"/>
  <c r="H27" i="2"/>
  <c r="E27" i="2"/>
  <c r="C27" i="2"/>
  <c r="V26" i="2"/>
  <c r="T26" i="2"/>
  <c r="Q26" i="2"/>
  <c r="R26" i="2" s="1" a="1"/>
  <c r="R26" i="2" s="1"/>
  <c r="O26" i="2"/>
  <c r="M26" i="2"/>
  <c r="J26" i="2"/>
  <c r="W26" i="2" s="1"/>
  <c r="X26" i="2" s="1"/>
  <c r="H26" i="2"/>
  <c r="E26" i="2"/>
  <c r="C26" i="2"/>
  <c r="V25" i="2"/>
  <c r="T25" i="2"/>
  <c r="Q25" i="2"/>
  <c r="R25" i="2" s="1" a="1"/>
  <c r="R25" i="2" s="1"/>
  <c r="O25" i="2"/>
  <c r="M25" i="2"/>
  <c r="J25" i="2"/>
  <c r="W25" i="2" s="1"/>
  <c r="X25" i="2" s="1"/>
  <c r="H25" i="2"/>
  <c r="E25" i="2"/>
  <c r="C25" i="2"/>
  <c r="V24" i="2"/>
  <c r="T24" i="2"/>
  <c r="R24" i="2" a="1"/>
  <c r="R24" i="2" s="1"/>
  <c r="Q24" i="2"/>
  <c r="O24" i="2"/>
  <c r="M24" i="2"/>
  <c r="J24" i="2"/>
  <c r="W24" i="2" s="1"/>
  <c r="X24" i="2" s="1"/>
  <c r="H24" i="2"/>
  <c r="E24" i="2"/>
  <c r="C24" i="2"/>
  <c r="V23" i="2"/>
  <c r="T23" i="2"/>
  <c r="Q23" i="2"/>
  <c r="R23" i="2" s="1" a="1"/>
  <c r="R23" i="2" s="1"/>
  <c r="O23" i="2"/>
  <c r="M23" i="2"/>
  <c r="J23" i="2"/>
  <c r="W23" i="2" s="1"/>
  <c r="X23" i="2" s="1"/>
  <c r="H23" i="2"/>
  <c r="E23" i="2"/>
  <c r="C23" i="2"/>
  <c r="V22" i="2"/>
  <c r="T22" i="2"/>
  <c r="R22" i="2" a="1"/>
  <c r="R22" i="2" s="1"/>
  <c r="Q22" i="2"/>
  <c r="O22" i="2"/>
  <c r="M22" i="2"/>
  <c r="J22" i="2"/>
  <c r="W22" i="2" s="1"/>
  <c r="X22" i="2" s="1"/>
  <c r="H22" i="2"/>
  <c r="E22" i="2"/>
  <c r="C22" i="2"/>
  <c r="V21" i="2"/>
  <c r="T21" i="2"/>
  <c r="R21" i="2" a="1"/>
  <c r="R21" i="2"/>
  <c r="Q21" i="2"/>
  <c r="O21" i="2"/>
  <c r="M21" i="2"/>
  <c r="J21" i="2"/>
  <c r="W21" i="2" s="1"/>
  <c r="X21" i="2" s="1"/>
  <c r="H21" i="2"/>
  <c r="E21" i="2"/>
  <c r="C21" i="2"/>
  <c r="V20" i="2"/>
  <c r="T20" i="2"/>
  <c r="R20" i="2" a="1"/>
  <c r="R20" i="2" s="1"/>
  <c r="Q20" i="2"/>
  <c r="O20" i="2"/>
  <c r="M20" i="2"/>
  <c r="J20" i="2"/>
  <c r="W20" i="2" s="1"/>
  <c r="X20" i="2" s="1"/>
  <c r="H20" i="2"/>
  <c r="E20" i="2"/>
  <c r="C20" i="2"/>
  <c r="V19" i="2"/>
  <c r="T19" i="2"/>
  <c r="R19" i="2" a="1"/>
  <c r="R19" i="2"/>
  <c r="Q19" i="2"/>
  <c r="O19" i="2"/>
  <c r="M19" i="2"/>
  <c r="J19" i="2"/>
  <c r="W19" i="2" s="1"/>
  <c r="X19" i="2" s="1"/>
  <c r="H19" i="2"/>
  <c r="E19" i="2"/>
  <c r="C19" i="2"/>
  <c r="V18" i="2"/>
  <c r="T18" i="2"/>
  <c r="Q18" i="2"/>
  <c r="R18" i="2" s="1" a="1"/>
  <c r="R18" i="2" s="1"/>
  <c r="O18" i="2"/>
  <c r="M18" i="2"/>
  <c r="J18" i="2"/>
  <c r="W18" i="2" s="1"/>
  <c r="X18" i="2" s="1"/>
  <c r="H18" i="2"/>
  <c r="E18" i="2"/>
  <c r="C18" i="2"/>
  <c r="V17" i="2"/>
  <c r="T17" i="2"/>
  <c r="Q17" i="2"/>
  <c r="R17" i="2" s="1" a="1"/>
  <c r="R17" i="2" s="1"/>
  <c r="O17" i="2"/>
  <c r="M17" i="2"/>
  <c r="J17" i="2"/>
  <c r="W17" i="2" s="1"/>
  <c r="X17" i="2" s="1"/>
  <c r="H17" i="2"/>
  <c r="E17" i="2"/>
  <c r="C17" i="2"/>
  <c r="V16" i="2"/>
  <c r="T16" i="2"/>
  <c r="Q16" i="2"/>
  <c r="R16" i="2" s="1" a="1"/>
  <c r="R16" i="2" s="1"/>
  <c r="O16" i="2"/>
  <c r="M16" i="2"/>
  <c r="J16" i="2"/>
  <c r="W16" i="2" s="1"/>
  <c r="X16" i="2" s="1"/>
  <c r="H16" i="2"/>
  <c r="E16" i="2"/>
  <c r="C16" i="2"/>
  <c r="V15" i="2"/>
  <c r="T15" i="2"/>
  <c r="Q15" i="2"/>
  <c r="R15" i="2" s="1" a="1"/>
  <c r="R15" i="2" s="1"/>
  <c r="O15" i="2"/>
  <c r="M15" i="2"/>
  <c r="J15" i="2"/>
  <c r="W15" i="2" s="1"/>
  <c r="X15" i="2" s="1"/>
  <c r="H15" i="2"/>
  <c r="E15" i="2"/>
  <c r="C15" i="2"/>
  <c r="V14" i="2"/>
  <c r="T14" i="2"/>
  <c r="R14" i="2" a="1"/>
  <c r="R14" i="2" s="1"/>
  <c r="Q14" i="2"/>
  <c r="O14" i="2"/>
  <c r="M14" i="2"/>
  <c r="J14" i="2"/>
  <c r="W14" i="2" s="1"/>
  <c r="X14" i="2" s="1"/>
  <c r="H14" i="2"/>
  <c r="E14" i="2"/>
  <c r="C14" i="2"/>
  <c r="V13" i="2"/>
  <c r="T13" i="2"/>
  <c r="Q13" i="2"/>
  <c r="R13" i="2" s="1" a="1"/>
  <c r="R13" i="2" s="1"/>
  <c r="O13" i="2"/>
  <c r="M13" i="2"/>
  <c r="J13" i="2"/>
  <c r="W13" i="2" s="1"/>
  <c r="X13" i="2" s="1"/>
  <c r="H13" i="2"/>
  <c r="E13" i="2"/>
  <c r="C13" i="2"/>
  <c r="V12" i="2"/>
  <c r="T12" i="2"/>
  <c r="R12" i="2" a="1"/>
  <c r="R12" i="2" s="1"/>
  <c r="Q12" i="2"/>
  <c r="O12" i="2"/>
  <c r="M12" i="2"/>
  <c r="J12" i="2"/>
  <c r="W12" i="2" s="1"/>
  <c r="X12" i="2" s="1"/>
  <c r="H12" i="2"/>
  <c r="E12" i="2"/>
  <c r="C12" i="2"/>
  <c r="V11" i="2"/>
  <c r="T11" i="2"/>
  <c r="R11" i="2" a="1"/>
  <c r="R11" i="2"/>
  <c r="Q11" i="2"/>
  <c r="O11" i="2"/>
  <c r="M11" i="2"/>
  <c r="J11" i="2"/>
  <c r="W11" i="2" s="1"/>
  <c r="X11" i="2" s="1"/>
  <c r="H11" i="2"/>
  <c r="E11" i="2"/>
  <c r="C11" i="2"/>
  <c r="V10" i="2"/>
  <c r="T10" i="2"/>
  <c r="Q10" i="2"/>
  <c r="R10" i="2" s="1" a="1"/>
  <c r="R10" i="2" s="1"/>
  <c r="O10" i="2"/>
  <c r="M10" i="2"/>
  <c r="J10" i="2"/>
  <c r="W10" i="2" s="1"/>
  <c r="X10" i="2" s="1"/>
  <c r="H10" i="2"/>
  <c r="E10" i="2"/>
  <c r="C10" i="2"/>
  <c r="V9" i="2"/>
  <c r="T9" i="2"/>
  <c r="Q9" i="2"/>
  <c r="R9" i="2" s="1" a="1"/>
  <c r="R9" i="2" s="1"/>
  <c r="O9" i="2"/>
  <c r="M9" i="2"/>
  <c r="J9" i="2"/>
  <c r="W9" i="2" s="1"/>
  <c r="X9" i="2" s="1"/>
  <c r="H9" i="2"/>
  <c r="E9" i="2"/>
  <c r="C9" i="2"/>
  <c r="V8" i="2"/>
  <c r="T8" i="2"/>
  <c r="Q8" i="2"/>
  <c r="R8" i="2" s="1" a="1"/>
  <c r="R8" i="2" s="1"/>
  <c r="O8" i="2"/>
  <c r="M8" i="2"/>
  <c r="J8" i="2"/>
  <c r="W8" i="2" s="1"/>
  <c r="X8" i="2" s="1"/>
  <c r="H8" i="2"/>
  <c r="E8" i="2"/>
  <c r="C8" i="2"/>
  <c r="V7" i="2"/>
  <c r="T7" i="2"/>
  <c r="R7" i="2" a="1"/>
  <c r="R7" i="2" s="1"/>
  <c r="Q7" i="2"/>
  <c r="O7" i="2"/>
  <c r="M7" i="2"/>
  <c r="J7" i="2"/>
  <c r="W7" i="2" s="1"/>
  <c r="X7" i="2" s="1"/>
  <c r="H7" i="2"/>
  <c r="E7" i="2"/>
  <c r="C7" i="2"/>
  <c r="V6" i="2"/>
  <c r="T6" i="2"/>
  <c r="R6" i="2" a="1"/>
  <c r="R6" i="2" s="1"/>
  <c r="Q6" i="2"/>
  <c r="O6" i="2"/>
  <c r="M6" i="2"/>
  <c r="J6" i="2"/>
  <c r="W6" i="2" s="1"/>
  <c r="X6" i="2" s="1"/>
  <c r="H6" i="2"/>
  <c r="E6" i="2"/>
  <c r="C6" i="2"/>
  <c r="V5" i="2"/>
  <c r="T5" i="2"/>
  <c r="Q5" i="2"/>
  <c r="R5" i="2" s="1" a="1"/>
  <c r="R5" i="2" s="1"/>
  <c r="O5" i="2"/>
  <c r="M5" i="2"/>
  <c r="J5" i="2"/>
  <c r="W5" i="2" s="1"/>
  <c r="X5" i="2" s="1"/>
  <c r="H5" i="2"/>
  <c r="E5" i="2"/>
  <c r="C5" i="2"/>
  <c r="V4" i="2"/>
  <c r="T4" i="2"/>
  <c r="R4" i="2" a="1"/>
  <c r="R4" i="2" s="1"/>
  <c r="Q4" i="2"/>
  <c r="O4" i="2"/>
  <c r="M4" i="2"/>
  <c r="J4" i="2"/>
  <c r="W4" i="2" s="1"/>
  <c r="X4" i="2" s="1"/>
  <c r="H4" i="2"/>
  <c r="E4" i="2"/>
  <c r="C4" i="2"/>
  <c r="V3" i="2"/>
  <c r="T3" i="2"/>
  <c r="R3" i="2" a="1"/>
  <c r="R3" i="2"/>
  <c r="Q3" i="2"/>
  <c r="O3" i="2"/>
  <c r="M3" i="2"/>
  <c r="J3" i="2"/>
  <c r="W3" i="2" s="1"/>
  <c r="X3" i="2" s="1"/>
  <c r="H3" i="2"/>
  <c r="E3" i="2"/>
  <c r="C3" i="2"/>
  <c r="V2" i="2"/>
  <c r="T2" i="2"/>
  <c r="Q2" i="2"/>
  <c r="R2" i="2" s="1" a="1"/>
  <c r="R2" i="2" s="1"/>
  <c r="O2" i="2"/>
  <c r="M2" i="2"/>
  <c r="J2" i="2"/>
  <c r="W2" i="2" s="1"/>
  <c r="X2" i="2" s="1"/>
  <c r="H2" i="2"/>
  <c r="E2" i="2"/>
  <c r="C2" i="2"/>
  <c r="W115" i="2" l="1"/>
  <c r="X115" i="2" s="1"/>
  <c r="W79" i="2"/>
  <c r="X79" i="2" s="1"/>
  <c r="W123" i="2"/>
  <c r="X123" i="2" s="1"/>
  <c r="W139" i="2"/>
  <c r="X139" i="2" s="1"/>
  <c r="W171" i="2"/>
  <c r="X171" i="2" s="1"/>
  <c r="W203" i="2"/>
  <c r="X203" i="2" s="1"/>
  <c r="W83" i="2"/>
  <c r="X83" i="2" s="1"/>
  <c r="W91" i="2"/>
  <c r="X91" i="2" s="1"/>
  <c r="W215" i="2"/>
  <c r="X215" i="2" s="1"/>
  <c r="W275" i="2"/>
  <c r="X275" i="2" s="1"/>
  <c r="W226" i="2"/>
  <c r="X226" i="2" s="1"/>
  <c r="W389" i="2"/>
  <c r="X389" i="2" s="1"/>
  <c r="W283" i="2"/>
  <c r="X283" i="2" s="1"/>
  <c r="W315" i="2"/>
  <c r="X315" i="2" s="1"/>
  <c r="W207" i="2"/>
  <c r="X207" i="2" s="1"/>
  <c r="W243" i="2"/>
  <c r="X243" i="2" s="1"/>
  <c r="W291" i="2"/>
  <c r="X291" i="2" s="1"/>
  <c r="W323" i="2"/>
  <c r="X323" i="2" s="1"/>
  <c r="W331" i="2"/>
  <c r="X331" i="2" s="1"/>
  <c r="W370" i="2"/>
  <c r="X370" i="2" s="1"/>
  <c r="W385" i="2"/>
  <c r="X385" i="2" s="1"/>
  <c r="W361" i="2"/>
  <c r="X361" i="2" s="1"/>
  <c r="W421" i="2"/>
  <c r="X421" i="2" s="1"/>
  <c r="W453" i="2"/>
  <c r="X453" i="2" s="1"/>
  <c r="W485" i="2"/>
  <c r="X485" i="2" s="1"/>
  <c r="W386" i="2"/>
  <c r="X386" i="2" s="1"/>
  <c r="W425" i="2"/>
  <c r="X425" i="2" s="1"/>
  <c r="W457" i="2"/>
  <c r="X457" i="2" s="1"/>
  <c r="W489" i="2"/>
  <c r="X489" i="2" s="1"/>
  <c r="W362" i="2"/>
  <c r="X362" i="2" s="1"/>
  <c r="W377" i="2"/>
  <c r="X377" i="2" s="1"/>
  <c r="W429" i="2"/>
  <c r="X429" i="2" s="1"/>
  <c r="W461" i="2"/>
  <c r="X461" i="2" s="1"/>
  <c r="W493" i="2"/>
  <c r="X493" i="2" s="1"/>
  <c r="W345" i="2"/>
  <c r="X345" i="2" s="1"/>
  <c r="W402" i="2"/>
  <c r="X402" i="2" s="1"/>
  <c r="W433" i="2"/>
  <c r="X433" i="2" s="1"/>
  <c r="W465" i="2"/>
  <c r="X465" i="2" s="1"/>
  <c r="W343" i="2"/>
  <c r="X343" i="2" s="1"/>
  <c r="W378" i="2"/>
  <c r="X378" i="2" s="1"/>
  <c r="W437" i="2"/>
  <c r="X437" i="2" s="1"/>
  <c r="W469" i="2"/>
  <c r="X469" i="2" s="1"/>
</calcChain>
</file>

<file path=xl/sharedStrings.xml><?xml version="1.0" encoding="utf-8"?>
<sst xmlns="http://schemas.openxmlformats.org/spreadsheetml/2006/main" count="16916" uniqueCount="2227">
  <si>
    <t>EmployeeID</t>
  </si>
  <si>
    <t>Name</t>
  </si>
  <si>
    <t>Email</t>
  </si>
  <si>
    <t>Department</t>
  </si>
  <si>
    <t>JoinDate</t>
  </si>
  <si>
    <t>SalaryStr</t>
  </si>
  <si>
    <t>JobTitle</t>
  </si>
  <si>
    <t>Status</t>
  </si>
  <si>
    <t>Notes</t>
  </si>
  <si>
    <t>EmployeeCode</t>
  </si>
  <si>
    <t>Location</t>
  </si>
  <si>
    <t>BonusStr</t>
  </si>
  <si>
    <t>EMP1000</t>
  </si>
  <si>
    <t xml:space="preserve">  Sarah Taylor  </t>
  </si>
  <si>
    <t>john at company.com</t>
  </si>
  <si>
    <t>IT</t>
  </si>
  <si>
    <t>$117872</t>
  </si>
  <si>
    <t>Analyst</t>
  </si>
  <si>
    <t>actve</t>
  </si>
  <si>
    <t xml:space="preserve"> urgent review </t>
  </si>
  <si>
    <t>ET-43576</t>
  </si>
  <si>
    <t>Sao PAULO</t>
  </si>
  <si>
    <t>20%</t>
  </si>
  <si>
    <t>EMP1001</t>
  </si>
  <si>
    <t xml:space="preserve">  Chris Davis  </t>
  </si>
  <si>
    <t>chris at company.com</t>
  </si>
  <si>
    <t>$114878</t>
  </si>
  <si>
    <t>On leave</t>
  </si>
  <si>
    <t>PENDING DOCS</t>
  </si>
  <si>
    <t>ET-51938</t>
  </si>
  <si>
    <t>10%</t>
  </si>
  <si>
    <t>EMP1002</t>
  </si>
  <si>
    <t xml:space="preserve">  Sarah Lewis  </t>
  </si>
  <si>
    <t>alex at company.com</t>
  </si>
  <si>
    <t>Legal</t>
  </si>
  <si>
    <t>$112982</t>
  </si>
  <si>
    <t>Coordinator</t>
  </si>
  <si>
    <t>NR-59028</t>
  </si>
  <si>
    <t xml:space="preserve">  LONDON</t>
  </si>
  <si>
    <t>5%</t>
  </si>
  <si>
    <t>EMP1003</t>
  </si>
  <si>
    <t xml:space="preserve">  Sam Wilson  </t>
  </si>
  <si>
    <t>HR</t>
  </si>
  <si>
    <t>$90583</t>
  </si>
  <si>
    <t>Specialist</t>
  </si>
  <si>
    <t>Active</t>
  </si>
  <si>
    <t>WT-69807</t>
  </si>
  <si>
    <t xml:space="preserve">lagos </t>
  </si>
  <si>
    <t>EMP1004</t>
  </si>
  <si>
    <t>emily at company.com</t>
  </si>
  <si>
    <t>Sales</t>
  </si>
  <si>
    <t>$78392</t>
  </si>
  <si>
    <t>WT-59877</t>
  </si>
  <si>
    <t>delhi</t>
  </si>
  <si>
    <t>EMP1005</t>
  </si>
  <si>
    <t xml:space="preserve">  Alex Moore  </t>
  </si>
  <si>
    <t>$47461</t>
  </si>
  <si>
    <t>Director</t>
  </si>
  <si>
    <t>Termnated</t>
  </si>
  <si>
    <t>ET-53461</t>
  </si>
  <si>
    <t xml:space="preserve">  toronto </t>
  </si>
  <si>
    <t>EMP1006</t>
  </si>
  <si>
    <t xml:space="preserve">  Chris Brown  </t>
  </si>
  <si>
    <t>$50516</t>
  </si>
  <si>
    <t>terminated</t>
  </si>
  <si>
    <t xml:space="preserve"> follow up </t>
  </si>
  <si>
    <t>NR-50469</t>
  </si>
  <si>
    <t>EMP1007</t>
  </si>
  <si>
    <t xml:space="preserve">  Daniel Davis  </t>
  </si>
  <si>
    <t>Marketing</t>
  </si>
  <si>
    <t>$119285</t>
  </si>
  <si>
    <t>ST-93136</t>
  </si>
  <si>
    <t>EMP1008</t>
  </si>
  <si>
    <t xml:space="preserve">  Jane Moore  </t>
  </si>
  <si>
    <t>mike at company.com</t>
  </si>
  <si>
    <t>Finance</t>
  </si>
  <si>
    <t>$57514</t>
  </si>
  <si>
    <t>All Clear</t>
  </si>
  <si>
    <t>ST-30435</t>
  </si>
  <si>
    <t xml:space="preserve"> new york </t>
  </si>
  <si>
    <t>EMP1009</t>
  </si>
  <si>
    <t xml:space="preserve">  Daniel Johnson  </t>
  </si>
  <si>
    <t>$76268</t>
  </si>
  <si>
    <t>Manager</t>
  </si>
  <si>
    <t>WT-94117</t>
  </si>
  <si>
    <t>15%</t>
  </si>
  <si>
    <t>EMP1010</t>
  </si>
  <si>
    <t xml:space="preserve">  Emily smith  </t>
  </si>
  <si>
    <t>$76788</t>
  </si>
  <si>
    <t xml:space="preserve">Active </t>
  </si>
  <si>
    <t>ST-24191</t>
  </si>
  <si>
    <t>EMP1011</t>
  </si>
  <si>
    <t xml:space="preserve">  Mike Miller  </t>
  </si>
  <si>
    <t>katie at company.com</t>
  </si>
  <si>
    <t>$115749</t>
  </si>
  <si>
    <t>WT-94726</t>
  </si>
  <si>
    <t>CAIRO</t>
  </si>
  <si>
    <t>EMP1012</t>
  </si>
  <si>
    <t xml:space="preserve">  Katie Smith  </t>
  </si>
  <si>
    <t>daniel at company.com</t>
  </si>
  <si>
    <t>Engineering</t>
  </si>
  <si>
    <t>$101049</t>
  </si>
  <si>
    <t>WT-37386</t>
  </si>
  <si>
    <t>EMP1013</t>
  </si>
  <si>
    <t xml:space="preserve">  Mike Brown  </t>
  </si>
  <si>
    <t>sam at company.com</t>
  </si>
  <si>
    <t>$102493</t>
  </si>
  <si>
    <t>all Clear</t>
  </si>
  <si>
    <t>WT-41721</t>
  </si>
  <si>
    <t>EMP1014</t>
  </si>
  <si>
    <t xml:space="preserve">  Sarah taylor  </t>
  </si>
  <si>
    <t>$76027</t>
  </si>
  <si>
    <t>onleave</t>
  </si>
  <si>
    <t>ST-64786</t>
  </si>
  <si>
    <t>EMP1015</t>
  </si>
  <si>
    <t xml:space="preserve">  Katie Brown  </t>
  </si>
  <si>
    <t>$82849</t>
  </si>
  <si>
    <t>WT-23704</t>
  </si>
  <si>
    <t>EMP1016</t>
  </si>
  <si>
    <t xml:space="preserve">  Emily Brown  </t>
  </si>
  <si>
    <t>$57858</t>
  </si>
  <si>
    <t xml:space="preserve"> On Leave</t>
  </si>
  <si>
    <t>ET-66635</t>
  </si>
  <si>
    <t>EMP1017</t>
  </si>
  <si>
    <t xml:space="preserve">  Sarah Davis  </t>
  </si>
  <si>
    <t>sarah at company.com</t>
  </si>
  <si>
    <t>$119003</t>
  </si>
  <si>
    <t>NR-12123</t>
  </si>
  <si>
    <t>EMP1018</t>
  </si>
  <si>
    <t xml:space="preserve">  Katie Wilson  </t>
  </si>
  <si>
    <t>$92395</t>
  </si>
  <si>
    <t>NR-72993</t>
  </si>
  <si>
    <t>EMP1019</t>
  </si>
  <si>
    <t xml:space="preserve">  Jane Taylor  </t>
  </si>
  <si>
    <t>$79758</t>
  </si>
  <si>
    <t>WT-90122</t>
  </si>
  <si>
    <t>EMP1020</t>
  </si>
  <si>
    <t xml:space="preserve">  Katie Johnson  </t>
  </si>
  <si>
    <t>$94312</t>
  </si>
  <si>
    <t>NR-35416</t>
  </si>
  <si>
    <t>EMP1021</t>
  </si>
  <si>
    <t xml:space="preserve">  Mike Clark  </t>
  </si>
  <si>
    <t>$108670</t>
  </si>
  <si>
    <t>ST-11814</t>
  </si>
  <si>
    <t>EMP1022</t>
  </si>
  <si>
    <t xml:space="preserve">  Mike Davis  </t>
  </si>
  <si>
    <t>$55434</t>
  </si>
  <si>
    <t>ST-88537</t>
  </si>
  <si>
    <t>EMP1023</t>
  </si>
  <si>
    <t>$104047</t>
  </si>
  <si>
    <t>NR-60258</t>
  </si>
  <si>
    <t>EMP1024</t>
  </si>
  <si>
    <t xml:space="preserve">  Sarah Moore  </t>
  </si>
  <si>
    <t>$87775</t>
  </si>
  <si>
    <t>ST-26508</t>
  </si>
  <si>
    <t>EMP1025</t>
  </si>
  <si>
    <t xml:space="preserve">  Sam Smith  </t>
  </si>
  <si>
    <t>$115769</t>
  </si>
  <si>
    <t>NR-95166</t>
  </si>
  <si>
    <t xml:space="preserve">berLin  </t>
  </si>
  <si>
    <t>EMP1026</t>
  </si>
  <si>
    <t xml:space="preserve">  Alex Johnson  </t>
  </si>
  <si>
    <t>$106677</t>
  </si>
  <si>
    <t>NR-88916</t>
  </si>
  <si>
    <t>EMP1027</t>
  </si>
  <si>
    <t xml:space="preserve">  Chris Taylor  </t>
  </si>
  <si>
    <t>$85734</t>
  </si>
  <si>
    <t>NR-45699</t>
  </si>
  <si>
    <t>EMP1028</t>
  </si>
  <si>
    <t xml:space="preserve">  Jane Miller  </t>
  </si>
  <si>
    <t>$80603</t>
  </si>
  <si>
    <t>WT-56335</t>
  </si>
  <si>
    <t>EMP1029</t>
  </si>
  <si>
    <t xml:space="preserve">  Daniel Lewis  </t>
  </si>
  <si>
    <t>$116708</t>
  </si>
  <si>
    <t>NR-56806</t>
  </si>
  <si>
    <t>EMP1030</t>
  </si>
  <si>
    <t xml:space="preserve">  Alex Miller  </t>
  </si>
  <si>
    <t>$108803</t>
  </si>
  <si>
    <t>WT-87853</t>
  </si>
  <si>
    <t>EMP1031</t>
  </si>
  <si>
    <t xml:space="preserve">  Jane Lewis  </t>
  </si>
  <si>
    <t>$79332</t>
  </si>
  <si>
    <t>NR-73768</t>
  </si>
  <si>
    <t>EMP1032</t>
  </si>
  <si>
    <t>$61312</t>
  </si>
  <si>
    <t>NR-45739</t>
  </si>
  <si>
    <t>EMP1033</t>
  </si>
  <si>
    <t>$84179</t>
  </si>
  <si>
    <t>NR-44785</t>
  </si>
  <si>
    <t>EMP1034</t>
  </si>
  <si>
    <t xml:space="preserve">  Sarah Clark  </t>
  </si>
  <si>
    <t>$111442</t>
  </si>
  <si>
    <t>ST-41980</t>
  </si>
  <si>
    <t>EMP1035</t>
  </si>
  <si>
    <t>$80379</t>
  </si>
  <si>
    <t>WT-99335</t>
  </si>
  <si>
    <t>EMP1036</t>
  </si>
  <si>
    <t xml:space="preserve">  Jane Davis  </t>
  </si>
  <si>
    <t>$57297</t>
  </si>
  <si>
    <t>WT-95016</t>
  </si>
  <si>
    <t>EMP1037</t>
  </si>
  <si>
    <t xml:space="preserve">  Chris Lewis  </t>
  </si>
  <si>
    <t>$42011</t>
  </si>
  <si>
    <t>NR-11609</t>
  </si>
  <si>
    <t>EMP1038</t>
  </si>
  <si>
    <t xml:space="preserve">  Katie Clark  </t>
  </si>
  <si>
    <t>$84014</t>
  </si>
  <si>
    <t>NR-76253</t>
  </si>
  <si>
    <t>EMP1039</t>
  </si>
  <si>
    <t xml:space="preserve">  John Clark  </t>
  </si>
  <si>
    <t>$51738</t>
  </si>
  <si>
    <t>ST-95481</t>
  </si>
  <si>
    <t>EMP1040</t>
  </si>
  <si>
    <t>$87498</t>
  </si>
  <si>
    <t>ST-38141</t>
  </si>
  <si>
    <t>EMP1041</t>
  </si>
  <si>
    <t xml:space="preserve">  Chris Smith  </t>
  </si>
  <si>
    <t>$51120</t>
  </si>
  <si>
    <t>ST-40009</t>
  </si>
  <si>
    <t>EMP1042</t>
  </si>
  <si>
    <t xml:space="preserve">  Chris Moore  </t>
  </si>
  <si>
    <t>$48767</t>
  </si>
  <si>
    <t>WT-16782</t>
  </si>
  <si>
    <t>EMP1043</t>
  </si>
  <si>
    <t>$62852</t>
  </si>
  <si>
    <t>WT-35933</t>
  </si>
  <si>
    <t>EMP1044</t>
  </si>
  <si>
    <t>$119239</t>
  </si>
  <si>
    <t>WT-87154</t>
  </si>
  <si>
    <t>EMP1045</t>
  </si>
  <si>
    <t>$40929</t>
  </si>
  <si>
    <t>NR-18307</t>
  </si>
  <si>
    <t>EMP1046</t>
  </si>
  <si>
    <t xml:space="preserve">  Emily Lewis  </t>
  </si>
  <si>
    <t>jane at company.com</t>
  </si>
  <si>
    <t>$117487</t>
  </si>
  <si>
    <t>WT-85874</t>
  </si>
  <si>
    <t>EMP1047</t>
  </si>
  <si>
    <t>$57438</t>
  </si>
  <si>
    <t>ET-48346</t>
  </si>
  <si>
    <t>EMP1048</t>
  </si>
  <si>
    <t>$88515</t>
  </si>
  <si>
    <t>ET-60772</t>
  </si>
  <si>
    <t>EMP1049</t>
  </si>
  <si>
    <t xml:space="preserve">  Katie Moore  </t>
  </si>
  <si>
    <t>$45744</t>
  </si>
  <si>
    <t>ST-82084</t>
  </si>
  <si>
    <t>EMP1050</t>
  </si>
  <si>
    <t xml:space="preserve">  Jane Smith  </t>
  </si>
  <si>
    <t>$82417</t>
  </si>
  <si>
    <t>WT-50149</t>
  </si>
  <si>
    <t>EMP1051</t>
  </si>
  <si>
    <t xml:space="preserve">  Sarah Wilson  </t>
  </si>
  <si>
    <t>$47069</t>
  </si>
  <si>
    <t>ET-96700</t>
  </si>
  <si>
    <t>EMP1052</t>
  </si>
  <si>
    <t>$82359</t>
  </si>
  <si>
    <t>ST-37526</t>
  </si>
  <si>
    <t>EMP1053</t>
  </si>
  <si>
    <t xml:space="preserve">  Sam Moore  </t>
  </si>
  <si>
    <t>$59799</t>
  </si>
  <si>
    <t>WT-95712</t>
  </si>
  <si>
    <t>EMP1054</t>
  </si>
  <si>
    <t xml:space="preserve">  Daniel Brown  </t>
  </si>
  <si>
    <t>$110188</t>
  </si>
  <si>
    <t>NR-78477</t>
  </si>
  <si>
    <t>EMP1055</t>
  </si>
  <si>
    <t xml:space="preserve">  John Brown  </t>
  </si>
  <si>
    <t>$47597</t>
  </si>
  <si>
    <t>ET-15695</t>
  </si>
  <si>
    <t>EMP1056</t>
  </si>
  <si>
    <t>$87093</t>
  </si>
  <si>
    <t>NR-49169</t>
  </si>
  <si>
    <t>EMP1057</t>
  </si>
  <si>
    <t xml:space="preserve">  John Davis  </t>
  </si>
  <si>
    <t>$77226</t>
  </si>
  <si>
    <t>WT-57947</t>
  </si>
  <si>
    <t>EMP1058</t>
  </si>
  <si>
    <t xml:space="preserve">  Mike Wilson  </t>
  </si>
  <si>
    <t>$112127</t>
  </si>
  <si>
    <t>ET-57224</t>
  </si>
  <si>
    <t>EMP1059</t>
  </si>
  <si>
    <t>$117362</t>
  </si>
  <si>
    <t>WT-55865</t>
  </si>
  <si>
    <t>EMP1060</t>
  </si>
  <si>
    <t xml:space="preserve">  Mike Lewis  </t>
  </si>
  <si>
    <t>$66417</t>
  </si>
  <si>
    <t>NR-35553</t>
  </si>
  <si>
    <t>EMP1061</t>
  </si>
  <si>
    <t>$58693</t>
  </si>
  <si>
    <t>ET-70410</t>
  </si>
  <si>
    <t>EMP1062</t>
  </si>
  <si>
    <t xml:space="preserve">  John Taylor  </t>
  </si>
  <si>
    <t>$119674</t>
  </si>
  <si>
    <t>NR-34816</t>
  </si>
  <si>
    <t>EMP1063</t>
  </si>
  <si>
    <t xml:space="preserve">  Alex Davis  </t>
  </si>
  <si>
    <t>$93161</t>
  </si>
  <si>
    <t>WT-65026</t>
  </si>
  <si>
    <t>EMP1064</t>
  </si>
  <si>
    <t>$42169</t>
  </si>
  <si>
    <t>WT-60705</t>
  </si>
  <si>
    <t>EMP1065</t>
  </si>
  <si>
    <t xml:space="preserve">  Alex Wilson  </t>
  </si>
  <si>
    <t>$62052</t>
  </si>
  <si>
    <t>NR-71922</t>
  </si>
  <si>
    <t>EMP1066</t>
  </si>
  <si>
    <t xml:space="preserve">  Sam Miller  </t>
  </si>
  <si>
    <t>$111849</t>
  </si>
  <si>
    <t>ET-83914</t>
  </si>
  <si>
    <t>EMP1067</t>
  </si>
  <si>
    <t>$113851</t>
  </si>
  <si>
    <t>NR-11881</t>
  </si>
  <si>
    <t>EMP1068</t>
  </si>
  <si>
    <t xml:space="preserve">  Katie Davis  </t>
  </si>
  <si>
    <t>$48036</t>
  </si>
  <si>
    <t>WT-49567</t>
  </si>
  <si>
    <t>EMP1069</t>
  </si>
  <si>
    <t xml:space="preserve">  Daniel Taylor  </t>
  </si>
  <si>
    <t>$71778</t>
  </si>
  <si>
    <t>NR-57365</t>
  </si>
  <si>
    <t>EMP1070</t>
  </si>
  <si>
    <t>$67734</t>
  </si>
  <si>
    <t>WT-89211</t>
  </si>
  <si>
    <t>EMP1071</t>
  </si>
  <si>
    <t>$63173</t>
  </si>
  <si>
    <t>NR-80122</t>
  </si>
  <si>
    <t>EMP1072</t>
  </si>
  <si>
    <t xml:space="preserve">  John Smith  </t>
  </si>
  <si>
    <t>$70403</t>
  </si>
  <si>
    <t>ET-35006</t>
  </si>
  <si>
    <t>EMP1073</t>
  </si>
  <si>
    <t>$106321</t>
  </si>
  <si>
    <t>ET-51198</t>
  </si>
  <si>
    <t>EMP1074</t>
  </si>
  <si>
    <t xml:space="preserve">  Alex Clark  </t>
  </si>
  <si>
    <t>$111675</t>
  </si>
  <si>
    <t>NR-32831</t>
  </si>
  <si>
    <t>EMP1075</t>
  </si>
  <si>
    <t>$46344</t>
  </si>
  <si>
    <t>NR-26459</t>
  </si>
  <si>
    <t>EMP1076</t>
  </si>
  <si>
    <t xml:space="preserve">  Daniel Moore  </t>
  </si>
  <si>
    <t>$58800</t>
  </si>
  <si>
    <t>ET-42443</t>
  </si>
  <si>
    <t>EMP1077</t>
  </si>
  <si>
    <t>$65372</t>
  </si>
  <si>
    <t>WT-52316</t>
  </si>
  <si>
    <t>EMP1078</t>
  </si>
  <si>
    <t>$101516</t>
  </si>
  <si>
    <t>ET-74486</t>
  </si>
  <si>
    <t>EMP1079</t>
  </si>
  <si>
    <t xml:space="preserve">  Mike Moore  </t>
  </si>
  <si>
    <t>$60538</t>
  </si>
  <si>
    <t>WT-15877</t>
  </si>
  <si>
    <t>EMP1080</t>
  </si>
  <si>
    <t>$103918</t>
  </si>
  <si>
    <t>NR-49553</t>
  </si>
  <si>
    <t>EMP1081</t>
  </si>
  <si>
    <t xml:space="preserve">  Katie Taylor  </t>
  </si>
  <si>
    <t>$54973</t>
  </si>
  <si>
    <t>NR-14922</t>
  </si>
  <si>
    <t>EMP1082</t>
  </si>
  <si>
    <t>$111155</t>
  </si>
  <si>
    <t>WT-14686</t>
  </si>
  <si>
    <t>EMP1083</t>
  </si>
  <si>
    <t xml:space="preserve">  Mike Taylor  </t>
  </si>
  <si>
    <t>$99500</t>
  </si>
  <si>
    <t>NR-42766</t>
  </si>
  <si>
    <t>EMP1084</t>
  </si>
  <si>
    <t xml:space="preserve">  Sarah Johnson  </t>
  </si>
  <si>
    <t>$76575</t>
  </si>
  <si>
    <t>WT-89943</t>
  </si>
  <si>
    <t>EMP1085</t>
  </si>
  <si>
    <t>$82261</t>
  </si>
  <si>
    <t>ST-42006</t>
  </si>
  <si>
    <t>EMP1086</t>
  </si>
  <si>
    <t xml:space="preserve">  Emily Smith  </t>
  </si>
  <si>
    <t>$67716</t>
  </si>
  <si>
    <t>ET-41422</t>
  </si>
  <si>
    <t>EMP1087</t>
  </si>
  <si>
    <t>$43236</t>
  </si>
  <si>
    <t>ST-22205</t>
  </si>
  <si>
    <t>EMP1088</t>
  </si>
  <si>
    <t xml:space="preserve">  John Johnson  </t>
  </si>
  <si>
    <t>$55848</t>
  </si>
  <si>
    <t>WT-96590</t>
  </si>
  <si>
    <t>EMP1089</t>
  </si>
  <si>
    <t>$42352</t>
  </si>
  <si>
    <t>ET-33527</t>
  </si>
  <si>
    <t>EMP1090</t>
  </si>
  <si>
    <t>$41932</t>
  </si>
  <si>
    <t>WT-28443</t>
  </si>
  <si>
    <t>EMP1091</t>
  </si>
  <si>
    <t>$116449</t>
  </si>
  <si>
    <t>ET-26524</t>
  </si>
  <si>
    <t>EMP1092</t>
  </si>
  <si>
    <t xml:space="preserve">  Sam Johnson  </t>
  </si>
  <si>
    <t>$48556</t>
  </si>
  <si>
    <t>ET-38202</t>
  </si>
  <si>
    <t>EMP1093</t>
  </si>
  <si>
    <t>$45498</t>
  </si>
  <si>
    <t>ET-75552</t>
  </si>
  <si>
    <t>EMP1094</t>
  </si>
  <si>
    <t xml:space="preserve">  Daniel Wilson  </t>
  </si>
  <si>
    <t>$116118</t>
  </si>
  <si>
    <t>ET-56142</t>
  </si>
  <si>
    <t>EMP1095</t>
  </si>
  <si>
    <t>$90098</t>
  </si>
  <si>
    <t>WT-71692</t>
  </si>
  <si>
    <t>EMP1096</t>
  </si>
  <si>
    <t>$104386</t>
  </si>
  <si>
    <t>ET-92384</t>
  </si>
  <si>
    <t>EMP1097</t>
  </si>
  <si>
    <t>$49569</t>
  </si>
  <si>
    <t>ET-30855</t>
  </si>
  <si>
    <t>EMP1098</t>
  </si>
  <si>
    <t xml:space="preserve">  Emily Taylor  </t>
  </si>
  <si>
    <t>$96882</t>
  </si>
  <si>
    <t>ST-93747</t>
  </si>
  <si>
    <t>EMP1099</t>
  </si>
  <si>
    <t>$110393</t>
  </si>
  <si>
    <t>NR-70372</t>
  </si>
  <si>
    <t>EMP1100</t>
  </si>
  <si>
    <t xml:space="preserve">  Daniel Smith  </t>
  </si>
  <si>
    <t>$40340</t>
  </si>
  <si>
    <t>NR-35095</t>
  </si>
  <si>
    <t>EMP1101</t>
  </si>
  <si>
    <t xml:space="preserve">  Katie Miller  </t>
  </si>
  <si>
    <t>$83949</t>
  </si>
  <si>
    <t>ST-48724</t>
  </si>
  <si>
    <t>EMP1102</t>
  </si>
  <si>
    <t xml:space="preserve">  Sam Taylor  </t>
  </si>
  <si>
    <t>$102443</t>
  </si>
  <si>
    <t>ST-59241</t>
  </si>
  <si>
    <t>EMP1103</t>
  </si>
  <si>
    <t xml:space="preserve">  Alex Brown  </t>
  </si>
  <si>
    <t>$114027</t>
  </si>
  <si>
    <t>WT-62003</t>
  </si>
  <si>
    <t>EMP1104</t>
  </si>
  <si>
    <t>$40138</t>
  </si>
  <si>
    <t>WT-78379</t>
  </si>
  <si>
    <t>EMP1105</t>
  </si>
  <si>
    <t>$40358</t>
  </si>
  <si>
    <t>WT-25972</t>
  </si>
  <si>
    <t>EMP1106</t>
  </si>
  <si>
    <t>$115250</t>
  </si>
  <si>
    <t>ST-32927</t>
  </si>
  <si>
    <t>EMP1107</t>
  </si>
  <si>
    <t>$70654</t>
  </si>
  <si>
    <t>ST-76630</t>
  </si>
  <si>
    <t>EMP1108</t>
  </si>
  <si>
    <t xml:space="preserve">  Chris Wilson  </t>
  </si>
  <si>
    <t>$65879</t>
  </si>
  <si>
    <t>ET-62347</t>
  </si>
  <si>
    <t>EMP1109</t>
  </si>
  <si>
    <t>$95778</t>
  </si>
  <si>
    <t>WT-98860</t>
  </si>
  <si>
    <t>EMP1110</t>
  </si>
  <si>
    <t>$77772</t>
  </si>
  <si>
    <t>WT-96210</t>
  </si>
  <si>
    <t>EMP1111</t>
  </si>
  <si>
    <t>$98478</t>
  </si>
  <si>
    <t>WT-79518</t>
  </si>
  <si>
    <t>EMP1112</t>
  </si>
  <si>
    <t>$104353</t>
  </si>
  <si>
    <t>NR-55283</t>
  </si>
  <si>
    <t>EMP1113</t>
  </si>
  <si>
    <t>$66762</t>
  </si>
  <si>
    <t>ET-91326</t>
  </si>
  <si>
    <t>EMP1114</t>
  </si>
  <si>
    <t>$53283</t>
  </si>
  <si>
    <t>WT-22205</t>
  </si>
  <si>
    <t>EMP1115</t>
  </si>
  <si>
    <t xml:space="preserve">  Alex Smith  </t>
  </si>
  <si>
    <t>$103922</t>
  </si>
  <si>
    <t>WT-99874</t>
  </si>
  <si>
    <t>EMP1116</t>
  </si>
  <si>
    <t>$79420</t>
  </si>
  <si>
    <t>WT-22748</t>
  </si>
  <si>
    <t>EMP1117</t>
  </si>
  <si>
    <t xml:space="preserve">  Emily Davis  </t>
  </si>
  <si>
    <t>$95568</t>
  </si>
  <si>
    <t>NR-31097</t>
  </si>
  <si>
    <t>EMP1118</t>
  </si>
  <si>
    <t>$60219</t>
  </si>
  <si>
    <t>NR-13092</t>
  </si>
  <si>
    <t>EMP1119</t>
  </si>
  <si>
    <t>$97169</t>
  </si>
  <si>
    <t>ST-63311</t>
  </si>
  <si>
    <t>EMP1120</t>
  </si>
  <si>
    <t xml:space="preserve">  Sam Brown  </t>
  </si>
  <si>
    <t>$114965</t>
  </si>
  <si>
    <t>ET-32692</t>
  </si>
  <si>
    <t>EMP1121</t>
  </si>
  <si>
    <t>$86840</t>
  </si>
  <si>
    <t>ST-33862</t>
  </si>
  <si>
    <t>EMP1122</t>
  </si>
  <si>
    <t>$84695</t>
  </si>
  <si>
    <t>ET-89507</t>
  </si>
  <si>
    <t>EMP1123</t>
  </si>
  <si>
    <t xml:space="preserve">  John Moore  </t>
  </si>
  <si>
    <t>$117988</t>
  </si>
  <si>
    <t>NR-90152</t>
  </si>
  <si>
    <t>EMP1124</t>
  </si>
  <si>
    <t>$98342</t>
  </si>
  <si>
    <t>WT-80469</t>
  </si>
  <si>
    <t>EMP1125</t>
  </si>
  <si>
    <t>$58951</t>
  </si>
  <si>
    <t>ST-14926</t>
  </si>
  <si>
    <t>EMP1126</t>
  </si>
  <si>
    <t>$41307</t>
  </si>
  <si>
    <t>WT-13969</t>
  </si>
  <si>
    <t>EMP1127</t>
  </si>
  <si>
    <t>$75428</t>
  </si>
  <si>
    <t>ST-45733</t>
  </si>
  <si>
    <t>EMP1128</t>
  </si>
  <si>
    <t>$115774</t>
  </si>
  <si>
    <t>NR-79855</t>
  </si>
  <si>
    <t>EMP1129</t>
  </si>
  <si>
    <t>$78975</t>
  </si>
  <si>
    <t>NR-51743</t>
  </si>
  <si>
    <t>EMP1130</t>
  </si>
  <si>
    <t xml:space="preserve">  Jane Johnson  </t>
  </si>
  <si>
    <t>$41140</t>
  </si>
  <si>
    <t>NR-49876</t>
  </si>
  <si>
    <t>EMP1131</t>
  </si>
  <si>
    <t>$64842</t>
  </si>
  <si>
    <t>ST-30323</t>
  </si>
  <si>
    <t>EMP1132</t>
  </si>
  <si>
    <t>$66421</t>
  </si>
  <si>
    <t>ET-26428</t>
  </si>
  <si>
    <t>EMP1133</t>
  </si>
  <si>
    <t>$41708</t>
  </si>
  <si>
    <t>ST-44578</t>
  </si>
  <si>
    <t>EMP1134</t>
  </si>
  <si>
    <t>$43630</t>
  </si>
  <si>
    <t>ET-96486</t>
  </si>
  <si>
    <t>EMP1135</t>
  </si>
  <si>
    <t>$59595</t>
  </si>
  <si>
    <t>ST-74140</t>
  </si>
  <si>
    <t>EMP1136</t>
  </si>
  <si>
    <t>$116021</t>
  </si>
  <si>
    <t>ST-93829</t>
  </si>
  <si>
    <t>EMP1137</t>
  </si>
  <si>
    <t>$68308</t>
  </si>
  <si>
    <t>NR-16364</t>
  </si>
  <si>
    <t>EMP1138</t>
  </si>
  <si>
    <t>$84789</t>
  </si>
  <si>
    <t>WT-45349</t>
  </si>
  <si>
    <t>EMP1139</t>
  </si>
  <si>
    <t>$95690</t>
  </si>
  <si>
    <t>WT-10691</t>
  </si>
  <si>
    <t>EMP1140</t>
  </si>
  <si>
    <t xml:space="preserve">  Daniel Miller  </t>
  </si>
  <si>
    <t>$66086</t>
  </si>
  <si>
    <t>ET-76467</t>
  </si>
  <si>
    <t>EMP1141</t>
  </si>
  <si>
    <t>$56859</t>
  </si>
  <si>
    <t>WT-55896</t>
  </si>
  <si>
    <t>EMP1142</t>
  </si>
  <si>
    <t>$47684</t>
  </si>
  <si>
    <t>ST-67062</t>
  </si>
  <si>
    <t>EMP1143</t>
  </si>
  <si>
    <t>$41207</t>
  </si>
  <si>
    <t>ST-89762</t>
  </si>
  <si>
    <t>EMP1144</t>
  </si>
  <si>
    <t>$86099</t>
  </si>
  <si>
    <t>NR-23861</t>
  </si>
  <si>
    <t>EMP1145</t>
  </si>
  <si>
    <t>$107496</t>
  </si>
  <si>
    <t>NR-98302</t>
  </si>
  <si>
    <t>EMP1146</t>
  </si>
  <si>
    <t>$106093</t>
  </si>
  <si>
    <t>WT-73928</t>
  </si>
  <si>
    <t>EMP1147</t>
  </si>
  <si>
    <t>$69689</t>
  </si>
  <si>
    <t>ET-93231</t>
  </si>
  <si>
    <t>EMP1148</t>
  </si>
  <si>
    <t xml:space="preserve">  Emily Miller  </t>
  </si>
  <si>
    <t>$88651</t>
  </si>
  <si>
    <t>WT-51347</t>
  </si>
  <si>
    <t>EMP1149</t>
  </si>
  <si>
    <t xml:space="preserve">  Sam Clark  </t>
  </si>
  <si>
    <t>$53893</t>
  </si>
  <si>
    <t>WT-13121</t>
  </si>
  <si>
    <t>EMP1150</t>
  </si>
  <si>
    <t xml:space="preserve">  Emily Moore  </t>
  </si>
  <si>
    <t>$106418</t>
  </si>
  <si>
    <t>WT-93793</t>
  </si>
  <si>
    <t>EMP1151</t>
  </si>
  <si>
    <t>$100011</t>
  </si>
  <si>
    <t>WT-38164</t>
  </si>
  <si>
    <t>EMP1152</t>
  </si>
  <si>
    <t>$78635</t>
  </si>
  <si>
    <t>ST-35491</t>
  </si>
  <si>
    <t>EMP1153</t>
  </si>
  <si>
    <t>$96115</t>
  </si>
  <si>
    <t>ET-69222</t>
  </si>
  <si>
    <t>EMP1154</t>
  </si>
  <si>
    <t xml:space="preserve">  Sarah Smith  </t>
  </si>
  <si>
    <t>$118405</t>
  </si>
  <si>
    <t>ST-33165</t>
  </si>
  <si>
    <t>EMP1155</t>
  </si>
  <si>
    <t>$112702</t>
  </si>
  <si>
    <t>ET-13748</t>
  </si>
  <si>
    <t>EMP1156</t>
  </si>
  <si>
    <t xml:space="preserve">  Katie Lewis  </t>
  </si>
  <si>
    <t>$118518</t>
  </si>
  <si>
    <t>NR-36553</t>
  </si>
  <si>
    <t>EMP1157</t>
  </si>
  <si>
    <t>$112805</t>
  </si>
  <si>
    <t>WT-70380</t>
  </si>
  <si>
    <t>EMP1158</t>
  </si>
  <si>
    <t>$98954</t>
  </si>
  <si>
    <t>ST-54331</t>
  </si>
  <si>
    <t>EMP1159</t>
  </si>
  <si>
    <t xml:space="preserve">  Chris Johnson  </t>
  </si>
  <si>
    <t>$68064</t>
  </si>
  <si>
    <t>ET-49560</t>
  </si>
  <si>
    <t>EMP1160</t>
  </si>
  <si>
    <t>$119063</t>
  </si>
  <si>
    <t>NR-63865</t>
  </si>
  <si>
    <t>EMP1161</t>
  </si>
  <si>
    <t>$42454</t>
  </si>
  <si>
    <t>NR-56686</t>
  </si>
  <si>
    <t>EMP1162</t>
  </si>
  <si>
    <t>$60878</t>
  </si>
  <si>
    <t>WT-85910</t>
  </si>
  <si>
    <t>EMP1163</t>
  </si>
  <si>
    <t>$91098</t>
  </si>
  <si>
    <t>ET-14675</t>
  </si>
  <si>
    <t>EMP1164</t>
  </si>
  <si>
    <t>$102154</t>
  </si>
  <si>
    <t>ST-76706</t>
  </si>
  <si>
    <t>EMP1165</t>
  </si>
  <si>
    <t>$52991</t>
  </si>
  <si>
    <t>WT-87986</t>
  </si>
  <si>
    <t>EMP1166</t>
  </si>
  <si>
    <t>$108344</t>
  </si>
  <si>
    <t>ST-86216</t>
  </si>
  <si>
    <t>EMP1167</t>
  </si>
  <si>
    <t>$76593</t>
  </si>
  <si>
    <t>NR-20068</t>
  </si>
  <si>
    <t>EMP1168</t>
  </si>
  <si>
    <t xml:space="preserve">  Jane Clark  </t>
  </si>
  <si>
    <t>$76304</t>
  </si>
  <si>
    <t>ST-64460</t>
  </si>
  <si>
    <t>EMP1169</t>
  </si>
  <si>
    <t>$70386</t>
  </si>
  <si>
    <t>ST-56418</t>
  </si>
  <si>
    <t>EMP1170</t>
  </si>
  <si>
    <t>$95220</t>
  </si>
  <si>
    <t>WT-36206</t>
  </si>
  <si>
    <t>EMP1171</t>
  </si>
  <si>
    <t xml:space="preserve">  Alex Taylor  </t>
  </si>
  <si>
    <t>$109338</t>
  </si>
  <si>
    <t>ST-10287</t>
  </si>
  <si>
    <t>EMP1172</t>
  </si>
  <si>
    <t>$61083</t>
  </si>
  <si>
    <t>WT-32337</t>
  </si>
  <si>
    <t>EMP1173</t>
  </si>
  <si>
    <t>$58354</t>
  </si>
  <si>
    <t>NR-30666</t>
  </si>
  <si>
    <t>EMP1174</t>
  </si>
  <si>
    <t>$62190</t>
  </si>
  <si>
    <t>WT-11161</t>
  </si>
  <si>
    <t>EMP1175</t>
  </si>
  <si>
    <t xml:space="preserve">  Sarah Miller  </t>
  </si>
  <si>
    <t>$46142</t>
  </si>
  <si>
    <t>WT-48751</t>
  </si>
  <si>
    <t>EMP1176</t>
  </si>
  <si>
    <t>$68398</t>
  </si>
  <si>
    <t>ET-92063</t>
  </si>
  <si>
    <t>EMP1177</t>
  </si>
  <si>
    <t>$91971</t>
  </si>
  <si>
    <t>ST-99389</t>
  </si>
  <si>
    <t>EMP1178</t>
  </si>
  <si>
    <t>$81862</t>
  </si>
  <si>
    <t>NR-24758</t>
  </si>
  <si>
    <t>EMP1179</t>
  </si>
  <si>
    <t>$93410</t>
  </si>
  <si>
    <t>WT-75780</t>
  </si>
  <si>
    <t>EMP1180</t>
  </si>
  <si>
    <t xml:space="preserve">  Alex Lewis  </t>
  </si>
  <si>
    <t>$59503</t>
  </si>
  <si>
    <t>NR-13178</t>
  </si>
  <si>
    <t>EMP1181</t>
  </si>
  <si>
    <t>$88456</t>
  </si>
  <si>
    <t>ET-41831</t>
  </si>
  <si>
    <t>EMP1182</t>
  </si>
  <si>
    <t>$48016</t>
  </si>
  <si>
    <t>ST-12176</t>
  </si>
  <si>
    <t>EMP1183</t>
  </si>
  <si>
    <t>$42384</t>
  </si>
  <si>
    <t>WT-43654</t>
  </si>
  <si>
    <t>EMP1184</t>
  </si>
  <si>
    <t xml:space="preserve">  Emily Wilson  </t>
  </si>
  <si>
    <t>$102320</t>
  </si>
  <si>
    <t>ST-36627</t>
  </si>
  <si>
    <t>EMP1185</t>
  </si>
  <si>
    <t>$55072</t>
  </si>
  <si>
    <t>ET-62550</t>
  </si>
  <si>
    <t>EMP1186</t>
  </si>
  <si>
    <t>$80510</t>
  </si>
  <si>
    <t>ET-54910</t>
  </si>
  <si>
    <t>EMP1187</t>
  </si>
  <si>
    <t>$88933</t>
  </si>
  <si>
    <t>NR-68251</t>
  </si>
  <si>
    <t>EMP1188</t>
  </si>
  <si>
    <t>$61826</t>
  </si>
  <si>
    <t>WT-45422</t>
  </si>
  <si>
    <t>EMP1189</t>
  </si>
  <si>
    <t>$108026</t>
  </si>
  <si>
    <t>NR-21984</t>
  </si>
  <si>
    <t>EMP1190</t>
  </si>
  <si>
    <t>$65518</t>
  </si>
  <si>
    <t>ET-99312</t>
  </si>
  <si>
    <t>EMP1191</t>
  </si>
  <si>
    <t xml:space="preserve">  Sam Lewis  </t>
  </si>
  <si>
    <t>$64045</t>
  </si>
  <si>
    <t>ST-71386</t>
  </si>
  <si>
    <t>EMP1192</t>
  </si>
  <si>
    <t>$90876</t>
  </si>
  <si>
    <t>NR-93291</t>
  </si>
  <si>
    <t>EMP1193</t>
  </si>
  <si>
    <t>$91919</t>
  </si>
  <si>
    <t>NR-17135</t>
  </si>
  <si>
    <t>EMP1194</t>
  </si>
  <si>
    <t>$67103</t>
  </si>
  <si>
    <t>ST-10320</t>
  </si>
  <si>
    <t>EMP1195</t>
  </si>
  <si>
    <t>$76188</t>
  </si>
  <si>
    <t>NR-31684</t>
  </si>
  <si>
    <t>EMP1196</t>
  </si>
  <si>
    <t xml:space="preserve">  John Lewis  </t>
  </si>
  <si>
    <t>$45845</t>
  </si>
  <si>
    <t>ST-65913</t>
  </si>
  <si>
    <t>EMP1197</t>
  </si>
  <si>
    <t xml:space="preserve">  Mike Smith  </t>
  </si>
  <si>
    <t>$76674</t>
  </si>
  <si>
    <t>WT-98774</t>
  </si>
  <si>
    <t>EMP1198</t>
  </si>
  <si>
    <t>$59337</t>
  </si>
  <si>
    <t>ST-31889</t>
  </si>
  <si>
    <t>EMP1199</t>
  </si>
  <si>
    <t>$62313</t>
  </si>
  <si>
    <t>WT-58899</t>
  </si>
  <si>
    <t>EMP1200</t>
  </si>
  <si>
    <t>$66943</t>
  </si>
  <si>
    <t>ST-20770</t>
  </si>
  <si>
    <t>EMP1201</t>
  </si>
  <si>
    <t>$117949</t>
  </si>
  <si>
    <t>ET-49321</t>
  </si>
  <si>
    <t>EMP1202</t>
  </si>
  <si>
    <t>$40276</t>
  </si>
  <si>
    <t>ET-95962</t>
  </si>
  <si>
    <t>EMP1203</t>
  </si>
  <si>
    <t>$91151</t>
  </si>
  <si>
    <t>WT-51777</t>
  </si>
  <si>
    <t>EMP1204</t>
  </si>
  <si>
    <t xml:space="preserve">  Sam Davis  </t>
  </si>
  <si>
    <t>$57611</t>
  </si>
  <si>
    <t>WT-56250</t>
  </si>
  <si>
    <t>EMP1205</t>
  </si>
  <si>
    <t xml:space="preserve">  Daniel Clark  </t>
  </si>
  <si>
    <t>$51944</t>
  </si>
  <si>
    <t>ET-83034</t>
  </si>
  <si>
    <t>EMP1206</t>
  </si>
  <si>
    <t>$92887</t>
  </si>
  <si>
    <t>WT-50130</t>
  </si>
  <si>
    <t>EMP1207</t>
  </si>
  <si>
    <t>$89847</t>
  </si>
  <si>
    <t>ST-91931</t>
  </si>
  <si>
    <t>EMP1208</t>
  </si>
  <si>
    <t>$98653</t>
  </si>
  <si>
    <t>ST-59346</t>
  </si>
  <si>
    <t>EMP1209</t>
  </si>
  <si>
    <t>$96622</t>
  </si>
  <si>
    <t>ET-12537</t>
  </si>
  <si>
    <t>EMP1210</t>
  </si>
  <si>
    <t>$67810</t>
  </si>
  <si>
    <t>NR-94762</t>
  </si>
  <si>
    <t>EMP1211</t>
  </si>
  <si>
    <t>$117842</t>
  </si>
  <si>
    <t>ST-25216</t>
  </si>
  <si>
    <t>EMP1212</t>
  </si>
  <si>
    <t>$50503</t>
  </si>
  <si>
    <t>WT-94149</t>
  </si>
  <si>
    <t>EMP1213</t>
  </si>
  <si>
    <t>$76976</t>
  </si>
  <si>
    <t>NR-13009</t>
  </si>
  <si>
    <t>EMP1214</t>
  </si>
  <si>
    <t>$51590</t>
  </si>
  <si>
    <t>NR-99904</t>
  </si>
  <si>
    <t>EMP1215</t>
  </si>
  <si>
    <t>$50886</t>
  </si>
  <si>
    <t>ST-39327</t>
  </si>
  <si>
    <t>EMP1216</t>
  </si>
  <si>
    <t>$52866</t>
  </si>
  <si>
    <t>ST-24209</t>
  </si>
  <si>
    <t>EMP1217</t>
  </si>
  <si>
    <t>$106624</t>
  </si>
  <si>
    <t>NR-58443</t>
  </si>
  <si>
    <t>EMP1218</t>
  </si>
  <si>
    <t>$108899</t>
  </si>
  <si>
    <t>NR-25029</t>
  </si>
  <si>
    <t>EMP1219</t>
  </si>
  <si>
    <t>$72792</t>
  </si>
  <si>
    <t>ET-77613</t>
  </si>
  <si>
    <t>EMP1220</t>
  </si>
  <si>
    <t>$49764</t>
  </si>
  <si>
    <t>WT-89443</t>
  </si>
  <si>
    <t>EMP1221</t>
  </si>
  <si>
    <t>$82727</t>
  </si>
  <si>
    <t>ET-66997</t>
  </si>
  <si>
    <t>EMP1222</t>
  </si>
  <si>
    <t>$118471</t>
  </si>
  <si>
    <t>ST-72559</t>
  </si>
  <si>
    <t>EMP1223</t>
  </si>
  <si>
    <t>$48068</t>
  </si>
  <si>
    <t>ET-74892</t>
  </si>
  <si>
    <t>EMP1224</t>
  </si>
  <si>
    <t>$47295</t>
  </si>
  <si>
    <t>ET-80409</t>
  </si>
  <si>
    <t>EMP1225</t>
  </si>
  <si>
    <t>$81160</t>
  </si>
  <si>
    <t>ET-18635</t>
  </si>
  <si>
    <t>EMP1226</t>
  </si>
  <si>
    <t>$51390</t>
  </si>
  <si>
    <t>ET-43065</t>
  </si>
  <si>
    <t>EMP1227</t>
  </si>
  <si>
    <t>$60131</t>
  </si>
  <si>
    <t>WT-43783</t>
  </si>
  <si>
    <t>EMP1228</t>
  </si>
  <si>
    <t xml:space="preserve">  Jane Brown  </t>
  </si>
  <si>
    <t>$115969</t>
  </si>
  <si>
    <t>WT-44152</t>
  </si>
  <si>
    <t>EMP1229</t>
  </si>
  <si>
    <t>$55038</t>
  </si>
  <si>
    <t>NR-68741</t>
  </si>
  <si>
    <t>EMP1230</t>
  </si>
  <si>
    <t>$92327</t>
  </si>
  <si>
    <t>ST-61502</t>
  </si>
  <si>
    <t>EMP1231</t>
  </si>
  <si>
    <t>$117064</t>
  </si>
  <si>
    <t>ET-39092</t>
  </si>
  <si>
    <t>EMP1232</t>
  </si>
  <si>
    <t>$61281</t>
  </si>
  <si>
    <t>NR-27653</t>
  </si>
  <si>
    <t>EMP1233</t>
  </si>
  <si>
    <t xml:space="preserve">  Mike Johnson  </t>
  </si>
  <si>
    <t>$94189</t>
  </si>
  <si>
    <t>EMP1234</t>
  </si>
  <si>
    <t>$88511</t>
  </si>
  <si>
    <t>NR-96483</t>
  </si>
  <si>
    <t>EMP1235</t>
  </si>
  <si>
    <t>$48605</t>
  </si>
  <si>
    <t>WT-69754</t>
  </si>
  <si>
    <t>EMP1236</t>
  </si>
  <si>
    <t>$41381</t>
  </si>
  <si>
    <t>ET-39978</t>
  </si>
  <si>
    <t>EMP1237</t>
  </si>
  <si>
    <t>$106634</t>
  </si>
  <si>
    <t>ET-97592</t>
  </si>
  <si>
    <t>EMP1238</t>
  </si>
  <si>
    <t>$59810</t>
  </si>
  <si>
    <t>ST-53169</t>
  </si>
  <si>
    <t>EMP1239</t>
  </si>
  <si>
    <t xml:space="preserve">  Emily Clark  </t>
  </si>
  <si>
    <t>$64322</t>
  </si>
  <si>
    <t>ET-58287</t>
  </si>
  <si>
    <t>EMP1240</t>
  </si>
  <si>
    <t>$81869</t>
  </si>
  <si>
    <t>ET-64745</t>
  </si>
  <si>
    <t>EMP1241</t>
  </si>
  <si>
    <t>$72955</t>
  </si>
  <si>
    <t>NR-15543</t>
  </si>
  <si>
    <t>EMP1242</t>
  </si>
  <si>
    <t>$101388</t>
  </si>
  <si>
    <t>ST-66392</t>
  </si>
  <si>
    <t>EMP1243</t>
  </si>
  <si>
    <t>$50207</t>
  </si>
  <si>
    <t>ET-31067</t>
  </si>
  <si>
    <t>EMP1244</t>
  </si>
  <si>
    <t>$107628</t>
  </si>
  <si>
    <t>WT-61033</t>
  </si>
  <si>
    <t>EMP1245</t>
  </si>
  <si>
    <t xml:space="preserve">  John Wilson  </t>
  </si>
  <si>
    <t>$68220</t>
  </si>
  <si>
    <t>ET-55256</t>
  </si>
  <si>
    <t>EMP1246</t>
  </si>
  <si>
    <t>$114085</t>
  </si>
  <si>
    <t>NR-79345</t>
  </si>
  <si>
    <t>EMP1247</t>
  </si>
  <si>
    <t>$62031</t>
  </si>
  <si>
    <t>WT-32191</t>
  </si>
  <si>
    <t>EMP1248</t>
  </si>
  <si>
    <t>$110721</t>
  </si>
  <si>
    <t>NR-96803</t>
  </si>
  <si>
    <t>EMP1249</t>
  </si>
  <si>
    <t>$111312</t>
  </si>
  <si>
    <t>ET-82742</t>
  </si>
  <si>
    <t>EMP1250</t>
  </si>
  <si>
    <t>$99766</t>
  </si>
  <si>
    <t>WT-96593</t>
  </si>
  <si>
    <t>EMP1251</t>
  </si>
  <si>
    <t>$52449</t>
  </si>
  <si>
    <t>ST-38992</t>
  </si>
  <si>
    <t>EMP1252</t>
  </si>
  <si>
    <t>$96699</t>
  </si>
  <si>
    <t>ST-91531</t>
  </si>
  <si>
    <t>EMP1253</t>
  </si>
  <si>
    <t>$86092</t>
  </si>
  <si>
    <t>WT-58803</t>
  </si>
  <si>
    <t>EMP1254</t>
  </si>
  <si>
    <t>$103671</t>
  </si>
  <si>
    <t>WT-73477</t>
  </si>
  <si>
    <t>EMP1255</t>
  </si>
  <si>
    <t>$50350</t>
  </si>
  <si>
    <t>NR-23210</t>
  </si>
  <si>
    <t>EMP1256</t>
  </si>
  <si>
    <t>$108487</t>
  </si>
  <si>
    <t>WT-93329</t>
  </si>
  <si>
    <t>EMP1257</t>
  </si>
  <si>
    <t>$57622</t>
  </si>
  <si>
    <t>NR-36270</t>
  </si>
  <si>
    <t>EMP1258</t>
  </si>
  <si>
    <t>$110263</t>
  </si>
  <si>
    <t>ET-72008</t>
  </si>
  <si>
    <t>EMP1259</t>
  </si>
  <si>
    <t>$93117</t>
  </si>
  <si>
    <t>NR-15197</t>
  </si>
  <si>
    <t>EMP1260</t>
  </si>
  <si>
    <t>$98394</t>
  </si>
  <si>
    <t>WT-17452</t>
  </si>
  <si>
    <t>EMP1261</t>
  </si>
  <si>
    <t>$63782</t>
  </si>
  <si>
    <t>WT-51486</t>
  </si>
  <si>
    <t>EMP1262</t>
  </si>
  <si>
    <t>$68454</t>
  </si>
  <si>
    <t>ET-24859</t>
  </si>
  <si>
    <t>EMP1263</t>
  </si>
  <si>
    <t>$107904</t>
  </si>
  <si>
    <t>WT-37236</t>
  </si>
  <si>
    <t>EMP1264</t>
  </si>
  <si>
    <t>$55592</t>
  </si>
  <si>
    <t>WT-41899</t>
  </si>
  <si>
    <t>EMP1265</t>
  </si>
  <si>
    <t>$62173</t>
  </si>
  <si>
    <t>ST-42083</t>
  </si>
  <si>
    <t>EMP1266</t>
  </si>
  <si>
    <t>$73204</t>
  </si>
  <si>
    <t>ST-77708</t>
  </si>
  <si>
    <t>EMP1267</t>
  </si>
  <si>
    <t>$75596</t>
  </si>
  <si>
    <t>ET-26663</t>
  </si>
  <si>
    <t>EMP1268</t>
  </si>
  <si>
    <t>$74324</t>
  </si>
  <si>
    <t>NR-29053</t>
  </si>
  <si>
    <t>EMP1269</t>
  </si>
  <si>
    <t>$101202</t>
  </si>
  <si>
    <t>ST-21085</t>
  </si>
  <si>
    <t>EMP1270</t>
  </si>
  <si>
    <t>$70750</t>
  </si>
  <si>
    <t>NR-40564</t>
  </si>
  <si>
    <t>EMP1271</t>
  </si>
  <si>
    <t>$116112</t>
  </si>
  <si>
    <t>WT-99745</t>
  </si>
  <si>
    <t>EMP1272</t>
  </si>
  <si>
    <t>$56566</t>
  </si>
  <si>
    <t>ST-69095</t>
  </si>
  <si>
    <t>EMP1273</t>
  </si>
  <si>
    <t>$47190</t>
  </si>
  <si>
    <t>ET-79517</t>
  </si>
  <si>
    <t>EMP1274</t>
  </si>
  <si>
    <t>$78333</t>
  </si>
  <si>
    <t>ET-31153</t>
  </si>
  <si>
    <t>EMP1275</t>
  </si>
  <si>
    <t>$41589</t>
  </si>
  <si>
    <t>ET-15247</t>
  </si>
  <si>
    <t>EMP1276</t>
  </si>
  <si>
    <t>$65235</t>
  </si>
  <si>
    <t>ST-20553</t>
  </si>
  <si>
    <t>EMP1277</t>
  </si>
  <si>
    <t>$40159</t>
  </si>
  <si>
    <t>NR-30811</t>
  </si>
  <si>
    <t>EMP1278</t>
  </si>
  <si>
    <t>$52145</t>
  </si>
  <si>
    <t>WT-16135</t>
  </si>
  <si>
    <t>EMP1279</t>
  </si>
  <si>
    <t>$71921</t>
  </si>
  <si>
    <t>NR-15573</t>
  </si>
  <si>
    <t>EMP1280</t>
  </si>
  <si>
    <t>$56237</t>
  </si>
  <si>
    <t>NR-89267</t>
  </si>
  <si>
    <t>EMP1281</t>
  </si>
  <si>
    <t>$48244</t>
  </si>
  <si>
    <t>WT-17189</t>
  </si>
  <si>
    <t>EMP1282</t>
  </si>
  <si>
    <t>$54743</t>
  </si>
  <si>
    <t>WT-90077</t>
  </si>
  <si>
    <t>EMP1283</t>
  </si>
  <si>
    <t>$86101</t>
  </si>
  <si>
    <t>ST-53646</t>
  </si>
  <si>
    <t>EMP1284</t>
  </si>
  <si>
    <t xml:space="preserve">  Sarah Brown  </t>
  </si>
  <si>
    <t>$96378</t>
  </si>
  <si>
    <t>ST-86623</t>
  </si>
  <si>
    <t>EMP1285</t>
  </si>
  <si>
    <t>$111126</t>
  </si>
  <si>
    <t>ST-63687</t>
  </si>
  <si>
    <t>EMP1286</t>
  </si>
  <si>
    <t>$96071</t>
  </si>
  <si>
    <t>ST-78312</t>
  </si>
  <si>
    <t>EMP1287</t>
  </si>
  <si>
    <t>$111121</t>
  </si>
  <si>
    <t>ST-37564</t>
  </si>
  <si>
    <t>EMP1288</t>
  </si>
  <si>
    <t>$114763</t>
  </si>
  <si>
    <t>WT-38835</t>
  </si>
  <si>
    <t>EMP1289</t>
  </si>
  <si>
    <t>$52237</t>
  </si>
  <si>
    <t>NR-71587</t>
  </si>
  <si>
    <t>EMP1290</t>
  </si>
  <si>
    <t>$55649</t>
  </si>
  <si>
    <t>ST-17697</t>
  </si>
  <si>
    <t>EMP1291</t>
  </si>
  <si>
    <t xml:space="preserve">  John Miller  </t>
  </si>
  <si>
    <t>$77713</t>
  </si>
  <si>
    <t>ST-90165</t>
  </si>
  <si>
    <t>EMP1292</t>
  </si>
  <si>
    <t>$113463</t>
  </si>
  <si>
    <t>NR-83922</t>
  </si>
  <si>
    <t>EMP1293</t>
  </si>
  <si>
    <t>$85409</t>
  </si>
  <si>
    <t>ST-27046</t>
  </si>
  <si>
    <t>EMP1294</t>
  </si>
  <si>
    <t>$88766</t>
  </si>
  <si>
    <t>NR-67823</t>
  </si>
  <si>
    <t>EMP1295</t>
  </si>
  <si>
    <t>$86154</t>
  </si>
  <si>
    <t>NR-83580</t>
  </si>
  <si>
    <t>EMP1296</t>
  </si>
  <si>
    <t>$47016</t>
  </si>
  <si>
    <t>WT-63370</t>
  </si>
  <si>
    <t>EMP1297</t>
  </si>
  <si>
    <t>$119563</t>
  </si>
  <si>
    <t>ET-19615</t>
  </si>
  <si>
    <t>EMP1298</t>
  </si>
  <si>
    <t>$88688</t>
  </si>
  <si>
    <t>WT-15060</t>
  </si>
  <si>
    <t>EMP1299</t>
  </si>
  <si>
    <t>$94238</t>
  </si>
  <si>
    <t>ET-86436</t>
  </si>
  <si>
    <t>EMP1300</t>
  </si>
  <si>
    <t>$98608</t>
  </si>
  <si>
    <t>ET-70519</t>
  </si>
  <si>
    <t>EMP1301</t>
  </si>
  <si>
    <t>$71897</t>
  </si>
  <si>
    <t>ET-81117</t>
  </si>
  <si>
    <t>EMP1302</t>
  </si>
  <si>
    <t>$90961</t>
  </si>
  <si>
    <t>ST-71158</t>
  </si>
  <si>
    <t>EMP1303</t>
  </si>
  <si>
    <t>$108703</t>
  </si>
  <si>
    <t>WT-44782</t>
  </si>
  <si>
    <t>EMP1304</t>
  </si>
  <si>
    <t>$84757</t>
  </si>
  <si>
    <t>ET-95709</t>
  </si>
  <si>
    <t>EMP1305</t>
  </si>
  <si>
    <t>$66917</t>
  </si>
  <si>
    <t>NR-88533</t>
  </si>
  <si>
    <t>EMP1306</t>
  </si>
  <si>
    <t>$62736</t>
  </si>
  <si>
    <t>ST-68255</t>
  </si>
  <si>
    <t>EMP1307</t>
  </si>
  <si>
    <t>$67990</t>
  </si>
  <si>
    <t>WT-82684</t>
  </si>
  <si>
    <t>EMP1308</t>
  </si>
  <si>
    <t>$102551</t>
  </si>
  <si>
    <t>ET-66918</t>
  </si>
  <si>
    <t>EMP1309</t>
  </si>
  <si>
    <t>$98161</t>
  </si>
  <si>
    <t>NR-94284</t>
  </si>
  <si>
    <t>EMP1310</t>
  </si>
  <si>
    <t>$119623</t>
  </si>
  <si>
    <t>WT-89558</t>
  </si>
  <si>
    <t>EMP1311</t>
  </si>
  <si>
    <t>$62440</t>
  </si>
  <si>
    <t>WT-95549</t>
  </si>
  <si>
    <t>EMP1312</t>
  </si>
  <si>
    <t>$75205</t>
  </si>
  <si>
    <t>ST-91422</t>
  </si>
  <si>
    <t>EMP1313</t>
  </si>
  <si>
    <t>$95103</t>
  </si>
  <si>
    <t>WT-35256</t>
  </si>
  <si>
    <t>EMP1314</t>
  </si>
  <si>
    <t>$110812</t>
  </si>
  <si>
    <t>ST-40005</t>
  </si>
  <si>
    <t>EMP1315</t>
  </si>
  <si>
    <t>$81627</t>
  </si>
  <si>
    <t>ET-16638</t>
  </si>
  <si>
    <t>EMP1316</t>
  </si>
  <si>
    <t>$59008</t>
  </si>
  <si>
    <t>ST-47419</t>
  </si>
  <si>
    <t>EMP1317</t>
  </si>
  <si>
    <t>$111274</t>
  </si>
  <si>
    <t>NR-43377</t>
  </si>
  <si>
    <t>EMP1318</t>
  </si>
  <si>
    <t>$72402</t>
  </si>
  <si>
    <t>ST-53116</t>
  </si>
  <si>
    <t>EMP1319</t>
  </si>
  <si>
    <t>$93384</t>
  </si>
  <si>
    <t>NR-46634</t>
  </si>
  <si>
    <t>EMP1320</t>
  </si>
  <si>
    <t>$45793</t>
  </si>
  <si>
    <t>ST-92291</t>
  </si>
  <si>
    <t>EMP1321</t>
  </si>
  <si>
    <t>$45571</t>
  </si>
  <si>
    <t>WT-33382</t>
  </si>
  <si>
    <t>EMP1322</t>
  </si>
  <si>
    <t>$56209</t>
  </si>
  <si>
    <t>ET-66063</t>
  </si>
  <si>
    <t>EMP1323</t>
  </si>
  <si>
    <t>$83148</t>
  </si>
  <si>
    <t>NR-32394</t>
  </si>
  <si>
    <t>EMP1324</t>
  </si>
  <si>
    <t>$42224</t>
  </si>
  <si>
    <t>ST-77789</t>
  </si>
  <si>
    <t>EMP1325</t>
  </si>
  <si>
    <t>$88695</t>
  </si>
  <si>
    <t>ST-10864</t>
  </si>
  <si>
    <t>EMP1326</t>
  </si>
  <si>
    <t>$72441</t>
  </si>
  <si>
    <t>ST-50222</t>
  </si>
  <si>
    <t>EMP1327</t>
  </si>
  <si>
    <t>$79129</t>
  </si>
  <si>
    <t>WT-23666</t>
  </si>
  <si>
    <t>EMP1328</t>
  </si>
  <si>
    <t>$102368</t>
  </si>
  <si>
    <t>WT-30955</t>
  </si>
  <si>
    <t>EMP1329</t>
  </si>
  <si>
    <t>$84760</t>
  </si>
  <si>
    <t>NR-91845</t>
  </si>
  <si>
    <t>EMP1330</t>
  </si>
  <si>
    <t>$63478</t>
  </si>
  <si>
    <t>NR-79590</t>
  </si>
  <si>
    <t>EMP1331</t>
  </si>
  <si>
    <t>$111854</t>
  </si>
  <si>
    <t>WT-76471</t>
  </si>
  <si>
    <t>EMP1332</t>
  </si>
  <si>
    <t>$52180</t>
  </si>
  <si>
    <t>NR-98314</t>
  </si>
  <si>
    <t>EMP1333</t>
  </si>
  <si>
    <t>$55372</t>
  </si>
  <si>
    <t>ET-53298</t>
  </si>
  <si>
    <t>EMP1334</t>
  </si>
  <si>
    <t>$69796</t>
  </si>
  <si>
    <t>ET-73108</t>
  </si>
  <si>
    <t>EMP1335</t>
  </si>
  <si>
    <t>$98272</t>
  </si>
  <si>
    <t>WT-58924</t>
  </si>
  <si>
    <t>EMP1336</t>
  </si>
  <si>
    <t>$94040</t>
  </si>
  <si>
    <t>NR-26709</t>
  </si>
  <si>
    <t>EMP1337</t>
  </si>
  <si>
    <t>$115357</t>
  </si>
  <si>
    <t>ST-19726</t>
  </si>
  <si>
    <t>EMP1338</t>
  </si>
  <si>
    <t>$111368</t>
  </si>
  <si>
    <t>ET-70824</t>
  </si>
  <si>
    <t>EMP1339</t>
  </si>
  <si>
    <t>$118356</t>
  </si>
  <si>
    <t>WT-50542</t>
  </si>
  <si>
    <t>EMP1340</t>
  </si>
  <si>
    <t>$56211</t>
  </si>
  <si>
    <t>NR-30245</t>
  </si>
  <si>
    <t>EMP1341</t>
  </si>
  <si>
    <t>$45842</t>
  </si>
  <si>
    <t>WT-44753</t>
  </si>
  <si>
    <t>EMP1342</t>
  </si>
  <si>
    <t>$103115</t>
  </si>
  <si>
    <t>ST-89788</t>
  </si>
  <si>
    <t>EMP1343</t>
  </si>
  <si>
    <t>$106852</t>
  </si>
  <si>
    <t>ET-31316</t>
  </si>
  <si>
    <t>EMP1344</t>
  </si>
  <si>
    <t>$85968</t>
  </si>
  <si>
    <t>WT-94698</t>
  </si>
  <si>
    <t>EMP1345</t>
  </si>
  <si>
    <t>$57508</t>
  </si>
  <si>
    <t>WT-25960</t>
  </si>
  <si>
    <t>EMP1346</t>
  </si>
  <si>
    <t>$62005</t>
  </si>
  <si>
    <t>WT-40791</t>
  </si>
  <si>
    <t>EMP1347</t>
  </si>
  <si>
    <t>$94575</t>
  </si>
  <si>
    <t>ST-35216</t>
  </si>
  <si>
    <t>EMP1348</t>
  </si>
  <si>
    <t>$58971</t>
  </si>
  <si>
    <t>WT-42467</t>
  </si>
  <si>
    <t>EMP1349</t>
  </si>
  <si>
    <t>$65599</t>
  </si>
  <si>
    <t>ST-74427</t>
  </si>
  <si>
    <t>EMP1350</t>
  </si>
  <si>
    <t>$106914</t>
  </si>
  <si>
    <t>ST-72047</t>
  </si>
  <si>
    <t>EMP1351</t>
  </si>
  <si>
    <t>$107055</t>
  </si>
  <si>
    <t>ST-83290</t>
  </si>
  <si>
    <t>EMP1352</t>
  </si>
  <si>
    <t>$45355</t>
  </si>
  <si>
    <t>ET-57014</t>
  </si>
  <si>
    <t>EMP1353</t>
  </si>
  <si>
    <t>$94120</t>
  </si>
  <si>
    <t>ET-14078</t>
  </si>
  <si>
    <t>EMP1354</t>
  </si>
  <si>
    <t>$114619</t>
  </si>
  <si>
    <t>WT-88389</t>
  </si>
  <si>
    <t>EMP1355</t>
  </si>
  <si>
    <t>$78342</t>
  </si>
  <si>
    <t>WT-60519</t>
  </si>
  <si>
    <t>EMP1356</t>
  </si>
  <si>
    <t>$118860</t>
  </si>
  <si>
    <t>ET-14042</t>
  </si>
  <si>
    <t>EMP1357</t>
  </si>
  <si>
    <t>$42257</t>
  </si>
  <si>
    <t>NR-59052</t>
  </si>
  <si>
    <t>EMP1358</t>
  </si>
  <si>
    <t>$67364</t>
  </si>
  <si>
    <t>ET-24389</t>
  </si>
  <si>
    <t>EMP1359</t>
  </si>
  <si>
    <t>$64972</t>
  </si>
  <si>
    <t>ST-78111</t>
  </si>
  <si>
    <t>EMP1360</t>
  </si>
  <si>
    <t>$66654</t>
  </si>
  <si>
    <t>ET-60733</t>
  </si>
  <si>
    <t>EMP1361</t>
  </si>
  <si>
    <t>$69320</t>
  </si>
  <si>
    <t>ST-44754</t>
  </si>
  <si>
    <t>EMP1362</t>
  </si>
  <si>
    <t>$60808</t>
  </si>
  <si>
    <t>WT-28624</t>
  </si>
  <si>
    <t>EMP1363</t>
  </si>
  <si>
    <t>$92389</t>
  </si>
  <si>
    <t>NR-95886</t>
  </si>
  <si>
    <t>EMP1364</t>
  </si>
  <si>
    <t>$74773</t>
  </si>
  <si>
    <t>WT-36681</t>
  </si>
  <si>
    <t>EMP1365</t>
  </si>
  <si>
    <t xml:space="preserve">  Emily Johnson  </t>
  </si>
  <si>
    <t>$91168</t>
  </si>
  <si>
    <t>ST-99524</t>
  </si>
  <si>
    <t>EMP1366</t>
  </si>
  <si>
    <t>$67747</t>
  </si>
  <si>
    <t>ST-91006</t>
  </si>
  <si>
    <t>EMP1367</t>
  </si>
  <si>
    <t>$116396</t>
  </si>
  <si>
    <t>ST-34704</t>
  </si>
  <si>
    <t>EMP1368</t>
  </si>
  <si>
    <t>$97505</t>
  </si>
  <si>
    <t>NR-17493</t>
  </si>
  <si>
    <t>EMP1369</t>
  </si>
  <si>
    <t>$58135</t>
  </si>
  <si>
    <t>ET-79639</t>
  </si>
  <si>
    <t>EMP1370</t>
  </si>
  <si>
    <t>$87377</t>
  </si>
  <si>
    <t>WT-64383</t>
  </si>
  <si>
    <t>EMP1371</t>
  </si>
  <si>
    <t>$63554</t>
  </si>
  <si>
    <t>WT-12994</t>
  </si>
  <si>
    <t>EMP1372</t>
  </si>
  <si>
    <t>$102491</t>
  </si>
  <si>
    <t>ET-79280</t>
  </si>
  <si>
    <t>EMP1373</t>
  </si>
  <si>
    <t>$95621</t>
  </si>
  <si>
    <t>WT-57234</t>
  </si>
  <si>
    <t>EMP1374</t>
  </si>
  <si>
    <t>$98283</t>
  </si>
  <si>
    <t>NR-57291</t>
  </si>
  <si>
    <t>EMP1375</t>
  </si>
  <si>
    <t>$56923</t>
  </si>
  <si>
    <t>WT-15594</t>
  </si>
  <si>
    <t>EMP1376</t>
  </si>
  <si>
    <t>$87591</t>
  </si>
  <si>
    <t>ST-17371</t>
  </si>
  <si>
    <t>EMP1377</t>
  </si>
  <si>
    <t>$102261</t>
  </si>
  <si>
    <t>ET-57315</t>
  </si>
  <si>
    <t>EMP1378</t>
  </si>
  <si>
    <t>$94336</t>
  </si>
  <si>
    <t>NR-93564</t>
  </si>
  <si>
    <t>EMP1379</t>
  </si>
  <si>
    <t>$114083</t>
  </si>
  <si>
    <t>ET-89526</t>
  </si>
  <si>
    <t>EMP1380</t>
  </si>
  <si>
    <t>$100948</t>
  </si>
  <si>
    <t>NR-26626</t>
  </si>
  <si>
    <t>EMP1381</t>
  </si>
  <si>
    <t>$73002</t>
  </si>
  <si>
    <t>ST-96005</t>
  </si>
  <si>
    <t>EMP1382</t>
  </si>
  <si>
    <t>$113016</t>
  </si>
  <si>
    <t>ET-17130</t>
  </si>
  <si>
    <t>EMP1383</t>
  </si>
  <si>
    <t>$66672</t>
  </si>
  <si>
    <t>WT-16828</t>
  </si>
  <si>
    <t>EMP1384</t>
  </si>
  <si>
    <t>$44213</t>
  </si>
  <si>
    <t>NR-67514</t>
  </si>
  <si>
    <t>EMP1385</t>
  </si>
  <si>
    <t>$50293</t>
  </si>
  <si>
    <t>ET-62664</t>
  </si>
  <si>
    <t>EMP1386</t>
  </si>
  <si>
    <t>$95860</t>
  </si>
  <si>
    <t>WT-27883</t>
  </si>
  <si>
    <t>EMP1387</t>
  </si>
  <si>
    <t>$102507</t>
  </si>
  <si>
    <t>ET-53059</t>
  </si>
  <si>
    <t>EMP1388</t>
  </si>
  <si>
    <t>$97134</t>
  </si>
  <si>
    <t>ET-94078</t>
  </si>
  <si>
    <t>EMP1389</t>
  </si>
  <si>
    <t>$42100</t>
  </si>
  <si>
    <t>ET-52932</t>
  </si>
  <si>
    <t>EMP1390</t>
  </si>
  <si>
    <t>$101997</t>
  </si>
  <si>
    <t>NR-71269</t>
  </si>
  <si>
    <t>EMP1391</t>
  </si>
  <si>
    <t>$68172</t>
  </si>
  <si>
    <t>WT-85986</t>
  </si>
  <si>
    <t>EMP1392</t>
  </si>
  <si>
    <t>$60132</t>
  </si>
  <si>
    <t>ST-95959</t>
  </si>
  <si>
    <t>EMP1393</t>
  </si>
  <si>
    <t>$58199</t>
  </si>
  <si>
    <t>NR-12035</t>
  </si>
  <si>
    <t>EMP1394</t>
  </si>
  <si>
    <t>$76609</t>
  </si>
  <si>
    <t>NR-50745</t>
  </si>
  <si>
    <t>EMP1395</t>
  </si>
  <si>
    <t>$82965</t>
  </si>
  <si>
    <t>NR-27241</t>
  </si>
  <si>
    <t>EMP1396</t>
  </si>
  <si>
    <t>ST-62975</t>
  </si>
  <si>
    <t>EMP1397</t>
  </si>
  <si>
    <t>$79779</t>
  </si>
  <si>
    <t>WT-33154</t>
  </si>
  <si>
    <t>EMP1398</t>
  </si>
  <si>
    <t>$71881</t>
  </si>
  <si>
    <t>WT-35625</t>
  </si>
  <si>
    <t>EMP1399</t>
  </si>
  <si>
    <t>$64472</t>
  </si>
  <si>
    <t>WT-54950</t>
  </si>
  <si>
    <t>EMP1400</t>
  </si>
  <si>
    <t>$91813</t>
  </si>
  <si>
    <t>ET-66396</t>
  </si>
  <si>
    <t>EMP1401</t>
  </si>
  <si>
    <t>$76021</t>
  </si>
  <si>
    <t>ET-23331</t>
  </si>
  <si>
    <t>EMP1402</t>
  </si>
  <si>
    <t>$94131</t>
  </si>
  <si>
    <t>ET-73927</t>
  </si>
  <si>
    <t>EMP1403</t>
  </si>
  <si>
    <t>$64087</t>
  </si>
  <si>
    <t>ST-96226</t>
  </si>
  <si>
    <t>EMP1404</t>
  </si>
  <si>
    <t>$52828</t>
  </si>
  <si>
    <t>ET-94719</t>
  </si>
  <si>
    <t>EMP1405</t>
  </si>
  <si>
    <t>$101610</t>
  </si>
  <si>
    <t>ST-73014</t>
  </si>
  <si>
    <t>EMP1406</t>
  </si>
  <si>
    <t>$41401</t>
  </si>
  <si>
    <t>WT-49346</t>
  </si>
  <si>
    <t>EMP1407</t>
  </si>
  <si>
    <t>$55193</t>
  </si>
  <si>
    <t>ET-80411</t>
  </si>
  <si>
    <t>EMP1408</t>
  </si>
  <si>
    <t>$84864</t>
  </si>
  <si>
    <t>ET-64478</t>
  </si>
  <si>
    <t>EMP1409</t>
  </si>
  <si>
    <t>$60307</t>
  </si>
  <si>
    <t>NR-22254</t>
  </si>
  <si>
    <t>EMP1410</t>
  </si>
  <si>
    <t>$59611</t>
  </si>
  <si>
    <t>ST-65734</t>
  </si>
  <si>
    <t>EMP1411</t>
  </si>
  <si>
    <t>$83791</t>
  </si>
  <si>
    <t>WT-38621</t>
  </si>
  <si>
    <t>EMP1412</t>
  </si>
  <si>
    <t>$51950</t>
  </si>
  <si>
    <t>NR-86441</t>
  </si>
  <si>
    <t>EMP1413</t>
  </si>
  <si>
    <t>$116240</t>
  </si>
  <si>
    <t>NR-56121</t>
  </si>
  <si>
    <t>EMP1414</t>
  </si>
  <si>
    <t>$117403</t>
  </si>
  <si>
    <t>WT-91418</t>
  </si>
  <si>
    <t>EMP1415</t>
  </si>
  <si>
    <t>$42745</t>
  </si>
  <si>
    <t>NR-70197</t>
  </si>
  <si>
    <t>EMP1416</t>
  </si>
  <si>
    <t>$95243</t>
  </si>
  <si>
    <t>ST-94577</t>
  </si>
  <si>
    <t>EMP1417</t>
  </si>
  <si>
    <t>$43866</t>
  </si>
  <si>
    <t>ST-52431</t>
  </si>
  <si>
    <t>EMP1418</t>
  </si>
  <si>
    <t>$72245</t>
  </si>
  <si>
    <t>ET-14837</t>
  </si>
  <si>
    <t>EMP1419</t>
  </si>
  <si>
    <t>$84724</t>
  </si>
  <si>
    <t>NR-93163</t>
  </si>
  <si>
    <t>EMP1420</t>
  </si>
  <si>
    <t>$111354</t>
  </si>
  <si>
    <t>ET-81232</t>
  </si>
  <si>
    <t>EMP1421</t>
  </si>
  <si>
    <t>$91374</t>
  </si>
  <si>
    <t>NR-58994</t>
  </si>
  <si>
    <t>EMP1422</t>
  </si>
  <si>
    <t>$70116</t>
  </si>
  <si>
    <t>ST-89079</t>
  </si>
  <si>
    <t>EMP1423</t>
  </si>
  <si>
    <t>$60447</t>
  </si>
  <si>
    <t>ST-22615</t>
  </si>
  <si>
    <t>EMP1424</t>
  </si>
  <si>
    <t xml:space="preserve">  Chris Miller  </t>
  </si>
  <si>
    <t>$70431</t>
  </si>
  <si>
    <t>ST-11466</t>
  </si>
  <si>
    <t>EMP1425</t>
  </si>
  <si>
    <t>$57908</t>
  </si>
  <si>
    <t>NR-40771</t>
  </si>
  <si>
    <t>EMP1426</t>
  </si>
  <si>
    <t>$69336</t>
  </si>
  <si>
    <t>ST-93886</t>
  </si>
  <si>
    <t>EMP1427</t>
  </si>
  <si>
    <t>$80992</t>
  </si>
  <si>
    <t>NR-75911</t>
  </si>
  <si>
    <t>EMP1428</t>
  </si>
  <si>
    <t>$95350</t>
  </si>
  <si>
    <t>ET-30746</t>
  </si>
  <si>
    <t>EMP1429</t>
  </si>
  <si>
    <t>$109561</t>
  </si>
  <si>
    <t>NR-98422</t>
  </si>
  <si>
    <t>EMP1430</t>
  </si>
  <si>
    <t>$91955</t>
  </si>
  <si>
    <t>ET-70739</t>
  </si>
  <si>
    <t>EMP1431</t>
  </si>
  <si>
    <t>$101240</t>
  </si>
  <si>
    <t>NR-83369</t>
  </si>
  <si>
    <t>EMP1432</t>
  </si>
  <si>
    <t>$60093</t>
  </si>
  <si>
    <t>ET-11893</t>
  </si>
  <si>
    <t>EMP1433</t>
  </si>
  <si>
    <t>$46155</t>
  </si>
  <si>
    <t>ST-40573</t>
  </si>
  <si>
    <t>EMP1434</t>
  </si>
  <si>
    <t>$86607</t>
  </si>
  <si>
    <t>ET-50874</t>
  </si>
  <si>
    <t>EMP1435</t>
  </si>
  <si>
    <t>$73487</t>
  </si>
  <si>
    <t>ST-87362</t>
  </si>
  <si>
    <t>EMP1436</t>
  </si>
  <si>
    <t>$95668</t>
  </si>
  <si>
    <t>ST-97460</t>
  </si>
  <si>
    <t>EMP1437</t>
  </si>
  <si>
    <t>$60963</t>
  </si>
  <si>
    <t>ET-43367</t>
  </si>
  <si>
    <t>EMP1438</t>
  </si>
  <si>
    <t>$90124</t>
  </si>
  <si>
    <t>NR-31199</t>
  </si>
  <si>
    <t>EMP1439</t>
  </si>
  <si>
    <t>$92870</t>
  </si>
  <si>
    <t>NR-84328</t>
  </si>
  <si>
    <t>EMP1440</t>
  </si>
  <si>
    <t>$96547</t>
  </si>
  <si>
    <t>WT-67724</t>
  </si>
  <si>
    <t>EMP1441</t>
  </si>
  <si>
    <t>$104110</t>
  </si>
  <si>
    <t>NR-96133</t>
  </si>
  <si>
    <t>EMP1442</t>
  </si>
  <si>
    <t>$93554</t>
  </si>
  <si>
    <t>WT-46405</t>
  </si>
  <si>
    <t>EMP1443</t>
  </si>
  <si>
    <t>$60936</t>
  </si>
  <si>
    <t>NR-25989</t>
  </si>
  <si>
    <t>EMP1444</t>
  </si>
  <si>
    <t>$44426</t>
  </si>
  <si>
    <t>NR-38931</t>
  </si>
  <si>
    <t>EMP1445</t>
  </si>
  <si>
    <t>$67606</t>
  </si>
  <si>
    <t>ST-19290</t>
  </si>
  <si>
    <t>EMP1446</t>
  </si>
  <si>
    <t>$87832</t>
  </si>
  <si>
    <t>WT-48367</t>
  </si>
  <si>
    <t>EMP1447</t>
  </si>
  <si>
    <t>$68151</t>
  </si>
  <si>
    <t>NR-89878</t>
  </si>
  <si>
    <t>EMP1448</t>
  </si>
  <si>
    <t>$119303</t>
  </si>
  <si>
    <t>WT-89481</t>
  </si>
  <si>
    <t>EMP1449</t>
  </si>
  <si>
    <t>$51308</t>
  </si>
  <si>
    <t>ST-86298</t>
  </si>
  <si>
    <t>EMP1450</t>
  </si>
  <si>
    <t>$102522</t>
  </si>
  <si>
    <t>ST-40133</t>
  </si>
  <si>
    <t>EMP1451</t>
  </si>
  <si>
    <t>$85671</t>
  </si>
  <si>
    <t>WT-37052</t>
  </si>
  <si>
    <t>EMP1452</t>
  </si>
  <si>
    <t>$42204</t>
  </si>
  <si>
    <t>ST-95489</t>
  </si>
  <si>
    <t>EMP1453</t>
  </si>
  <si>
    <t>$71131</t>
  </si>
  <si>
    <t>ET-50475</t>
  </si>
  <si>
    <t>EMP1454</t>
  </si>
  <si>
    <t>$92428</t>
  </si>
  <si>
    <t>ET-92666</t>
  </si>
  <si>
    <t>EMP1455</t>
  </si>
  <si>
    <t>$73870</t>
  </si>
  <si>
    <t>ST-67656</t>
  </si>
  <si>
    <t>EMP1456</t>
  </si>
  <si>
    <t>$89067</t>
  </si>
  <si>
    <t>ET-14633</t>
  </si>
  <si>
    <t>EMP1457</t>
  </si>
  <si>
    <t>$98585</t>
  </si>
  <si>
    <t>NR-27304</t>
  </si>
  <si>
    <t>EMP1458</t>
  </si>
  <si>
    <t>$61607</t>
  </si>
  <si>
    <t>WT-56546</t>
  </si>
  <si>
    <t>EMP1459</t>
  </si>
  <si>
    <t>$64968</t>
  </si>
  <si>
    <t>NR-17008</t>
  </si>
  <si>
    <t>EMP1460</t>
  </si>
  <si>
    <t>$51908</t>
  </si>
  <si>
    <t>WT-58291</t>
  </si>
  <si>
    <t>EMP1461</t>
  </si>
  <si>
    <t>$66423</t>
  </si>
  <si>
    <t>ST-37405</t>
  </si>
  <si>
    <t>EMP1462</t>
  </si>
  <si>
    <t>$114707</t>
  </si>
  <si>
    <t>NR-46386</t>
  </si>
  <si>
    <t>EMP1463</t>
  </si>
  <si>
    <t>$118257</t>
  </si>
  <si>
    <t>ST-30827</t>
  </si>
  <si>
    <t>EMP1464</t>
  </si>
  <si>
    <t>$101215</t>
  </si>
  <si>
    <t>ST-43040</t>
  </si>
  <si>
    <t>EMP1465</t>
  </si>
  <si>
    <t>$95835</t>
  </si>
  <si>
    <t>WT-70354</t>
  </si>
  <si>
    <t>EMP1466</t>
  </si>
  <si>
    <t>$89429</t>
  </si>
  <si>
    <t>WT-88543</t>
  </si>
  <si>
    <t>EMP1467</t>
  </si>
  <si>
    <t>$78458</t>
  </si>
  <si>
    <t>WT-28157</t>
  </si>
  <si>
    <t>EMP1468</t>
  </si>
  <si>
    <t>$86169</t>
  </si>
  <si>
    <t>NR-45315</t>
  </si>
  <si>
    <t>EMP1469</t>
  </si>
  <si>
    <t>$47659</t>
  </si>
  <si>
    <t>ET-45932</t>
  </si>
  <si>
    <t>EMP1470</t>
  </si>
  <si>
    <t>$100614</t>
  </si>
  <si>
    <t>WT-31164</t>
  </si>
  <si>
    <t>EMP1471</t>
  </si>
  <si>
    <t>$117240</t>
  </si>
  <si>
    <t>WT-24414</t>
  </si>
  <si>
    <t>EMP1472</t>
  </si>
  <si>
    <t>$72793</t>
  </si>
  <si>
    <t>NR-24327</t>
  </si>
  <si>
    <t>EMP1473</t>
  </si>
  <si>
    <t>$86473</t>
  </si>
  <si>
    <t>WT-10946</t>
  </si>
  <si>
    <t>EMP1474</t>
  </si>
  <si>
    <t>$95751</t>
  </si>
  <si>
    <t>NR-24693</t>
  </si>
  <si>
    <t>EMP1475</t>
  </si>
  <si>
    <t>$118915</t>
  </si>
  <si>
    <t>ST-37241</t>
  </si>
  <si>
    <t>EMP1476</t>
  </si>
  <si>
    <t>$94254</t>
  </si>
  <si>
    <t>WT-25540</t>
  </si>
  <si>
    <t>EMP1477</t>
  </si>
  <si>
    <t>$47006</t>
  </si>
  <si>
    <t>WT-82255</t>
  </si>
  <si>
    <t>EMP1478</t>
  </si>
  <si>
    <t>$114218</t>
  </si>
  <si>
    <t>ST-74757</t>
  </si>
  <si>
    <t>EMP1479</t>
  </si>
  <si>
    <t>$105344</t>
  </si>
  <si>
    <t>ST-51203</t>
  </si>
  <si>
    <t>EMP1480</t>
  </si>
  <si>
    <t>$73840</t>
  </si>
  <si>
    <t>ST-35081</t>
  </si>
  <si>
    <t>EMP1481</t>
  </si>
  <si>
    <t>$72430</t>
  </si>
  <si>
    <t>WT-71861</t>
  </si>
  <si>
    <t>EMP1482</t>
  </si>
  <si>
    <t>$63091</t>
  </si>
  <si>
    <t>ET-21350</t>
  </si>
  <si>
    <t>EMP1483</t>
  </si>
  <si>
    <t>$72983</t>
  </si>
  <si>
    <t>ET-65512</t>
  </si>
  <si>
    <t>EMP1484</t>
  </si>
  <si>
    <t>$63989</t>
  </si>
  <si>
    <t>ET-66809</t>
  </si>
  <si>
    <t>EMP1485</t>
  </si>
  <si>
    <t>$115451</t>
  </si>
  <si>
    <t>WT-52832</t>
  </si>
  <si>
    <t>EMP1486</t>
  </si>
  <si>
    <t>$58990</t>
  </si>
  <si>
    <t>ST-38369</t>
  </si>
  <si>
    <t>EMP1487</t>
  </si>
  <si>
    <t>$76081</t>
  </si>
  <si>
    <t>WT-41728</t>
  </si>
  <si>
    <t>EMP1488</t>
  </si>
  <si>
    <t>$51033</t>
  </si>
  <si>
    <t>ST-27576</t>
  </si>
  <si>
    <t>EMP1489</t>
  </si>
  <si>
    <t>$56241</t>
  </si>
  <si>
    <t>WT-39001</t>
  </si>
  <si>
    <t>EMP1490</t>
  </si>
  <si>
    <t>$45939</t>
  </si>
  <si>
    <t>WT-93384</t>
  </si>
  <si>
    <t>EMP1491</t>
  </si>
  <si>
    <t>$87562</t>
  </si>
  <si>
    <t>ST-10390</t>
  </si>
  <si>
    <t>EMP1492</t>
  </si>
  <si>
    <t>$75063</t>
  </si>
  <si>
    <t>ET-97535</t>
  </si>
  <si>
    <t>EMP1493</t>
  </si>
  <si>
    <t>$116721</t>
  </si>
  <si>
    <t>ST-55436</t>
  </si>
  <si>
    <t>EMP1494</t>
  </si>
  <si>
    <t>$67045</t>
  </si>
  <si>
    <t>NR-21569</t>
  </si>
  <si>
    <t>EMP1495</t>
  </si>
  <si>
    <t>$84769</t>
  </si>
  <si>
    <t>NR-23029</t>
  </si>
  <si>
    <t>EMP1496</t>
  </si>
  <si>
    <t>$87118</t>
  </si>
  <si>
    <t>ST-32490</t>
  </si>
  <si>
    <t>EMP1497</t>
  </si>
  <si>
    <t>$61625</t>
  </si>
  <si>
    <t>WT-55875</t>
  </si>
  <si>
    <t>EMP1498</t>
  </si>
  <si>
    <t>$67076</t>
  </si>
  <si>
    <t>NR-15867</t>
  </si>
  <si>
    <t>EMP1499</t>
  </si>
  <si>
    <t>$104805</t>
  </si>
  <si>
    <t>NR-90820</t>
  </si>
  <si>
    <t>Cleaned Name</t>
  </si>
  <si>
    <t>Cleaned Email</t>
  </si>
  <si>
    <t>Cleaned Join Date</t>
  </si>
  <si>
    <t>Salary</t>
  </si>
  <si>
    <t>Status Cleaned</t>
  </si>
  <si>
    <t>Cleaned Notes</t>
  </si>
  <si>
    <t>Employee Region Code</t>
  </si>
  <si>
    <t>Employee Region</t>
  </si>
  <si>
    <t>Cleaned Location</t>
  </si>
  <si>
    <t>Bonus</t>
  </si>
  <si>
    <t>Full Package</t>
  </si>
  <si>
    <t>Salary Tier</t>
  </si>
  <si>
    <t xml:space="preserve"> urgent review</t>
  </si>
  <si>
    <t>Sarah Taylor</t>
  </si>
  <si>
    <t>john@company.com</t>
  </si>
  <si>
    <t>05-Jun-2023</t>
  </si>
  <si>
    <t>Urgent Review</t>
  </si>
  <si>
    <t>ET</t>
  </si>
  <si>
    <t>East</t>
  </si>
  <si>
    <t>Sao Paulo</t>
  </si>
  <si>
    <t>Chris Davis</t>
  </si>
  <si>
    <t>chris@company.com</t>
  </si>
  <si>
    <t>18-Aug-2021</t>
  </si>
  <si>
    <t>On Leave</t>
  </si>
  <si>
    <t>Pending Docs</t>
  </si>
  <si>
    <t>Sarah Lewis</t>
  </si>
  <si>
    <t>alex@company.com</t>
  </si>
  <si>
    <t>06-Sep-2020</t>
  </si>
  <si>
    <t>No Notes</t>
  </si>
  <si>
    <t>NR</t>
  </si>
  <si>
    <t>North</t>
  </si>
  <si>
    <t>London</t>
  </si>
  <si>
    <t>Sam Wilson</t>
  </si>
  <si>
    <t>24-May-2022</t>
  </si>
  <si>
    <t>WT</t>
  </si>
  <si>
    <t>West</t>
  </si>
  <si>
    <t>Lagos</t>
  </si>
  <si>
    <t>emily@company.com</t>
  </si>
  <si>
    <t>04-Jan-2024</t>
  </si>
  <si>
    <t>Delhi</t>
  </si>
  <si>
    <t>Alex Moore</t>
  </si>
  <si>
    <t>14-Jul-2020</t>
  </si>
  <si>
    <t>Terminated</t>
  </si>
  <si>
    <t>Toronto</t>
  </si>
  <si>
    <t>Chris Brown</t>
  </si>
  <si>
    <t>20-Nov-2021</t>
  </si>
  <si>
    <t>Follow Up</t>
  </si>
  <si>
    <t>Daniel Davis</t>
  </si>
  <si>
    <t>29-Dec-2022</t>
  </si>
  <si>
    <t>ST</t>
  </si>
  <si>
    <t>South</t>
  </si>
  <si>
    <t>Jane Moore</t>
  </si>
  <si>
    <t>mike@company.com</t>
  </si>
  <si>
    <t>30-Sep-2021</t>
  </si>
  <si>
    <t>New York</t>
  </si>
  <si>
    <t>Daniel Johnson</t>
  </si>
  <si>
    <t>23-Nov-2023</t>
  </si>
  <si>
    <t>Emily smith</t>
  </si>
  <si>
    <t>02-Nov-2021</t>
  </si>
  <si>
    <t>Mike Miller</t>
  </si>
  <si>
    <t>k@ie@company.com</t>
  </si>
  <si>
    <t>11-May-2023</t>
  </si>
  <si>
    <t>Cairo</t>
  </si>
  <si>
    <t>Katie Smith</t>
  </si>
  <si>
    <t>daniel@company.com</t>
  </si>
  <si>
    <t>17-Mar-2023</t>
  </si>
  <si>
    <t>Mike Brown</t>
  </si>
  <si>
    <t>sam@company.com</t>
  </si>
  <si>
    <t>04-Feb-2024</t>
  </si>
  <si>
    <t>Sarah taylor</t>
  </si>
  <si>
    <t>01-Aug-2022</t>
  </si>
  <si>
    <t>Katie Brown</t>
  </si>
  <si>
    <t>17-Jul-2020</t>
  </si>
  <si>
    <t>Emily Brown</t>
  </si>
  <si>
    <t>20-Dec-2023</t>
  </si>
  <si>
    <t>Sarah Davis</t>
  </si>
  <si>
    <t>sarah@company.com</t>
  </si>
  <si>
    <t>06-May-2021</t>
  </si>
  <si>
    <t>Katie Wilson</t>
  </si>
  <si>
    <t>14-Jun-2022</t>
  </si>
  <si>
    <t>Jane Taylor</t>
  </si>
  <si>
    <t>21-May-2020</t>
  </si>
  <si>
    <t>Katie Johnson</t>
  </si>
  <si>
    <t>29-Aug-2023</t>
  </si>
  <si>
    <t>Mike Clark</t>
  </si>
  <si>
    <t>13-Jun-2020</t>
  </si>
  <si>
    <t>Mike Davis</t>
  </si>
  <si>
    <t>09-Nov-2020</t>
  </si>
  <si>
    <t>21-Jan-2020</t>
  </si>
  <si>
    <t>Sarah Moore</t>
  </si>
  <si>
    <t>10-Jan-2023</t>
  </si>
  <si>
    <t>Sam Smith</t>
  </si>
  <si>
    <t>28-Feb-2023</t>
  </si>
  <si>
    <t>Berlin</t>
  </si>
  <si>
    <t>Alex Johnson</t>
  </si>
  <si>
    <t>10-Sep-2022</t>
  </si>
  <si>
    <t>Chris Taylor</t>
  </si>
  <si>
    <t>31-Oct-2020</t>
  </si>
  <si>
    <t>Jane Miller</t>
  </si>
  <si>
    <t>05-Jan-2021</t>
  </si>
  <si>
    <t>Daniel Lewis</t>
  </si>
  <si>
    <t>02-May-2022</t>
  </si>
  <si>
    <t>Alex Miller</t>
  </si>
  <si>
    <t>18-Jan-2021</t>
  </si>
  <si>
    <t>Jane Lewis</t>
  </si>
  <si>
    <t>20-Mar-2021</t>
  </si>
  <si>
    <t>28-Feb-2021</t>
  </si>
  <si>
    <t>09-Jun-2020</t>
  </si>
  <si>
    <t>Sarah Clark</t>
  </si>
  <si>
    <t>16-Apr-2023</t>
  </si>
  <si>
    <t>20-Sep-2021</t>
  </si>
  <si>
    <t>Jane Davis</t>
  </si>
  <si>
    <t>13-Jun-2022</t>
  </si>
  <si>
    <t>Chris Lewis</t>
  </si>
  <si>
    <t>04-May-2021</t>
  </si>
  <si>
    <t>Katie Clark</t>
  </si>
  <si>
    <t>13-Oct-2022</t>
  </si>
  <si>
    <t>John Clark</t>
  </si>
  <si>
    <t>22-Nov-2020</t>
  </si>
  <si>
    <t>20-Aug-2021</t>
  </si>
  <si>
    <t>Chris Smith</t>
  </si>
  <si>
    <t>11-Oct-2022</t>
  </si>
  <si>
    <t>Chris Moore</t>
  </si>
  <si>
    <t>15-Oct-2020</t>
  </si>
  <si>
    <t>15-Aug-2021</t>
  </si>
  <si>
    <t>26-Jul-2021</t>
  </si>
  <si>
    <t>09-Oct-2023</t>
  </si>
  <si>
    <t>Emily Lewis</t>
  </si>
  <si>
    <t>jane@company.com</t>
  </si>
  <si>
    <t>28-Jan-2020</t>
  </si>
  <si>
    <t>11-Aug-2022</t>
  </si>
  <si>
    <t>12-Feb-2020</t>
  </si>
  <si>
    <t>Katie Moore</t>
  </si>
  <si>
    <t>26-Feb-2021</t>
  </si>
  <si>
    <t>Jane Smith</t>
  </si>
  <si>
    <t>25-Jun-2020</t>
  </si>
  <si>
    <t>Sarah Wilson</t>
  </si>
  <si>
    <t>12-Jun-2021</t>
  </si>
  <si>
    <t>23-Aug-2022</t>
  </si>
  <si>
    <t>Sam Moore</t>
  </si>
  <si>
    <t>16-Jul-2020</t>
  </si>
  <si>
    <t>Daniel Brown</t>
  </si>
  <si>
    <t>01-Sep-2021</t>
  </si>
  <si>
    <t>John Brown</t>
  </si>
  <si>
    <t>21-Apr-2022</t>
  </si>
  <si>
    <t>John Davis</t>
  </si>
  <si>
    <t>22-Jan-2020</t>
  </si>
  <si>
    <t>Mike Wilson</t>
  </si>
  <si>
    <t>09-Feb-2023</t>
  </si>
  <si>
    <t>16-Dec-2022</t>
  </si>
  <si>
    <t>Mike Lewis</t>
  </si>
  <si>
    <t>25-Dec-2022</t>
  </si>
  <si>
    <t>John Taylor</t>
  </si>
  <si>
    <t>07-Apr-2020</t>
  </si>
  <si>
    <t>Alex Davis</t>
  </si>
  <si>
    <t>13-Mar-2023</t>
  </si>
  <si>
    <t>10-Mar-2021</t>
  </si>
  <si>
    <t>Alex Wilson</t>
  </si>
  <si>
    <t>28-Sep-2021</t>
  </si>
  <si>
    <t>Sam Miller</t>
  </si>
  <si>
    <t>14-Jan-2023</t>
  </si>
  <si>
    <t>10-Aug-2021</t>
  </si>
  <si>
    <t>Katie Davis</t>
  </si>
  <si>
    <t>09-Dec-2020</t>
  </si>
  <si>
    <t>Daniel Taylor</t>
  </si>
  <si>
    <t>10-Aug-2023</t>
  </si>
  <si>
    <t>24-Jul-2021</t>
  </si>
  <si>
    <t>02-Sep-2021</t>
  </si>
  <si>
    <t>John Smith</t>
  </si>
  <si>
    <t>30-Aug-2020</t>
  </si>
  <si>
    <t>14-Jul-2021</t>
  </si>
  <si>
    <t>Alex Clark</t>
  </si>
  <si>
    <t>17-Aug-2022</t>
  </si>
  <si>
    <t>01-Feb-2020</t>
  </si>
  <si>
    <t>Daniel Moore</t>
  </si>
  <si>
    <t>25-Jan-2021</t>
  </si>
  <si>
    <t>03-Oct-2020</t>
  </si>
  <si>
    <t>15-Jun-2021</t>
  </si>
  <si>
    <t>Mike Moore</t>
  </si>
  <si>
    <t>23-Mar-2023</t>
  </si>
  <si>
    <t>17-Jan-2021</t>
  </si>
  <si>
    <t>Katie Taylor</t>
  </si>
  <si>
    <t>27-Dec-2022</t>
  </si>
  <si>
    <t>02-Jun-2022</t>
  </si>
  <si>
    <t>Mike Taylor</t>
  </si>
  <si>
    <t>01-Aug-2020</t>
  </si>
  <si>
    <t>Sarah Johnson</t>
  </si>
  <si>
    <t>10-Jan-2021</t>
  </si>
  <si>
    <t>13-Jan-2022</t>
  </si>
  <si>
    <t>Emily Smith</t>
  </si>
  <si>
    <t>31-Jul-2020</t>
  </si>
  <si>
    <t>19-Mar-2020</t>
  </si>
  <si>
    <t>John Johnson</t>
  </si>
  <si>
    <t>19-Sep-2021</t>
  </si>
  <si>
    <t>26-Aug-2021</t>
  </si>
  <si>
    <t>20-Feb-2022</t>
  </si>
  <si>
    <t>05-Nov-2023</t>
  </si>
  <si>
    <t>Sam Johnson</t>
  </si>
  <si>
    <t>27-Sep-2022</t>
  </si>
  <si>
    <t>10-Nov-2021</t>
  </si>
  <si>
    <t>Daniel Wilson</t>
  </si>
  <si>
    <t>27-Feb-2020</t>
  </si>
  <si>
    <t>15-Nov-2022</t>
  </si>
  <si>
    <t>30-May-2022</t>
  </si>
  <si>
    <t>22-Mar-2021</t>
  </si>
  <si>
    <t>Emily Taylor</t>
  </si>
  <si>
    <t>06-Mar-2020</t>
  </si>
  <si>
    <t>01-Jul-2023</t>
  </si>
  <si>
    <t>Daniel Smith</t>
  </si>
  <si>
    <t>03-Dec-2022</t>
  </si>
  <si>
    <t>Katie Miller</t>
  </si>
  <si>
    <t>25-Jan-2023</t>
  </si>
  <si>
    <t>Sam Taylor</t>
  </si>
  <si>
    <t>08-Oct-2022</t>
  </si>
  <si>
    <t>Alex Brown</t>
  </si>
  <si>
    <t>14-Aug-2020</t>
  </si>
  <si>
    <t>12-Feb-2022</t>
  </si>
  <si>
    <t>09-Nov-2021</t>
  </si>
  <si>
    <t>30-Dec-2023</t>
  </si>
  <si>
    <t>23-Aug-2021</t>
  </si>
  <si>
    <t>Chris Wilson</t>
  </si>
  <si>
    <t>13-Jan-2021</t>
  </si>
  <si>
    <t>21-Dec-2023</t>
  </si>
  <si>
    <t>09-Dec-2021</t>
  </si>
  <si>
    <t>02-Nov-2020</t>
  </si>
  <si>
    <t>17-Feb-2022</t>
  </si>
  <si>
    <t>18-May-2021</t>
  </si>
  <si>
    <t>Alex Smith</t>
  </si>
  <si>
    <t>24-Sep-2020</t>
  </si>
  <si>
    <t>08-Jan-2020</t>
  </si>
  <si>
    <t>Emily Davis</t>
  </si>
  <si>
    <t>22-May-2021</t>
  </si>
  <si>
    <t>20-Apr-2021</t>
  </si>
  <si>
    <t>13-Aug-2023</t>
  </si>
  <si>
    <t>Sam Brown</t>
  </si>
  <si>
    <t>12-Jun-2020</t>
  </si>
  <si>
    <t>29-Apr-2021</t>
  </si>
  <si>
    <t>31-Dec-2022</t>
  </si>
  <si>
    <t>John Moore</t>
  </si>
  <si>
    <t>20-Jul-2021</t>
  </si>
  <si>
    <t>23-Jun-2022</t>
  </si>
  <si>
    <t>12-Jul-2021</t>
  </si>
  <si>
    <t>25-Aug-2020</t>
  </si>
  <si>
    <t>01-Feb-2023</t>
  </si>
  <si>
    <t>18-May-2023</t>
  </si>
  <si>
    <t>07-Jul-2021</t>
  </si>
  <si>
    <t>Jane Johnson</t>
  </si>
  <si>
    <t>07-Apr-2022</t>
  </si>
  <si>
    <t>12-Apr-2021</t>
  </si>
  <si>
    <t>17-Jan-2024</t>
  </si>
  <si>
    <t>15-Jul-2023</t>
  </si>
  <si>
    <t>20-Jan-2021</t>
  </si>
  <si>
    <t>13-Feb-2022</t>
  </si>
  <si>
    <t>27-Apr-2022</t>
  </si>
  <si>
    <t>21-Jan-2021</t>
  </si>
  <si>
    <t>26-May-2022</t>
  </si>
  <si>
    <t>15-Sep-2020</t>
  </si>
  <si>
    <t>Daniel Miller</t>
  </si>
  <si>
    <t>09-Oct-2020</t>
  </si>
  <si>
    <t>09-Feb-2020</t>
  </si>
  <si>
    <t>30-Apr-2021</t>
  </si>
  <si>
    <t>17-Jul-2022</t>
  </si>
  <si>
    <t>07-Aug-2020</t>
  </si>
  <si>
    <t>26-Feb-2023</t>
  </si>
  <si>
    <t>20-Oct-2022</t>
  </si>
  <si>
    <t>Emily Miller</t>
  </si>
  <si>
    <t>04-Sep-2021</t>
  </si>
  <si>
    <t>Sam Clark</t>
  </si>
  <si>
    <t>16-Jul-2022</t>
  </si>
  <si>
    <t>Emily Moore</t>
  </si>
  <si>
    <t>18-Nov-2021</t>
  </si>
  <si>
    <t>16-Sep-2020</t>
  </si>
  <si>
    <t>16-Sep-2022</t>
  </si>
  <si>
    <t>Sarah Smith</t>
  </si>
  <si>
    <t>31-Dec-2020</t>
  </si>
  <si>
    <t>Katie Lewis</t>
  </si>
  <si>
    <t>27-Jun-2021</t>
  </si>
  <si>
    <t>10-Oct-2021</t>
  </si>
  <si>
    <t>24-Mar-2022</t>
  </si>
  <si>
    <t>Chris Johnson</t>
  </si>
  <si>
    <t>05-Nov-2022</t>
  </si>
  <si>
    <t>28-Jul-2021</t>
  </si>
  <si>
    <t>06-Feb-2023</t>
  </si>
  <si>
    <t>09-Oct-2022</t>
  </si>
  <si>
    <t>31-Oct-2021</t>
  </si>
  <si>
    <t>25-Sep-2020</t>
  </si>
  <si>
    <t>31-Mar-2023</t>
  </si>
  <si>
    <t>07-Jul-2023</t>
  </si>
  <si>
    <t>Jane Clark</t>
  </si>
  <si>
    <t>12-Jul-2022</t>
  </si>
  <si>
    <t>30-Jan-2023</t>
  </si>
  <si>
    <t>03-Sep-2020</t>
  </si>
  <si>
    <t>Alex Taylor</t>
  </si>
  <si>
    <t>10-May-2020</t>
  </si>
  <si>
    <t>18-Dec-2020</t>
  </si>
  <si>
    <t>18-Jul-2022</t>
  </si>
  <si>
    <t>Sarah Miller</t>
  </si>
  <si>
    <t>06-Nov-2023</t>
  </si>
  <si>
    <t>18-Oct-2022</t>
  </si>
  <si>
    <t>06-Oct-2021</t>
  </si>
  <si>
    <t>01-Dec-2021</t>
  </si>
  <si>
    <t>Alex Lewis</t>
  </si>
  <si>
    <t>08-Feb-2024</t>
  </si>
  <si>
    <t>21-Sep-2020</t>
  </si>
  <si>
    <t>27-Oct-2023</t>
  </si>
  <si>
    <t>28-Dec-2023</t>
  </si>
  <si>
    <t>Emily Wilson</t>
  </si>
  <si>
    <t>07-Oct-2021</t>
  </si>
  <si>
    <t>29-Jul-2020</t>
  </si>
  <si>
    <t>01-Nov-2023</t>
  </si>
  <si>
    <t>19-Nov-2023</t>
  </si>
  <si>
    <t>13-Jan-2024</t>
  </si>
  <si>
    <t>31-Jul-2022</t>
  </si>
  <si>
    <t>19-Oct-2023</t>
  </si>
  <si>
    <t>Sam Lewis</t>
  </si>
  <si>
    <t>01-Apr-2021</t>
  </si>
  <si>
    <t>25-Dec-2021</t>
  </si>
  <si>
    <t>03-Jun-2023</t>
  </si>
  <si>
    <t>08-Sep-2022</t>
  </si>
  <si>
    <t>John Lewis</t>
  </si>
  <si>
    <t>Mike Smith</t>
  </si>
  <si>
    <t>12-Sep-2022</t>
  </si>
  <si>
    <t>24-Jul-2023</t>
  </si>
  <si>
    <t>04-Jun-2020</t>
  </si>
  <si>
    <t>26-May-2023</t>
  </si>
  <si>
    <t>08-Jul-2020</t>
  </si>
  <si>
    <t>11-Dec-2023</t>
  </si>
  <si>
    <t>Sam Davis</t>
  </si>
  <si>
    <t>07-Sep-2022</t>
  </si>
  <si>
    <t>Daniel Clark</t>
  </si>
  <si>
    <t>29-Jun-2021</t>
  </si>
  <si>
    <t>10-Feb-2020</t>
  </si>
  <si>
    <t>03-Dec-2020</t>
  </si>
  <si>
    <t>30-Aug-2023</t>
  </si>
  <si>
    <t>03-Jan-2023</t>
  </si>
  <si>
    <t>10-Aug-2022</t>
  </si>
  <si>
    <t>05-Oct-2020</t>
  </si>
  <si>
    <t>14-Apr-2023</t>
  </si>
  <si>
    <t>29-Sep-2020</t>
  </si>
  <si>
    <t>16-Apr-2022</t>
  </si>
  <si>
    <t>11-Sep-2021</t>
  </si>
  <si>
    <t>11-May-2022</t>
  </si>
  <si>
    <t>19-Jul-2022</t>
  </si>
  <si>
    <t>24-Dec-2021</t>
  </si>
  <si>
    <t>11-Jun-2022</t>
  </si>
  <si>
    <t>28-Sep-2020</t>
  </si>
  <si>
    <t>27-Apr-2021</t>
  </si>
  <si>
    <t>24-Jul-2022</t>
  </si>
  <si>
    <t>Jane Brown</t>
  </si>
  <si>
    <t>04-Sep-2020</t>
  </si>
  <si>
    <t>06-Dec-2022</t>
  </si>
  <si>
    <t>29-Mar-2021</t>
  </si>
  <si>
    <t>19-Jul-2020</t>
  </si>
  <si>
    <t>Mike Johnson</t>
  </si>
  <si>
    <t>03-May-2020</t>
  </si>
  <si>
    <t>01-Jan-2020</t>
  </si>
  <si>
    <t>25-Aug-2022</t>
  </si>
  <si>
    <t>04-May-2022</t>
  </si>
  <si>
    <t>01-Oct-2021</t>
  </si>
  <si>
    <t>09-Jul-2020</t>
  </si>
  <si>
    <t>Emily Clark</t>
  </si>
  <si>
    <t>30-May-2021</t>
  </si>
  <si>
    <t>17-Mar-2021</t>
  </si>
  <si>
    <t>22-May-2020</t>
  </si>
  <si>
    <t>29-Apr-2023</t>
  </si>
  <si>
    <t>16-Jun-2021</t>
  </si>
  <si>
    <t>John Wilson</t>
  </si>
  <si>
    <t>06-Aug-2022</t>
  </si>
  <si>
    <t>18-Aug-2023</t>
  </si>
  <si>
    <t>04-Apr-2021</t>
  </si>
  <si>
    <t>25-Nov-2023</t>
  </si>
  <si>
    <t>04-Jul-2021</t>
  </si>
  <si>
    <t>27-Jan-2021</t>
  </si>
  <si>
    <t>24-Apr-2022</t>
  </si>
  <si>
    <t>15-May-2023</t>
  </si>
  <si>
    <t>28-Jul-2020</t>
  </si>
  <si>
    <t>12-Feb-2023</t>
  </si>
  <si>
    <t>28-Jun-2023</t>
  </si>
  <si>
    <t>06-Aug-2020</t>
  </si>
  <si>
    <t>10-Feb-2021</t>
  </si>
  <si>
    <t>06-Jan-2024</t>
  </si>
  <si>
    <t>06-Jun-2022</t>
  </si>
  <si>
    <t>11-Jul-2021</t>
  </si>
  <si>
    <t>03-Jul-2021</t>
  </si>
  <si>
    <t>03-Sep-2021</t>
  </si>
  <si>
    <t>15-May-2021</t>
  </si>
  <si>
    <t>19-Apr-2022</t>
  </si>
  <si>
    <t>02-Dec-2021</t>
  </si>
  <si>
    <t>07-Oct-2020</t>
  </si>
  <si>
    <t>27-Feb-2021</t>
  </si>
  <si>
    <t>05-May-2022</t>
  </si>
  <si>
    <t>26-Sep-2020</t>
  </si>
  <si>
    <t>02-Jun-2020</t>
  </si>
  <si>
    <t>05-Sep-2021</t>
  </si>
  <si>
    <t>23-Oct-2021</t>
  </si>
  <si>
    <t>23-Mar-2020</t>
  </si>
  <si>
    <t>04-Aug-2022</t>
  </si>
  <si>
    <t>17-Jun-2022</t>
  </si>
  <si>
    <t>22-Jul-2023</t>
  </si>
  <si>
    <t>10-Oct-2020</t>
  </si>
  <si>
    <t>Sarah Brown</t>
  </si>
  <si>
    <t>06-Sep-2022</t>
  </si>
  <si>
    <t>21-Jun-2020</t>
  </si>
  <si>
    <t>12-Sep-2023</t>
  </si>
  <si>
    <t>22-Dec-2022</t>
  </si>
  <si>
    <t>01-Jan-2023</t>
  </si>
  <si>
    <t>01-Feb-2022</t>
  </si>
  <si>
    <t>30-Oct-2023</t>
  </si>
  <si>
    <t>John Miller</t>
  </si>
  <si>
    <t>24-Sep-2021</t>
  </si>
  <si>
    <t>25-Feb-2022</t>
  </si>
  <si>
    <t>01-Feb-2021</t>
  </si>
  <si>
    <t>17-Feb-2023</t>
  </si>
  <si>
    <t>22-Jul-2022</t>
  </si>
  <si>
    <t>31-Dec-2023</t>
  </si>
  <si>
    <t>06-Nov-2021</t>
  </si>
  <si>
    <t>09-Apr-2021</t>
  </si>
  <si>
    <t>12-Oct-2020</t>
  </si>
  <si>
    <t>15-Nov-2020</t>
  </si>
  <si>
    <t>03-Nov-2021</t>
  </si>
  <si>
    <t>31-Oct-2023</t>
  </si>
  <si>
    <t>30-Mar-2022</t>
  </si>
  <si>
    <t>29-Mar-2020</t>
  </si>
  <si>
    <t>31-Mar-2022</t>
  </si>
  <si>
    <t>29-Nov-2020</t>
  </si>
  <si>
    <t>09-Aug-2020</t>
  </si>
  <si>
    <t>08-Mar-2020</t>
  </si>
  <si>
    <t>14-Sep-2022</t>
  </si>
  <si>
    <t>28-May-2021</t>
  </si>
  <si>
    <t>24-Feb-2023</t>
  </si>
  <si>
    <t>02-Jul-2023</t>
  </si>
  <si>
    <t>25-Nov-2021</t>
  </si>
  <si>
    <t>21-Apr-2021</t>
  </si>
  <si>
    <t>21-Dec-2022</t>
  </si>
  <si>
    <t>07-Mar-2021</t>
  </si>
  <si>
    <t>24-Nov-2022</t>
  </si>
  <si>
    <t>08-May-2021</t>
  </si>
  <si>
    <t>01-Feb-2024</t>
  </si>
  <si>
    <t>22-Oct-2021</t>
  </si>
  <si>
    <t>10-Sep-2023</t>
  </si>
  <si>
    <t>20-Aug-2023</t>
  </si>
  <si>
    <t>23-Jul-2023</t>
  </si>
  <si>
    <t>09-May-2023</t>
  </si>
  <si>
    <t>08-Jan-2024</t>
  </si>
  <si>
    <t>09-Sep-2023</t>
  </si>
  <si>
    <t>03-Sep-2022</t>
  </si>
  <si>
    <t>26-Apr-2021</t>
  </si>
  <si>
    <t>28-Dec-2021</t>
  </si>
  <si>
    <t>24-Apr-2021</t>
  </si>
  <si>
    <t>24-Dec-2022</t>
  </si>
  <si>
    <t>28-Oct-2022</t>
  </si>
  <si>
    <t>17-Aug-2023</t>
  </si>
  <si>
    <t>08-Dec-2020</t>
  </si>
  <si>
    <t>25-Dec-2023</t>
  </si>
  <si>
    <t>18-Dec-2023</t>
  </si>
  <si>
    <t>27-Nov-2020</t>
  </si>
  <si>
    <t>13-Mar-2021</t>
  </si>
  <si>
    <t>22-Jun-2020</t>
  </si>
  <si>
    <t>10-Jun-2021</t>
  </si>
  <si>
    <t>20-Oct-2021</t>
  </si>
  <si>
    <t>26-Jan-2020</t>
  </si>
  <si>
    <t>27-Aug-2021</t>
  </si>
  <si>
    <t>09-Feb-2021</t>
  </si>
  <si>
    <t>19-Aug-2020</t>
  </si>
  <si>
    <t>19-May-2021</t>
  </si>
  <si>
    <t>27-Jun-2020</t>
  </si>
  <si>
    <t>11-May-2020</t>
  </si>
  <si>
    <t>Emily Johnson</t>
  </si>
  <si>
    <t>18-Jan-2024</t>
  </si>
  <si>
    <t>13-Dec-2020</t>
  </si>
  <si>
    <t>23-Jun-2021</t>
  </si>
  <si>
    <t>10-Feb-2022</t>
  </si>
  <si>
    <t>30-Nov-2023</t>
  </si>
  <si>
    <t>16-Mar-2020</t>
  </si>
  <si>
    <t>01-Aug-2021</t>
  </si>
  <si>
    <t>03-May-2022</t>
  </si>
  <si>
    <t>12-Jul-2020</t>
  </si>
  <si>
    <t>12-Dec-2020</t>
  </si>
  <si>
    <t>08-Aug-2022</t>
  </si>
  <si>
    <t>16-Oct-2023</t>
  </si>
  <si>
    <t>15-Jan-2023</t>
  </si>
  <si>
    <t>09-Jul-2023</t>
  </si>
  <si>
    <t>18-Feb-2022</t>
  </si>
  <si>
    <t>18-Sep-2020</t>
  </si>
  <si>
    <t>30-Dec-2021</t>
  </si>
  <si>
    <t>30-Jan-2024</t>
  </si>
  <si>
    <t>04-Nov-2023</t>
  </si>
  <si>
    <t>27-Dec-2020</t>
  </si>
  <si>
    <t>12-Jan-2024</t>
  </si>
  <si>
    <t>16-Mar-2021</t>
  </si>
  <si>
    <t>02-Apr-2020</t>
  </si>
  <si>
    <t>22-Jan-2022</t>
  </si>
  <si>
    <t>16-May-2022</t>
  </si>
  <si>
    <t>07-Aug-2023</t>
  </si>
  <si>
    <t>26-Dec-2023</t>
  </si>
  <si>
    <t>18-Jan-2022</t>
  </si>
  <si>
    <t>14-Oct-2021</t>
  </si>
  <si>
    <t>24-Sep-2022</t>
  </si>
  <si>
    <t>18-Feb-2020</t>
  </si>
  <si>
    <t>28-Apr-2023</t>
  </si>
  <si>
    <t>05-Mar-2023</t>
  </si>
  <si>
    <t>08-Jul-2021</t>
  </si>
  <si>
    <t>07-Feb-2021</t>
  </si>
  <si>
    <t>10-Jun-2022</t>
  </si>
  <si>
    <t>14-May-2022</t>
  </si>
  <si>
    <t>24-Aug-2021</t>
  </si>
  <si>
    <t>06-Dec-2020</t>
  </si>
  <si>
    <t>04-Dec-2021</t>
  </si>
  <si>
    <t>13-Nov-2020</t>
  </si>
  <si>
    <t>09-Sep-2021</t>
  </si>
  <si>
    <t>18-Oct-2023</t>
  </si>
  <si>
    <t>16-Jan-2021</t>
  </si>
  <si>
    <t>20-Aug-2020</t>
  </si>
  <si>
    <t>29-Sep-2023</t>
  </si>
  <si>
    <t>27-Mar-2022</t>
  </si>
  <si>
    <t>06-Jul-2021</t>
  </si>
  <si>
    <t>29-Mar-2022</t>
  </si>
  <si>
    <t>Chris Miller</t>
  </si>
  <si>
    <t>01-Jul-2020</t>
  </si>
  <si>
    <t>30-Nov-2022</t>
  </si>
  <si>
    <t>31-Jan-2021</t>
  </si>
  <si>
    <t>25-Jun-2022</t>
  </si>
  <si>
    <t>18-Sep-2023</t>
  </si>
  <si>
    <t>06-May-2020</t>
  </si>
  <si>
    <t>06-Apr-2023</t>
  </si>
  <si>
    <t>19-Jan-2020</t>
  </si>
  <si>
    <t>17-Sep-2023</t>
  </si>
  <si>
    <t>06-Aug-2021</t>
  </si>
  <si>
    <t>31-Mar-2021</t>
  </si>
  <si>
    <t>14-Aug-2022</t>
  </si>
  <si>
    <t>17-Jun-2023</t>
  </si>
  <si>
    <t>12-Apr-2020</t>
  </si>
  <si>
    <t>27-Jun-2023</t>
  </si>
  <si>
    <t>16-Jan-2024</t>
  </si>
  <si>
    <t>03-Jun-2021</t>
  </si>
  <si>
    <t>22-Mar-2023</t>
  </si>
  <si>
    <t>08-May-2022</t>
  </si>
  <si>
    <t>28-Sep-2023</t>
  </si>
  <si>
    <t>01-Oct-2022</t>
  </si>
  <si>
    <t>06-Mar-2021</t>
  </si>
  <si>
    <t>27-Dec-2021</t>
  </si>
  <si>
    <t>29-Apr-2022</t>
  </si>
  <si>
    <t>23-Feb-2021</t>
  </si>
  <si>
    <t>16-Aug-2021</t>
  </si>
  <si>
    <t>15-Feb-2021</t>
  </si>
  <si>
    <t>12-Jan-2023</t>
  </si>
  <si>
    <t>10-Feb-2023</t>
  </si>
  <si>
    <t>02-Nov-2023</t>
  </si>
  <si>
    <t>16-Oct-2021</t>
  </si>
  <si>
    <t>16-Aug-2022</t>
  </si>
  <si>
    <t>14-Apr-2020</t>
  </si>
  <si>
    <t>20-Jul-2020</t>
  </si>
  <si>
    <t>25-Mar-2021</t>
  </si>
  <si>
    <t>13-Jul-2023</t>
  </si>
  <si>
    <t>28-Jun-2022</t>
  </si>
  <si>
    <t>16-Jul-2021</t>
  </si>
  <si>
    <t>15-Feb-2023</t>
  </si>
  <si>
    <t>13-Dec-2021</t>
  </si>
  <si>
    <t>09-Feb-2022</t>
  </si>
  <si>
    <t>28-Oct-2021</t>
  </si>
  <si>
    <t>05-Oct-2023</t>
  </si>
  <si>
    <t>22-Oct-2020</t>
  </si>
  <si>
    <t>14-Sep-2020</t>
  </si>
  <si>
    <t>09-Jan-2023</t>
  </si>
  <si>
    <t>22-Feb-2021</t>
  </si>
  <si>
    <t>22-Aug-2020</t>
  </si>
  <si>
    <t>27-Aug-2023</t>
  </si>
  <si>
    <t>12-Oct-2023</t>
  </si>
  <si>
    <t>21-May-2023</t>
  </si>
  <si>
    <t>27-Jul-2021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</si>
</sst>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yyyy\-mm\-dd\ hh:mm:ss"/>
    <numFmt numFmtId="165" formatCode="&quot;$&quot;#,##0.00"/>
  </numFmts>
  <fonts count="4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64" fontId="3" fillId="0" borderId="0" xfId="0" applyNumberFormat="1" applyFont="1"/>
    <xf numFmtId="44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9" fontId="1" fillId="0" borderId="1" xfId="0" applyNumberFormat="1" applyFont="1" applyBorder="1" applyAlignment="1">
      <alignment horizontal="center" vertical="top"/>
    </xf>
    <xf numFmtId="9" fontId="1" fillId="0" borderId="2" xfId="0" applyNumberFormat="1" applyFont="1" applyBorder="1" applyAlignment="1">
      <alignment horizontal="center" vertical="top"/>
    </xf>
    <xf numFmtId="165" fontId="1" fillId="0" borderId="2" xfId="0" applyNumberFormat="1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44" fontId="3" fillId="0" borderId="0" xfId="0" applyNumberFormat="1" applyFont="1"/>
    <xf numFmtId="0" fontId="3" fillId="0" borderId="0" xfId="0" applyFont="1"/>
    <xf numFmtId="9" fontId="3" fillId="0" borderId="0" xfId="0" applyNumberFormat="1" applyFont="1"/>
    <xf numFmtId="165" fontId="3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0"/>
  <sheetViews>
    <sheetView tabSelected="1" workbookViewId="0"/>
  </sheetViews>
  <sheetFormatPr defaultColWidth="14.41015625" defaultRowHeight="15" customHeight="1" x14ac:dyDescent="0.5"/>
  <cols>
    <col min="1" max="26" width="8.703125" customWidth="1"/>
  </cols>
  <sheetData>
    <row r="1" spans="1:12" ht="14.25" customHeight="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4.25" customHeight="1" x14ac:dyDescent="0.5">
      <c r="A2" s="2" t="s">
        <v>12</v>
      </c>
      <c r="B2" s="2" t="s">
        <v>13</v>
      </c>
      <c r="C2" s="2" t="s">
        <v>14</v>
      </c>
      <c r="D2" s="2" t="s">
        <v>15</v>
      </c>
      <c r="E2" s="3">
        <v>45082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</row>
    <row r="3" spans="1:12" ht="14.25" customHeight="1" x14ac:dyDescent="0.5">
      <c r="A3" s="2" t="s">
        <v>23</v>
      </c>
      <c r="B3" s="2" t="s">
        <v>24</v>
      </c>
      <c r="C3" s="2" t="s">
        <v>25</v>
      </c>
      <c r="D3" s="2" t="s">
        <v>15</v>
      </c>
      <c r="E3" s="3">
        <v>44426</v>
      </c>
      <c r="F3" s="2" t="s">
        <v>26</v>
      </c>
      <c r="G3" s="2" t="s">
        <v>17</v>
      </c>
      <c r="H3" s="2" t="s">
        <v>27</v>
      </c>
      <c r="I3" s="2" t="s">
        <v>28</v>
      </c>
      <c r="J3" s="2" t="s">
        <v>29</v>
      </c>
      <c r="K3" s="2" t="s">
        <v>21</v>
      </c>
      <c r="L3" s="2" t="s">
        <v>30</v>
      </c>
    </row>
    <row r="4" spans="1:12" ht="14.25" customHeight="1" x14ac:dyDescent="0.5">
      <c r="A4" s="2" t="s">
        <v>31</v>
      </c>
      <c r="B4" s="2" t="s">
        <v>32</v>
      </c>
      <c r="C4" s="2" t="s">
        <v>33</v>
      </c>
      <c r="D4" s="2" t="s">
        <v>34</v>
      </c>
      <c r="E4" s="3">
        <v>44080</v>
      </c>
      <c r="F4" s="2" t="s">
        <v>35</v>
      </c>
      <c r="G4" s="2" t="s">
        <v>36</v>
      </c>
      <c r="H4" s="2" t="s">
        <v>18</v>
      </c>
      <c r="J4" s="2" t="s">
        <v>37</v>
      </c>
      <c r="K4" s="2" t="s">
        <v>38</v>
      </c>
      <c r="L4" s="2" t="s">
        <v>39</v>
      </c>
    </row>
    <row r="5" spans="1:12" ht="14.25" customHeight="1" x14ac:dyDescent="0.5">
      <c r="A5" s="2" t="s">
        <v>40</v>
      </c>
      <c r="B5" s="2" t="s">
        <v>41</v>
      </c>
      <c r="C5" s="2" t="s">
        <v>33</v>
      </c>
      <c r="D5" s="2" t="s">
        <v>42</v>
      </c>
      <c r="E5" s="3">
        <v>44705</v>
      </c>
      <c r="F5" s="2" t="s">
        <v>43</v>
      </c>
      <c r="G5" s="2" t="s">
        <v>44</v>
      </c>
      <c r="H5" s="2" t="s">
        <v>45</v>
      </c>
      <c r="I5" s="2" t="s">
        <v>28</v>
      </c>
      <c r="J5" s="2" t="s">
        <v>46</v>
      </c>
      <c r="K5" s="2" t="s">
        <v>47</v>
      </c>
      <c r="L5" s="2" t="s">
        <v>22</v>
      </c>
    </row>
    <row r="6" spans="1:12" ht="14.25" customHeight="1" x14ac:dyDescent="0.5">
      <c r="A6" s="2" t="s">
        <v>48</v>
      </c>
      <c r="B6" s="2" t="s">
        <v>24</v>
      </c>
      <c r="C6" s="2" t="s">
        <v>49</v>
      </c>
      <c r="D6" s="2" t="s">
        <v>50</v>
      </c>
      <c r="E6" s="3">
        <v>45295</v>
      </c>
      <c r="F6" s="2" t="s">
        <v>51</v>
      </c>
      <c r="G6" s="2" t="s">
        <v>36</v>
      </c>
      <c r="H6" s="2" t="s">
        <v>18</v>
      </c>
      <c r="I6" s="2" t="s">
        <v>28</v>
      </c>
      <c r="J6" s="2" t="s">
        <v>52</v>
      </c>
      <c r="K6" s="2" t="s">
        <v>53</v>
      </c>
      <c r="L6" s="2" t="s">
        <v>39</v>
      </c>
    </row>
    <row r="7" spans="1:12" ht="14.25" customHeight="1" x14ac:dyDescent="0.5">
      <c r="A7" s="2" t="s">
        <v>54</v>
      </c>
      <c r="B7" s="2" t="s">
        <v>55</v>
      </c>
      <c r="C7" s="2" t="s">
        <v>25</v>
      </c>
      <c r="D7" s="2" t="s">
        <v>34</v>
      </c>
      <c r="E7" s="3">
        <v>44026</v>
      </c>
      <c r="F7" s="2" t="s">
        <v>56</v>
      </c>
      <c r="G7" s="2" t="s">
        <v>57</v>
      </c>
      <c r="H7" s="2" t="s">
        <v>58</v>
      </c>
      <c r="I7" s="2" t="s">
        <v>19</v>
      </c>
      <c r="J7" s="2" t="s">
        <v>59</v>
      </c>
      <c r="K7" s="2" t="s">
        <v>60</v>
      </c>
      <c r="L7" s="2" t="s">
        <v>30</v>
      </c>
    </row>
    <row r="8" spans="1:12" ht="14.25" customHeight="1" x14ac:dyDescent="0.5">
      <c r="A8" s="2" t="s">
        <v>61</v>
      </c>
      <c r="B8" s="2" t="s">
        <v>62</v>
      </c>
      <c r="C8" s="2" t="s">
        <v>49</v>
      </c>
      <c r="D8" s="2" t="s">
        <v>42</v>
      </c>
      <c r="E8" s="3">
        <v>44520</v>
      </c>
      <c r="F8" s="2" t="s">
        <v>63</v>
      </c>
      <c r="G8" s="2" t="s">
        <v>36</v>
      </c>
      <c r="H8" s="2" t="s">
        <v>64</v>
      </c>
      <c r="I8" s="2" t="s">
        <v>65</v>
      </c>
      <c r="J8" s="2" t="s">
        <v>66</v>
      </c>
      <c r="K8" s="2" t="s">
        <v>53</v>
      </c>
      <c r="L8" s="2" t="s">
        <v>30</v>
      </c>
    </row>
    <row r="9" spans="1:12" ht="14.25" customHeight="1" x14ac:dyDescent="0.5">
      <c r="A9" s="2" t="s">
        <v>67</v>
      </c>
      <c r="B9" s="2" t="s">
        <v>68</v>
      </c>
      <c r="C9" s="2" t="s">
        <v>25</v>
      </c>
      <c r="D9" s="2" t="s">
        <v>69</v>
      </c>
      <c r="E9" s="3">
        <v>44924</v>
      </c>
      <c r="F9" s="2" t="s">
        <v>70</v>
      </c>
      <c r="G9" s="2" t="s">
        <v>44</v>
      </c>
      <c r="H9" s="2" t="s">
        <v>27</v>
      </c>
      <c r="I9" s="2" t="s">
        <v>65</v>
      </c>
      <c r="J9" s="2" t="s">
        <v>71</v>
      </c>
      <c r="K9" s="2" t="s">
        <v>53</v>
      </c>
      <c r="L9" s="2" t="s">
        <v>30</v>
      </c>
    </row>
    <row r="10" spans="1:12" ht="14.25" customHeight="1" x14ac:dyDescent="0.5">
      <c r="A10" s="2" t="s">
        <v>72</v>
      </c>
      <c r="B10" s="2" t="s">
        <v>73</v>
      </c>
      <c r="C10" s="2" t="s">
        <v>74</v>
      </c>
      <c r="D10" s="2" t="s">
        <v>75</v>
      </c>
      <c r="E10" s="3">
        <v>44469</v>
      </c>
      <c r="F10" s="2" t="s">
        <v>76</v>
      </c>
      <c r="G10" s="2" t="s">
        <v>57</v>
      </c>
      <c r="H10" s="2" t="s">
        <v>18</v>
      </c>
      <c r="I10" s="2" t="s">
        <v>77</v>
      </c>
      <c r="J10" s="2" t="s">
        <v>78</v>
      </c>
      <c r="K10" s="2" t="s">
        <v>79</v>
      </c>
      <c r="L10" s="2" t="s">
        <v>39</v>
      </c>
    </row>
    <row r="11" spans="1:12" ht="14.25" customHeight="1" x14ac:dyDescent="0.5">
      <c r="A11" s="2" t="s">
        <v>80</v>
      </c>
      <c r="B11" s="2" t="s">
        <v>81</v>
      </c>
      <c r="C11" s="2" t="s">
        <v>14</v>
      </c>
      <c r="D11" s="2" t="s">
        <v>34</v>
      </c>
      <c r="E11" s="3">
        <v>45253</v>
      </c>
      <c r="F11" s="2" t="s">
        <v>82</v>
      </c>
      <c r="G11" s="2" t="s">
        <v>83</v>
      </c>
      <c r="H11" s="2" t="s">
        <v>45</v>
      </c>
      <c r="I11" s="2" t="s">
        <v>65</v>
      </c>
      <c r="J11" s="2" t="s">
        <v>84</v>
      </c>
      <c r="K11" s="2" t="s">
        <v>53</v>
      </c>
      <c r="L11" s="2" t="s">
        <v>85</v>
      </c>
    </row>
    <row r="12" spans="1:12" ht="14.25" customHeight="1" x14ac:dyDescent="0.5">
      <c r="A12" s="2" t="s">
        <v>86</v>
      </c>
      <c r="B12" s="2" t="s">
        <v>87</v>
      </c>
      <c r="C12" s="2" t="s">
        <v>74</v>
      </c>
      <c r="D12" s="2" t="s">
        <v>34</v>
      </c>
      <c r="E12" s="3">
        <v>44502</v>
      </c>
      <c r="F12" s="2" t="s">
        <v>88</v>
      </c>
      <c r="G12" s="2" t="s">
        <v>83</v>
      </c>
      <c r="H12" s="2" t="s">
        <v>89</v>
      </c>
      <c r="I12" s="2" t="s">
        <v>28</v>
      </c>
      <c r="J12" s="2" t="s">
        <v>90</v>
      </c>
      <c r="K12" s="2" t="s">
        <v>21</v>
      </c>
      <c r="L12" s="2" t="s">
        <v>39</v>
      </c>
    </row>
    <row r="13" spans="1:12" ht="14.25" customHeight="1" x14ac:dyDescent="0.5">
      <c r="A13" s="2" t="s">
        <v>91</v>
      </c>
      <c r="B13" s="2" t="s">
        <v>92</v>
      </c>
      <c r="C13" s="2" t="s">
        <v>93</v>
      </c>
      <c r="D13" s="2" t="s">
        <v>50</v>
      </c>
      <c r="E13" s="3">
        <v>45057</v>
      </c>
      <c r="F13" s="2" t="s">
        <v>94</v>
      </c>
      <c r="G13" s="2" t="s">
        <v>44</v>
      </c>
      <c r="H13" s="2" t="s">
        <v>64</v>
      </c>
      <c r="I13" s="2" t="s">
        <v>77</v>
      </c>
      <c r="J13" s="2" t="s">
        <v>95</v>
      </c>
      <c r="K13" s="2" t="s">
        <v>96</v>
      </c>
      <c r="L13" s="2" t="s">
        <v>85</v>
      </c>
    </row>
    <row r="14" spans="1:12" ht="14.25" customHeight="1" x14ac:dyDescent="0.5">
      <c r="A14" s="2" t="s">
        <v>97</v>
      </c>
      <c r="B14" s="2" t="s">
        <v>98</v>
      </c>
      <c r="C14" s="2" t="s">
        <v>99</v>
      </c>
      <c r="D14" s="2" t="s">
        <v>100</v>
      </c>
      <c r="E14" s="3">
        <v>45002</v>
      </c>
      <c r="F14" s="2" t="s">
        <v>101</v>
      </c>
      <c r="G14" s="2" t="s">
        <v>36</v>
      </c>
      <c r="H14" s="2" t="s">
        <v>27</v>
      </c>
      <c r="I14" s="2" t="s">
        <v>19</v>
      </c>
      <c r="J14" s="2" t="s">
        <v>102</v>
      </c>
      <c r="K14" s="2" t="s">
        <v>47</v>
      </c>
      <c r="L14" s="2" t="s">
        <v>30</v>
      </c>
    </row>
    <row r="15" spans="1:12" ht="14.25" customHeight="1" x14ac:dyDescent="0.5">
      <c r="A15" s="2" t="s">
        <v>103</v>
      </c>
      <c r="B15" s="2" t="s">
        <v>104</v>
      </c>
      <c r="C15" s="2" t="s">
        <v>105</v>
      </c>
      <c r="D15" s="2" t="s">
        <v>69</v>
      </c>
      <c r="E15" s="3">
        <v>45326</v>
      </c>
      <c r="F15" s="2" t="s">
        <v>106</v>
      </c>
      <c r="G15" s="2" t="s">
        <v>17</v>
      </c>
      <c r="H15" s="2" t="s">
        <v>45</v>
      </c>
      <c r="I15" s="2" t="s">
        <v>107</v>
      </c>
      <c r="J15" s="2" t="s">
        <v>108</v>
      </c>
      <c r="K15" s="2" t="s">
        <v>60</v>
      </c>
      <c r="L15" s="2" t="s">
        <v>22</v>
      </c>
    </row>
    <row r="16" spans="1:12" ht="14.25" customHeight="1" x14ac:dyDescent="0.5">
      <c r="A16" s="2" t="s">
        <v>109</v>
      </c>
      <c r="B16" s="2" t="s">
        <v>110</v>
      </c>
      <c r="C16" s="2" t="s">
        <v>25</v>
      </c>
      <c r="D16" s="2" t="s">
        <v>50</v>
      </c>
      <c r="E16" s="3">
        <v>44774</v>
      </c>
      <c r="F16" s="2" t="s">
        <v>111</v>
      </c>
      <c r="G16" s="2" t="s">
        <v>44</v>
      </c>
      <c r="H16" s="2" t="s">
        <v>112</v>
      </c>
      <c r="I16" s="2" t="s">
        <v>28</v>
      </c>
      <c r="J16" s="2" t="s">
        <v>113</v>
      </c>
      <c r="K16" s="2" t="s">
        <v>79</v>
      </c>
      <c r="L16" s="2" t="s">
        <v>85</v>
      </c>
    </row>
    <row r="17" spans="1:12" ht="14.25" customHeight="1" x14ac:dyDescent="0.5">
      <c r="A17" s="2" t="s">
        <v>114</v>
      </c>
      <c r="B17" s="2" t="s">
        <v>115</v>
      </c>
      <c r="C17" s="2" t="s">
        <v>93</v>
      </c>
      <c r="D17" s="2" t="s">
        <v>42</v>
      </c>
      <c r="E17" s="3">
        <v>44029</v>
      </c>
      <c r="F17" s="2" t="s">
        <v>116</v>
      </c>
      <c r="G17" s="2" t="s">
        <v>57</v>
      </c>
      <c r="H17" s="2" t="s">
        <v>58</v>
      </c>
      <c r="I17" s="2" t="s">
        <v>28</v>
      </c>
      <c r="J17" s="2" t="s">
        <v>117</v>
      </c>
      <c r="K17" s="2" t="s">
        <v>53</v>
      </c>
      <c r="L17" s="2" t="s">
        <v>30</v>
      </c>
    </row>
    <row r="18" spans="1:12" ht="14.25" customHeight="1" x14ac:dyDescent="0.5">
      <c r="A18" s="2" t="s">
        <v>118</v>
      </c>
      <c r="B18" s="2" t="s">
        <v>119</v>
      </c>
      <c r="C18" s="2" t="s">
        <v>99</v>
      </c>
      <c r="D18" s="2" t="s">
        <v>42</v>
      </c>
      <c r="E18" s="3">
        <v>45280</v>
      </c>
      <c r="F18" s="2" t="s">
        <v>120</v>
      </c>
      <c r="G18" s="2" t="s">
        <v>57</v>
      </c>
      <c r="H18" s="2" t="s">
        <v>121</v>
      </c>
      <c r="I18" s="2" t="s">
        <v>77</v>
      </c>
      <c r="J18" s="2" t="s">
        <v>122</v>
      </c>
      <c r="K18" s="2" t="s">
        <v>96</v>
      </c>
      <c r="L18" s="2" t="s">
        <v>30</v>
      </c>
    </row>
    <row r="19" spans="1:12" ht="14.25" customHeight="1" x14ac:dyDescent="0.5">
      <c r="A19" s="2" t="s">
        <v>123</v>
      </c>
      <c r="B19" s="2" t="s">
        <v>124</v>
      </c>
      <c r="C19" s="2" t="s">
        <v>125</v>
      </c>
      <c r="D19" s="2" t="s">
        <v>42</v>
      </c>
      <c r="E19" s="3">
        <v>44322</v>
      </c>
      <c r="F19" s="2" t="s">
        <v>126</v>
      </c>
      <c r="G19" s="2" t="s">
        <v>83</v>
      </c>
      <c r="H19" s="2" t="s">
        <v>112</v>
      </c>
      <c r="I19" s="2" t="s">
        <v>19</v>
      </c>
      <c r="J19" s="2" t="s">
        <v>127</v>
      </c>
      <c r="K19" s="2" t="s">
        <v>47</v>
      </c>
      <c r="L19" s="2" t="s">
        <v>85</v>
      </c>
    </row>
    <row r="20" spans="1:12" ht="14.25" customHeight="1" x14ac:dyDescent="0.5">
      <c r="A20" s="2" t="s">
        <v>128</v>
      </c>
      <c r="B20" s="2" t="s">
        <v>129</v>
      </c>
      <c r="C20" s="2" t="s">
        <v>14</v>
      </c>
      <c r="D20" s="2" t="s">
        <v>42</v>
      </c>
      <c r="E20" s="3">
        <v>44726</v>
      </c>
      <c r="F20" s="2" t="s">
        <v>130</v>
      </c>
      <c r="G20" s="2" t="s">
        <v>57</v>
      </c>
      <c r="H20" s="2" t="s">
        <v>121</v>
      </c>
      <c r="J20" s="2" t="s">
        <v>131</v>
      </c>
      <c r="K20" s="2" t="s">
        <v>38</v>
      </c>
      <c r="L20" s="2" t="s">
        <v>22</v>
      </c>
    </row>
    <row r="21" spans="1:12" ht="14.25" customHeight="1" x14ac:dyDescent="0.5">
      <c r="A21" s="2" t="s">
        <v>132</v>
      </c>
      <c r="B21" s="2" t="s">
        <v>133</v>
      </c>
      <c r="C21" s="2" t="s">
        <v>49</v>
      </c>
      <c r="D21" s="2" t="s">
        <v>100</v>
      </c>
      <c r="E21" s="3">
        <v>43972</v>
      </c>
      <c r="F21" s="2" t="s">
        <v>134</v>
      </c>
      <c r="G21" s="2" t="s">
        <v>44</v>
      </c>
      <c r="H21" s="2" t="s">
        <v>58</v>
      </c>
      <c r="I21" s="2" t="s">
        <v>28</v>
      </c>
      <c r="J21" s="2" t="s">
        <v>135</v>
      </c>
      <c r="K21" s="2" t="s">
        <v>38</v>
      </c>
      <c r="L21" s="2" t="s">
        <v>30</v>
      </c>
    </row>
    <row r="22" spans="1:12" ht="14.25" customHeight="1" x14ac:dyDescent="0.5">
      <c r="A22" s="2" t="s">
        <v>136</v>
      </c>
      <c r="B22" s="2" t="s">
        <v>137</v>
      </c>
      <c r="C22" s="2" t="s">
        <v>49</v>
      </c>
      <c r="D22" s="2" t="s">
        <v>69</v>
      </c>
      <c r="E22" s="3">
        <v>45167</v>
      </c>
      <c r="F22" s="2" t="s">
        <v>138</v>
      </c>
      <c r="G22" s="2" t="s">
        <v>57</v>
      </c>
      <c r="H22" s="2" t="s">
        <v>18</v>
      </c>
      <c r="J22" s="2" t="s">
        <v>139</v>
      </c>
      <c r="K22" s="2" t="s">
        <v>38</v>
      </c>
      <c r="L22" s="2" t="s">
        <v>85</v>
      </c>
    </row>
    <row r="23" spans="1:12" ht="14.25" customHeight="1" x14ac:dyDescent="0.5">
      <c r="A23" s="2" t="s">
        <v>140</v>
      </c>
      <c r="B23" s="2" t="s">
        <v>141</v>
      </c>
      <c r="C23" s="2" t="s">
        <v>74</v>
      </c>
      <c r="D23" s="2" t="s">
        <v>15</v>
      </c>
      <c r="E23" s="3">
        <v>43995</v>
      </c>
      <c r="F23" s="2" t="s">
        <v>142</v>
      </c>
      <c r="G23" s="2" t="s">
        <v>44</v>
      </c>
      <c r="H23" s="2" t="s">
        <v>27</v>
      </c>
      <c r="J23" s="2" t="s">
        <v>143</v>
      </c>
      <c r="K23" s="2" t="s">
        <v>21</v>
      </c>
      <c r="L23" s="2" t="s">
        <v>22</v>
      </c>
    </row>
    <row r="24" spans="1:12" ht="14.25" customHeight="1" x14ac:dyDescent="0.5">
      <c r="A24" s="2" t="s">
        <v>144</v>
      </c>
      <c r="B24" s="2" t="s">
        <v>145</v>
      </c>
      <c r="C24" s="2" t="s">
        <v>33</v>
      </c>
      <c r="D24" s="2" t="s">
        <v>75</v>
      </c>
      <c r="E24" s="3">
        <v>44144</v>
      </c>
      <c r="F24" s="2" t="s">
        <v>146</v>
      </c>
      <c r="G24" s="2" t="s">
        <v>17</v>
      </c>
      <c r="H24" s="2" t="s">
        <v>18</v>
      </c>
      <c r="I24" s="2" t="s">
        <v>65</v>
      </c>
      <c r="J24" s="2" t="s">
        <v>147</v>
      </c>
      <c r="K24" s="2" t="s">
        <v>60</v>
      </c>
      <c r="L24" s="2" t="s">
        <v>22</v>
      </c>
    </row>
    <row r="25" spans="1:12" ht="14.25" customHeight="1" x14ac:dyDescent="0.5">
      <c r="A25" s="2" t="s">
        <v>148</v>
      </c>
      <c r="B25" s="2" t="s">
        <v>133</v>
      </c>
      <c r="C25" s="2" t="s">
        <v>99</v>
      </c>
      <c r="D25" s="2" t="s">
        <v>100</v>
      </c>
      <c r="E25" s="3">
        <v>43851</v>
      </c>
      <c r="F25" s="2" t="s">
        <v>149</v>
      </c>
      <c r="G25" s="2" t="s">
        <v>83</v>
      </c>
      <c r="H25" s="2" t="s">
        <v>58</v>
      </c>
      <c r="I25" s="2" t="s">
        <v>19</v>
      </c>
      <c r="J25" s="2" t="s">
        <v>150</v>
      </c>
      <c r="K25" s="2" t="s">
        <v>38</v>
      </c>
      <c r="L25" s="2" t="s">
        <v>30</v>
      </c>
    </row>
    <row r="26" spans="1:12" ht="14.25" customHeight="1" x14ac:dyDescent="0.5">
      <c r="A26" s="2" t="s">
        <v>151</v>
      </c>
      <c r="B26" s="2" t="s">
        <v>152</v>
      </c>
      <c r="C26" s="2" t="s">
        <v>125</v>
      </c>
      <c r="D26" s="2" t="s">
        <v>100</v>
      </c>
      <c r="E26" s="3">
        <v>44936</v>
      </c>
      <c r="F26" s="2" t="s">
        <v>153</v>
      </c>
      <c r="G26" s="2" t="s">
        <v>57</v>
      </c>
      <c r="H26" s="2" t="s">
        <v>58</v>
      </c>
      <c r="J26" s="2" t="s">
        <v>154</v>
      </c>
      <c r="K26" s="2" t="s">
        <v>21</v>
      </c>
      <c r="L26" s="2" t="s">
        <v>39</v>
      </c>
    </row>
    <row r="27" spans="1:12" ht="14.25" customHeight="1" x14ac:dyDescent="0.5">
      <c r="A27" s="2" t="s">
        <v>155</v>
      </c>
      <c r="B27" s="2" t="s">
        <v>156</v>
      </c>
      <c r="C27" s="2" t="s">
        <v>93</v>
      </c>
      <c r="D27" s="2" t="s">
        <v>15</v>
      </c>
      <c r="E27" s="3">
        <v>44985</v>
      </c>
      <c r="F27" s="2" t="s">
        <v>157</v>
      </c>
      <c r="G27" s="2" t="s">
        <v>44</v>
      </c>
      <c r="H27" s="2" t="s">
        <v>58</v>
      </c>
      <c r="I27" s="2" t="s">
        <v>19</v>
      </c>
      <c r="J27" s="2" t="s">
        <v>158</v>
      </c>
      <c r="K27" s="2" t="s">
        <v>159</v>
      </c>
      <c r="L27" s="2" t="s">
        <v>39</v>
      </c>
    </row>
    <row r="28" spans="1:12" ht="14.25" customHeight="1" x14ac:dyDescent="0.5">
      <c r="A28" s="2" t="s">
        <v>160</v>
      </c>
      <c r="B28" s="2" t="s">
        <v>161</v>
      </c>
      <c r="C28" s="2" t="s">
        <v>14</v>
      </c>
      <c r="D28" s="2" t="s">
        <v>15</v>
      </c>
      <c r="E28" s="3">
        <v>44814</v>
      </c>
      <c r="F28" s="2" t="s">
        <v>162</v>
      </c>
      <c r="G28" s="2" t="s">
        <v>36</v>
      </c>
      <c r="H28" s="2" t="s">
        <v>121</v>
      </c>
      <c r="I28" s="2" t="s">
        <v>65</v>
      </c>
      <c r="J28" s="2" t="s">
        <v>163</v>
      </c>
      <c r="K28" s="2" t="s">
        <v>21</v>
      </c>
      <c r="L28" s="2" t="s">
        <v>30</v>
      </c>
    </row>
    <row r="29" spans="1:12" ht="14.25" customHeight="1" x14ac:dyDescent="0.5">
      <c r="A29" s="2" t="s">
        <v>164</v>
      </c>
      <c r="B29" s="2" t="s">
        <v>165</v>
      </c>
      <c r="C29" s="2" t="s">
        <v>99</v>
      </c>
      <c r="D29" s="2" t="s">
        <v>75</v>
      </c>
      <c r="E29" s="3">
        <v>44135</v>
      </c>
      <c r="F29" s="2" t="s">
        <v>166</v>
      </c>
      <c r="G29" s="2" t="s">
        <v>83</v>
      </c>
      <c r="H29" s="2" t="s">
        <v>64</v>
      </c>
      <c r="I29" s="2" t="s">
        <v>19</v>
      </c>
      <c r="J29" s="2" t="s">
        <v>167</v>
      </c>
      <c r="K29" s="2" t="s">
        <v>79</v>
      </c>
      <c r="L29" s="2" t="s">
        <v>22</v>
      </c>
    </row>
    <row r="30" spans="1:12" ht="14.25" customHeight="1" x14ac:dyDescent="0.5">
      <c r="A30" s="2" t="s">
        <v>168</v>
      </c>
      <c r="B30" s="2" t="s">
        <v>169</v>
      </c>
      <c r="C30" s="2" t="s">
        <v>125</v>
      </c>
      <c r="D30" s="2" t="s">
        <v>75</v>
      </c>
      <c r="E30" s="3">
        <v>44201</v>
      </c>
      <c r="F30" s="2" t="s">
        <v>170</v>
      </c>
      <c r="G30" s="2" t="s">
        <v>17</v>
      </c>
      <c r="H30" s="2" t="s">
        <v>45</v>
      </c>
      <c r="I30" s="2" t="s">
        <v>28</v>
      </c>
      <c r="J30" s="2" t="s">
        <v>171</v>
      </c>
      <c r="K30" s="2" t="s">
        <v>21</v>
      </c>
      <c r="L30" s="2" t="s">
        <v>30</v>
      </c>
    </row>
    <row r="31" spans="1:12" ht="14.25" customHeight="1" x14ac:dyDescent="0.5">
      <c r="A31" s="2" t="s">
        <v>172</v>
      </c>
      <c r="B31" s="2" t="s">
        <v>173</v>
      </c>
      <c r="C31" s="2" t="s">
        <v>105</v>
      </c>
      <c r="D31" s="2" t="s">
        <v>15</v>
      </c>
      <c r="E31" s="3">
        <v>44683</v>
      </c>
      <c r="F31" s="2" t="s">
        <v>174</v>
      </c>
      <c r="G31" s="2" t="s">
        <v>44</v>
      </c>
      <c r="H31" s="2" t="s">
        <v>27</v>
      </c>
      <c r="J31" s="2" t="s">
        <v>175</v>
      </c>
      <c r="K31" s="2" t="s">
        <v>60</v>
      </c>
      <c r="L31" s="2" t="s">
        <v>85</v>
      </c>
    </row>
    <row r="32" spans="1:12" ht="14.25" customHeight="1" x14ac:dyDescent="0.5">
      <c r="A32" s="2" t="s">
        <v>176</v>
      </c>
      <c r="B32" s="2" t="s">
        <v>177</v>
      </c>
      <c r="C32" s="2" t="s">
        <v>25</v>
      </c>
      <c r="D32" s="2" t="s">
        <v>42</v>
      </c>
      <c r="E32" s="3">
        <v>44214</v>
      </c>
      <c r="F32" s="2" t="s">
        <v>178</v>
      </c>
      <c r="G32" s="2" t="s">
        <v>17</v>
      </c>
      <c r="H32" s="2" t="s">
        <v>18</v>
      </c>
      <c r="I32" s="2" t="s">
        <v>19</v>
      </c>
      <c r="J32" s="2" t="s">
        <v>179</v>
      </c>
      <c r="K32" s="2" t="s">
        <v>96</v>
      </c>
      <c r="L32" s="2" t="s">
        <v>39</v>
      </c>
    </row>
    <row r="33" spans="1:12" ht="14.25" customHeight="1" x14ac:dyDescent="0.5">
      <c r="A33" s="2" t="s">
        <v>180</v>
      </c>
      <c r="B33" s="2" t="s">
        <v>181</v>
      </c>
      <c r="C33" s="2" t="s">
        <v>49</v>
      </c>
      <c r="D33" s="2" t="s">
        <v>100</v>
      </c>
      <c r="E33" s="3">
        <v>44275</v>
      </c>
      <c r="F33" s="2" t="s">
        <v>182</v>
      </c>
      <c r="G33" s="2" t="s">
        <v>17</v>
      </c>
      <c r="H33" s="2" t="s">
        <v>18</v>
      </c>
      <c r="I33" s="2" t="s">
        <v>107</v>
      </c>
      <c r="J33" s="2" t="s">
        <v>183</v>
      </c>
      <c r="K33" s="2" t="s">
        <v>53</v>
      </c>
      <c r="L33" s="2" t="s">
        <v>85</v>
      </c>
    </row>
    <row r="34" spans="1:12" ht="14.25" customHeight="1" x14ac:dyDescent="0.5">
      <c r="A34" s="2" t="s">
        <v>184</v>
      </c>
      <c r="B34" s="2" t="s">
        <v>181</v>
      </c>
      <c r="C34" s="2" t="s">
        <v>93</v>
      </c>
      <c r="D34" s="2" t="s">
        <v>50</v>
      </c>
      <c r="E34" s="3">
        <v>44255</v>
      </c>
      <c r="F34" s="2" t="s">
        <v>185</v>
      </c>
      <c r="G34" s="2" t="s">
        <v>57</v>
      </c>
      <c r="H34" s="2" t="s">
        <v>112</v>
      </c>
      <c r="I34" s="2" t="s">
        <v>19</v>
      </c>
      <c r="J34" s="2" t="s">
        <v>186</v>
      </c>
      <c r="K34" s="2" t="s">
        <v>21</v>
      </c>
      <c r="L34" s="2" t="s">
        <v>30</v>
      </c>
    </row>
    <row r="35" spans="1:12" ht="14.25" customHeight="1" x14ac:dyDescent="0.5">
      <c r="A35" s="2" t="s">
        <v>187</v>
      </c>
      <c r="B35" s="2" t="s">
        <v>55</v>
      </c>
      <c r="C35" s="2" t="s">
        <v>49</v>
      </c>
      <c r="D35" s="2" t="s">
        <v>75</v>
      </c>
      <c r="E35" s="3">
        <v>43991</v>
      </c>
      <c r="F35" s="2" t="s">
        <v>188</v>
      </c>
      <c r="G35" s="2" t="s">
        <v>57</v>
      </c>
      <c r="H35" s="2" t="s">
        <v>121</v>
      </c>
      <c r="J35" s="2" t="s">
        <v>189</v>
      </c>
      <c r="K35" s="2" t="s">
        <v>38</v>
      </c>
      <c r="L35" s="2" t="s">
        <v>30</v>
      </c>
    </row>
    <row r="36" spans="1:12" ht="14.25" customHeight="1" x14ac:dyDescent="0.5">
      <c r="A36" s="2" t="s">
        <v>190</v>
      </c>
      <c r="B36" s="2" t="s">
        <v>191</v>
      </c>
      <c r="C36" s="2" t="s">
        <v>93</v>
      </c>
      <c r="D36" s="2" t="s">
        <v>75</v>
      </c>
      <c r="E36" s="3">
        <v>45032</v>
      </c>
      <c r="F36" s="2" t="s">
        <v>192</v>
      </c>
      <c r="G36" s="2" t="s">
        <v>44</v>
      </c>
      <c r="H36" s="2" t="s">
        <v>58</v>
      </c>
      <c r="I36" s="2" t="s">
        <v>65</v>
      </c>
      <c r="J36" s="2" t="s">
        <v>193</v>
      </c>
      <c r="K36" s="2" t="s">
        <v>79</v>
      </c>
      <c r="L36" s="2" t="s">
        <v>22</v>
      </c>
    </row>
    <row r="37" spans="1:12" ht="14.25" customHeight="1" x14ac:dyDescent="0.5">
      <c r="A37" s="2" t="s">
        <v>194</v>
      </c>
      <c r="B37" s="2" t="s">
        <v>24</v>
      </c>
      <c r="C37" s="2" t="s">
        <v>74</v>
      </c>
      <c r="D37" s="2" t="s">
        <v>15</v>
      </c>
      <c r="E37" s="3">
        <v>44459</v>
      </c>
      <c r="F37" s="2" t="s">
        <v>195</v>
      </c>
      <c r="G37" s="2" t="s">
        <v>36</v>
      </c>
      <c r="H37" s="2" t="s">
        <v>89</v>
      </c>
      <c r="I37" s="2" t="s">
        <v>65</v>
      </c>
      <c r="J37" s="2" t="s">
        <v>196</v>
      </c>
      <c r="K37" s="2" t="s">
        <v>47</v>
      </c>
      <c r="L37" s="2" t="s">
        <v>22</v>
      </c>
    </row>
    <row r="38" spans="1:12" ht="14.25" customHeight="1" x14ac:dyDescent="0.5">
      <c r="A38" s="2" t="s">
        <v>197</v>
      </c>
      <c r="B38" s="2" t="s">
        <v>198</v>
      </c>
      <c r="C38" s="2" t="s">
        <v>33</v>
      </c>
      <c r="D38" s="2" t="s">
        <v>69</v>
      </c>
      <c r="E38" s="3">
        <v>44725</v>
      </c>
      <c r="F38" s="2" t="s">
        <v>199</v>
      </c>
      <c r="G38" s="2" t="s">
        <v>44</v>
      </c>
      <c r="H38" s="2" t="s">
        <v>58</v>
      </c>
      <c r="J38" s="2" t="s">
        <v>200</v>
      </c>
      <c r="K38" s="2" t="s">
        <v>38</v>
      </c>
      <c r="L38" s="2" t="s">
        <v>22</v>
      </c>
    </row>
    <row r="39" spans="1:12" ht="14.25" customHeight="1" x14ac:dyDescent="0.5">
      <c r="A39" s="2" t="s">
        <v>201</v>
      </c>
      <c r="B39" s="2" t="s">
        <v>202</v>
      </c>
      <c r="C39" s="2" t="s">
        <v>93</v>
      </c>
      <c r="D39" s="2" t="s">
        <v>50</v>
      </c>
      <c r="E39" s="3">
        <v>44320</v>
      </c>
      <c r="F39" s="2" t="s">
        <v>203</v>
      </c>
      <c r="G39" s="2" t="s">
        <v>36</v>
      </c>
      <c r="H39" s="2" t="s">
        <v>58</v>
      </c>
      <c r="I39" s="2" t="s">
        <v>28</v>
      </c>
      <c r="J39" s="2" t="s">
        <v>204</v>
      </c>
      <c r="K39" s="2" t="s">
        <v>79</v>
      </c>
      <c r="L39" s="2" t="s">
        <v>85</v>
      </c>
    </row>
    <row r="40" spans="1:12" ht="14.25" customHeight="1" x14ac:dyDescent="0.5">
      <c r="A40" s="2" t="s">
        <v>205</v>
      </c>
      <c r="B40" s="2" t="s">
        <v>206</v>
      </c>
      <c r="C40" s="2" t="s">
        <v>49</v>
      </c>
      <c r="D40" s="2" t="s">
        <v>50</v>
      </c>
      <c r="E40" s="3">
        <v>44847</v>
      </c>
      <c r="F40" s="2" t="s">
        <v>207</v>
      </c>
      <c r="G40" s="2" t="s">
        <v>17</v>
      </c>
      <c r="H40" s="2" t="s">
        <v>89</v>
      </c>
      <c r="I40" s="2" t="s">
        <v>28</v>
      </c>
      <c r="J40" s="2" t="s">
        <v>208</v>
      </c>
      <c r="K40" s="2" t="s">
        <v>159</v>
      </c>
      <c r="L40" s="2" t="s">
        <v>22</v>
      </c>
    </row>
    <row r="41" spans="1:12" ht="14.25" customHeight="1" x14ac:dyDescent="0.5">
      <c r="A41" s="2" t="s">
        <v>209</v>
      </c>
      <c r="B41" s="2" t="s">
        <v>210</v>
      </c>
      <c r="C41" s="2" t="s">
        <v>74</v>
      </c>
      <c r="D41" s="2" t="s">
        <v>75</v>
      </c>
      <c r="E41" s="3">
        <v>44157</v>
      </c>
      <c r="F41" s="2" t="s">
        <v>211</v>
      </c>
      <c r="G41" s="2" t="s">
        <v>83</v>
      </c>
      <c r="H41" s="2" t="s">
        <v>18</v>
      </c>
      <c r="I41" s="2" t="s">
        <v>65</v>
      </c>
      <c r="J41" s="2" t="s">
        <v>212</v>
      </c>
      <c r="K41" s="2" t="s">
        <v>53</v>
      </c>
      <c r="L41" s="2" t="s">
        <v>30</v>
      </c>
    </row>
    <row r="42" spans="1:12" ht="14.25" customHeight="1" x14ac:dyDescent="0.5">
      <c r="A42" s="2" t="s">
        <v>213</v>
      </c>
      <c r="B42" s="2" t="s">
        <v>191</v>
      </c>
      <c r="C42" s="2" t="s">
        <v>93</v>
      </c>
      <c r="D42" s="2" t="s">
        <v>42</v>
      </c>
      <c r="E42" s="3">
        <v>44428</v>
      </c>
      <c r="F42" s="2" t="s">
        <v>214</v>
      </c>
      <c r="G42" s="2" t="s">
        <v>44</v>
      </c>
      <c r="H42" s="2" t="s">
        <v>112</v>
      </c>
      <c r="I42" s="2" t="s">
        <v>65</v>
      </c>
      <c r="J42" s="2" t="s">
        <v>215</v>
      </c>
      <c r="K42" s="2" t="s">
        <v>47</v>
      </c>
      <c r="L42" s="2" t="s">
        <v>22</v>
      </c>
    </row>
    <row r="43" spans="1:12" ht="14.25" customHeight="1" x14ac:dyDescent="0.5">
      <c r="A43" s="2" t="s">
        <v>216</v>
      </c>
      <c r="B43" s="2" t="s">
        <v>217</v>
      </c>
      <c r="C43" s="2" t="s">
        <v>105</v>
      </c>
      <c r="D43" s="2" t="s">
        <v>69</v>
      </c>
      <c r="E43" s="3">
        <v>44845</v>
      </c>
      <c r="F43" s="2" t="s">
        <v>218</v>
      </c>
      <c r="G43" s="2" t="s">
        <v>44</v>
      </c>
      <c r="H43" s="2" t="s">
        <v>45</v>
      </c>
      <c r="J43" s="2" t="s">
        <v>219</v>
      </c>
      <c r="K43" s="2" t="s">
        <v>159</v>
      </c>
      <c r="L43" s="2" t="s">
        <v>39</v>
      </c>
    </row>
    <row r="44" spans="1:12" ht="14.25" customHeight="1" x14ac:dyDescent="0.5">
      <c r="A44" s="2" t="s">
        <v>220</v>
      </c>
      <c r="B44" s="2" t="s">
        <v>221</v>
      </c>
      <c r="C44" s="2" t="s">
        <v>33</v>
      </c>
      <c r="D44" s="2" t="s">
        <v>50</v>
      </c>
      <c r="E44" s="3">
        <v>44119</v>
      </c>
      <c r="F44" s="2" t="s">
        <v>222</v>
      </c>
      <c r="G44" s="2" t="s">
        <v>36</v>
      </c>
      <c r="H44" s="2" t="s">
        <v>89</v>
      </c>
      <c r="I44" s="2" t="s">
        <v>28</v>
      </c>
      <c r="J44" s="2" t="s">
        <v>223</v>
      </c>
      <c r="K44" s="2" t="s">
        <v>96</v>
      </c>
      <c r="L44" s="2" t="s">
        <v>22</v>
      </c>
    </row>
    <row r="45" spans="1:12" ht="14.25" customHeight="1" x14ac:dyDescent="0.5">
      <c r="A45" s="2" t="s">
        <v>224</v>
      </c>
      <c r="B45" s="2" t="s">
        <v>156</v>
      </c>
      <c r="C45" s="2" t="s">
        <v>93</v>
      </c>
      <c r="D45" s="2" t="s">
        <v>75</v>
      </c>
      <c r="E45" s="3">
        <v>44423</v>
      </c>
      <c r="F45" s="2" t="s">
        <v>225</v>
      </c>
      <c r="G45" s="2" t="s">
        <v>17</v>
      </c>
      <c r="H45" s="2" t="s">
        <v>121</v>
      </c>
      <c r="I45" s="2" t="s">
        <v>65</v>
      </c>
      <c r="J45" s="2" t="s">
        <v>226</v>
      </c>
      <c r="K45" s="2" t="s">
        <v>79</v>
      </c>
      <c r="L45" s="2" t="s">
        <v>85</v>
      </c>
    </row>
    <row r="46" spans="1:12" ht="14.25" customHeight="1" x14ac:dyDescent="0.5">
      <c r="A46" s="2" t="s">
        <v>227</v>
      </c>
      <c r="B46" s="2" t="s">
        <v>62</v>
      </c>
      <c r="C46" s="2" t="s">
        <v>74</v>
      </c>
      <c r="D46" s="2" t="s">
        <v>50</v>
      </c>
      <c r="E46" s="3">
        <v>44403</v>
      </c>
      <c r="F46" s="2" t="s">
        <v>228</v>
      </c>
      <c r="G46" s="2" t="s">
        <v>17</v>
      </c>
      <c r="H46" s="2" t="s">
        <v>64</v>
      </c>
      <c r="I46" s="2" t="s">
        <v>28</v>
      </c>
      <c r="J46" s="2" t="s">
        <v>229</v>
      </c>
      <c r="K46" s="2" t="s">
        <v>159</v>
      </c>
      <c r="L46" s="2" t="s">
        <v>39</v>
      </c>
    </row>
    <row r="47" spans="1:12" ht="14.25" customHeight="1" x14ac:dyDescent="0.5">
      <c r="A47" s="2" t="s">
        <v>230</v>
      </c>
      <c r="B47" s="2" t="s">
        <v>156</v>
      </c>
      <c r="C47" s="2" t="s">
        <v>99</v>
      </c>
      <c r="D47" s="2" t="s">
        <v>34</v>
      </c>
      <c r="E47" s="3">
        <v>45208</v>
      </c>
      <c r="F47" s="2" t="s">
        <v>231</v>
      </c>
      <c r="G47" s="2" t="s">
        <v>36</v>
      </c>
      <c r="H47" s="2" t="s">
        <v>27</v>
      </c>
      <c r="I47" s="2" t="s">
        <v>65</v>
      </c>
      <c r="J47" s="2" t="s">
        <v>232</v>
      </c>
      <c r="K47" s="2" t="s">
        <v>53</v>
      </c>
      <c r="L47" s="2" t="s">
        <v>39</v>
      </c>
    </row>
    <row r="48" spans="1:12" ht="14.25" customHeight="1" x14ac:dyDescent="0.5">
      <c r="A48" s="2" t="s">
        <v>233</v>
      </c>
      <c r="B48" s="2" t="s">
        <v>234</v>
      </c>
      <c r="C48" s="2" t="s">
        <v>235</v>
      </c>
      <c r="D48" s="2" t="s">
        <v>69</v>
      </c>
      <c r="E48" s="3">
        <v>43858</v>
      </c>
      <c r="F48" s="2" t="s">
        <v>236</v>
      </c>
      <c r="G48" s="2" t="s">
        <v>17</v>
      </c>
      <c r="H48" s="2" t="s">
        <v>121</v>
      </c>
      <c r="I48" s="2" t="s">
        <v>19</v>
      </c>
      <c r="J48" s="2" t="s">
        <v>237</v>
      </c>
      <c r="K48" s="2" t="s">
        <v>53</v>
      </c>
      <c r="L48" s="2" t="s">
        <v>39</v>
      </c>
    </row>
    <row r="49" spans="1:12" ht="14.25" customHeight="1" x14ac:dyDescent="0.5">
      <c r="A49" s="2" t="s">
        <v>238</v>
      </c>
      <c r="B49" s="2" t="s">
        <v>32</v>
      </c>
      <c r="C49" s="2" t="s">
        <v>125</v>
      </c>
      <c r="D49" s="2" t="s">
        <v>69</v>
      </c>
      <c r="E49" s="3">
        <v>44784</v>
      </c>
      <c r="F49" s="2" t="s">
        <v>239</v>
      </c>
      <c r="G49" s="2" t="s">
        <v>57</v>
      </c>
      <c r="H49" s="2" t="s">
        <v>89</v>
      </c>
      <c r="I49" s="2" t="s">
        <v>107</v>
      </c>
      <c r="J49" s="2" t="s">
        <v>240</v>
      </c>
      <c r="K49" s="2" t="s">
        <v>96</v>
      </c>
      <c r="L49" s="2" t="s">
        <v>85</v>
      </c>
    </row>
    <row r="50" spans="1:12" ht="14.25" customHeight="1" x14ac:dyDescent="0.5">
      <c r="A50" s="2" t="s">
        <v>241</v>
      </c>
      <c r="B50" s="2" t="s">
        <v>129</v>
      </c>
      <c r="C50" s="2" t="s">
        <v>235</v>
      </c>
      <c r="D50" s="2" t="s">
        <v>34</v>
      </c>
      <c r="E50" s="3">
        <v>43873</v>
      </c>
      <c r="F50" s="2" t="s">
        <v>242</v>
      </c>
      <c r="G50" s="2" t="s">
        <v>83</v>
      </c>
      <c r="H50" s="2" t="s">
        <v>45</v>
      </c>
      <c r="I50" s="2" t="s">
        <v>77</v>
      </c>
      <c r="J50" s="2" t="s">
        <v>243</v>
      </c>
      <c r="K50" s="2" t="s">
        <v>53</v>
      </c>
      <c r="L50" s="2" t="s">
        <v>30</v>
      </c>
    </row>
    <row r="51" spans="1:12" ht="14.25" customHeight="1" x14ac:dyDescent="0.5">
      <c r="A51" s="2" t="s">
        <v>244</v>
      </c>
      <c r="B51" s="2" t="s">
        <v>245</v>
      </c>
      <c r="C51" s="2" t="s">
        <v>235</v>
      </c>
      <c r="D51" s="2" t="s">
        <v>100</v>
      </c>
      <c r="E51" s="3">
        <v>44253</v>
      </c>
      <c r="F51" s="2" t="s">
        <v>246</v>
      </c>
      <c r="G51" s="2" t="s">
        <v>44</v>
      </c>
      <c r="H51" s="2" t="s">
        <v>18</v>
      </c>
      <c r="I51" s="2" t="s">
        <v>19</v>
      </c>
      <c r="J51" s="2" t="s">
        <v>247</v>
      </c>
      <c r="K51" s="2" t="s">
        <v>79</v>
      </c>
      <c r="L51" s="2" t="s">
        <v>22</v>
      </c>
    </row>
    <row r="52" spans="1:12" ht="14.25" customHeight="1" x14ac:dyDescent="0.5">
      <c r="A52" s="2" t="s">
        <v>248</v>
      </c>
      <c r="B52" s="2" t="s">
        <v>249</v>
      </c>
      <c r="C52" s="2" t="s">
        <v>14</v>
      </c>
      <c r="D52" s="2" t="s">
        <v>34</v>
      </c>
      <c r="E52" s="3">
        <v>44007</v>
      </c>
      <c r="F52" s="2" t="s">
        <v>250</v>
      </c>
      <c r="G52" s="2" t="s">
        <v>83</v>
      </c>
      <c r="H52" s="2" t="s">
        <v>64</v>
      </c>
      <c r="I52" s="2" t="s">
        <v>77</v>
      </c>
      <c r="J52" s="2" t="s">
        <v>251</v>
      </c>
      <c r="K52" s="2" t="s">
        <v>79</v>
      </c>
      <c r="L52" s="2" t="s">
        <v>39</v>
      </c>
    </row>
    <row r="53" spans="1:12" ht="14.25" customHeight="1" x14ac:dyDescent="0.5">
      <c r="A53" s="2" t="s">
        <v>252</v>
      </c>
      <c r="B53" s="2" t="s">
        <v>253</v>
      </c>
      <c r="C53" s="2" t="s">
        <v>105</v>
      </c>
      <c r="D53" s="2" t="s">
        <v>15</v>
      </c>
      <c r="E53" s="3">
        <v>44359</v>
      </c>
      <c r="F53" s="2" t="s">
        <v>254</v>
      </c>
      <c r="G53" s="2" t="s">
        <v>44</v>
      </c>
      <c r="H53" s="2" t="s">
        <v>64</v>
      </c>
      <c r="I53" s="2" t="s">
        <v>65</v>
      </c>
      <c r="J53" s="2" t="s">
        <v>255</v>
      </c>
      <c r="K53" s="2" t="s">
        <v>53</v>
      </c>
      <c r="L53" s="2" t="s">
        <v>39</v>
      </c>
    </row>
    <row r="54" spans="1:12" ht="14.25" customHeight="1" x14ac:dyDescent="0.5">
      <c r="A54" s="2" t="s">
        <v>256</v>
      </c>
      <c r="B54" s="2" t="s">
        <v>24</v>
      </c>
      <c r="C54" s="2" t="s">
        <v>99</v>
      </c>
      <c r="D54" s="2" t="s">
        <v>15</v>
      </c>
      <c r="E54" s="3">
        <v>44796</v>
      </c>
      <c r="F54" s="2" t="s">
        <v>257</v>
      </c>
      <c r="G54" s="2" t="s">
        <v>57</v>
      </c>
      <c r="H54" s="2" t="s">
        <v>64</v>
      </c>
      <c r="I54" s="2" t="s">
        <v>107</v>
      </c>
      <c r="J54" s="2" t="s">
        <v>258</v>
      </c>
      <c r="K54" s="2" t="s">
        <v>159</v>
      </c>
      <c r="L54" s="2" t="s">
        <v>39</v>
      </c>
    </row>
    <row r="55" spans="1:12" ht="14.25" customHeight="1" x14ac:dyDescent="0.5">
      <c r="A55" s="2" t="s">
        <v>259</v>
      </c>
      <c r="B55" s="2" t="s">
        <v>260</v>
      </c>
      <c r="C55" s="2" t="s">
        <v>25</v>
      </c>
      <c r="D55" s="2" t="s">
        <v>75</v>
      </c>
      <c r="E55" s="3">
        <v>44028</v>
      </c>
      <c r="F55" s="2" t="s">
        <v>261</v>
      </c>
      <c r="G55" s="2" t="s">
        <v>17</v>
      </c>
      <c r="H55" s="2" t="s">
        <v>58</v>
      </c>
      <c r="I55" s="2" t="s">
        <v>107</v>
      </c>
      <c r="J55" s="2" t="s">
        <v>262</v>
      </c>
      <c r="K55" s="2" t="s">
        <v>79</v>
      </c>
      <c r="L55" s="2" t="s">
        <v>30</v>
      </c>
    </row>
    <row r="56" spans="1:12" ht="14.25" customHeight="1" x14ac:dyDescent="0.5">
      <c r="A56" s="2" t="s">
        <v>263</v>
      </c>
      <c r="B56" s="2" t="s">
        <v>264</v>
      </c>
      <c r="C56" s="2" t="s">
        <v>93</v>
      </c>
      <c r="D56" s="2" t="s">
        <v>69</v>
      </c>
      <c r="E56" s="3">
        <v>44440</v>
      </c>
      <c r="F56" s="2" t="s">
        <v>265</v>
      </c>
      <c r="G56" s="2" t="s">
        <v>36</v>
      </c>
      <c r="H56" s="2" t="s">
        <v>27</v>
      </c>
      <c r="I56" s="2" t="s">
        <v>65</v>
      </c>
      <c r="J56" s="2" t="s">
        <v>266</v>
      </c>
      <c r="K56" s="2" t="s">
        <v>38</v>
      </c>
      <c r="L56" s="2" t="s">
        <v>30</v>
      </c>
    </row>
    <row r="57" spans="1:12" ht="14.25" customHeight="1" x14ac:dyDescent="0.5">
      <c r="A57" s="2" t="s">
        <v>267</v>
      </c>
      <c r="B57" s="2" t="s">
        <v>268</v>
      </c>
      <c r="C57" s="2" t="s">
        <v>125</v>
      </c>
      <c r="D57" s="2" t="s">
        <v>100</v>
      </c>
      <c r="E57" s="3">
        <v>44672</v>
      </c>
      <c r="F57" s="2" t="s">
        <v>269</v>
      </c>
      <c r="G57" s="2" t="s">
        <v>57</v>
      </c>
      <c r="H57" s="2" t="s">
        <v>18</v>
      </c>
      <c r="I57" s="2" t="s">
        <v>65</v>
      </c>
      <c r="J57" s="2" t="s">
        <v>270</v>
      </c>
      <c r="K57" s="2" t="s">
        <v>53</v>
      </c>
      <c r="L57" s="2" t="s">
        <v>85</v>
      </c>
    </row>
    <row r="58" spans="1:12" ht="14.25" customHeight="1" x14ac:dyDescent="0.5">
      <c r="A58" s="2" t="s">
        <v>271</v>
      </c>
      <c r="B58" s="2" t="s">
        <v>119</v>
      </c>
      <c r="C58" s="2" t="s">
        <v>33</v>
      </c>
      <c r="D58" s="2" t="s">
        <v>100</v>
      </c>
      <c r="E58" s="3">
        <v>44683</v>
      </c>
      <c r="F58" s="2" t="s">
        <v>272</v>
      </c>
      <c r="G58" s="2" t="s">
        <v>83</v>
      </c>
      <c r="H58" s="2" t="s">
        <v>18</v>
      </c>
      <c r="I58" s="2" t="s">
        <v>28</v>
      </c>
      <c r="J58" s="2" t="s">
        <v>273</v>
      </c>
      <c r="K58" s="2" t="s">
        <v>79</v>
      </c>
      <c r="L58" s="2" t="s">
        <v>30</v>
      </c>
    </row>
    <row r="59" spans="1:12" ht="14.25" customHeight="1" x14ac:dyDescent="0.5">
      <c r="A59" s="2" t="s">
        <v>274</v>
      </c>
      <c r="B59" s="2" t="s">
        <v>275</v>
      </c>
      <c r="C59" s="2" t="s">
        <v>99</v>
      </c>
      <c r="D59" s="2" t="s">
        <v>50</v>
      </c>
      <c r="E59" s="3">
        <v>43852</v>
      </c>
      <c r="F59" s="2" t="s">
        <v>276</v>
      </c>
      <c r="G59" s="2" t="s">
        <v>36</v>
      </c>
      <c r="H59" s="2" t="s">
        <v>64</v>
      </c>
      <c r="I59" s="2" t="s">
        <v>65</v>
      </c>
      <c r="J59" s="2" t="s">
        <v>277</v>
      </c>
      <c r="K59" s="2" t="s">
        <v>60</v>
      </c>
      <c r="L59" s="2" t="s">
        <v>22</v>
      </c>
    </row>
    <row r="60" spans="1:12" ht="14.25" customHeight="1" x14ac:dyDescent="0.5">
      <c r="A60" s="2" t="s">
        <v>278</v>
      </c>
      <c r="B60" s="2" t="s">
        <v>279</v>
      </c>
      <c r="C60" s="2" t="s">
        <v>49</v>
      </c>
      <c r="D60" s="2" t="s">
        <v>50</v>
      </c>
      <c r="E60" s="3">
        <v>44966</v>
      </c>
      <c r="F60" s="2" t="s">
        <v>280</v>
      </c>
      <c r="G60" s="2" t="s">
        <v>17</v>
      </c>
      <c r="H60" s="2" t="s">
        <v>18</v>
      </c>
      <c r="J60" s="2" t="s">
        <v>281</v>
      </c>
      <c r="K60" s="2" t="s">
        <v>96</v>
      </c>
      <c r="L60" s="2" t="s">
        <v>85</v>
      </c>
    </row>
    <row r="61" spans="1:12" ht="14.25" customHeight="1" x14ac:dyDescent="0.5">
      <c r="A61" s="2" t="s">
        <v>282</v>
      </c>
      <c r="B61" s="2" t="s">
        <v>191</v>
      </c>
      <c r="C61" s="2" t="s">
        <v>25</v>
      </c>
      <c r="D61" s="2" t="s">
        <v>34</v>
      </c>
      <c r="E61" s="3">
        <v>44911</v>
      </c>
      <c r="F61" s="2" t="s">
        <v>283</v>
      </c>
      <c r="G61" s="2" t="s">
        <v>57</v>
      </c>
      <c r="H61" s="2" t="s">
        <v>27</v>
      </c>
      <c r="I61" s="2" t="s">
        <v>65</v>
      </c>
      <c r="J61" s="2" t="s">
        <v>284</v>
      </c>
      <c r="K61" s="2" t="s">
        <v>53</v>
      </c>
      <c r="L61" s="2" t="s">
        <v>85</v>
      </c>
    </row>
    <row r="62" spans="1:12" ht="14.25" customHeight="1" x14ac:dyDescent="0.5">
      <c r="A62" s="2" t="s">
        <v>285</v>
      </c>
      <c r="B62" s="2" t="s">
        <v>286</v>
      </c>
      <c r="C62" s="2" t="s">
        <v>14</v>
      </c>
      <c r="D62" s="2" t="s">
        <v>100</v>
      </c>
      <c r="E62" s="3">
        <v>44920</v>
      </c>
      <c r="F62" s="2" t="s">
        <v>287</v>
      </c>
      <c r="G62" s="2" t="s">
        <v>36</v>
      </c>
      <c r="H62" s="2" t="s">
        <v>27</v>
      </c>
      <c r="J62" s="2" t="s">
        <v>288</v>
      </c>
      <c r="K62" s="2" t="s">
        <v>79</v>
      </c>
      <c r="L62" s="2" t="s">
        <v>22</v>
      </c>
    </row>
    <row r="63" spans="1:12" ht="14.25" customHeight="1" x14ac:dyDescent="0.5">
      <c r="A63" s="2" t="s">
        <v>289</v>
      </c>
      <c r="B63" s="2" t="s">
        <v>41</v>
      </c>
      <c r="C63" s="2" t="s">
        <v>14</v>
      </c>
      <c r="D63" s="2" t="s">
        <v>34</v>
      </c>
      <c r="E63" s="3">
        <v>44672</v>
      </c>
      <c r="F63" s="2" t="s">
        <v>290</v>
      </c>
      <c r="G63" s="2" t="s">
        <v>57</v>
      </c>
      <c r="H63" s="2" t="s">
        <v>112</v>
      </c>
      <c r="I63" s="2" t="s">
        <v>65</v>
      </c>
      <c r="J63" s="2" t="s">
        <v>291</v>
      </c>
      <c r="K63" s="2" t="s">
        <v>60</v>
      </c>
      <c r="L63" s="2" t="s">
        <v>22</v>
      </c>
    </row>
    <row r="64" spans="1:12" ht="14.25" customHeight="1" x14ac:dyDescent="0.5">
      <c r="A64" s="2" t="s">
        <v>292</v>
      </c>
      <c r="B64" s="2" t="s">
        <v>293</v>
      </c>
      <c r="C64" s="2" t="s">
        <v>99</v>
      </c>
      <c r="D64" s="2" t="s">
        <v>34</v>
      </c>
      <c r="E64" s="3">
        <v>43928</v>
      </c>
      <c r="F64" s="2" t="s">
        <v>294</v>
      </c>
      <c r="G64" s="2" t="s">
        <v>57</v>
      </c>
      <c r="H64" s="2" t="s">
        <v>89</v>
      </c>
      <c r="I64" s="2" t="s">
        <v>28</v>
      </c>
      <c r="J64" s="2" t="s">
        <v>295</v>
      </c>
      <c r="K64" s="2" t="s">
        <v>79</v>
      </c>
      <c r="L64" s="2" t="s">
        <v>22</v>
      </c>
    </row>
    <row r="65" spans="1:12" ht="14.25" customHeight="1" x14ac:dyDescent="0.5">
      <c r="A65" s="2" t="s">
        <v>296</v>
      </c>
      <c r="B65" s="2" t="s">
        <v>297</v>
      </c>
      <c r="C65" s="2" t="s">
        <v>74</v>
      </c>
      <c r="D65" s="2" t="s">
        <v>50</v>
      </c>
      <c r="E65" s="3">
        <v>44998</v>
      </c>
      <c r="F65" s="2" t="s">
        <v>298</v>
      </c>
      <c r="G65" s="2" t="s">
        <v>17</v>
      </c>
      <c r="H65" s="2" t="s">
        <v>89</v>
      </c>
      <c r="J65" s="2" t="s">
        <v>299</v>
      </c>
      <c r="K65" s="2" t="s">
        <v>79</v>
      </c>
      <c r="L65" s="2" t="s">
        <v>85</v>
      </c>
    </row>
    <row r="66" spans="1:12" ht="14.25" customHeight="1" x14ac:dyDescent="0.5">
      <c r="A66" s="2" t="s">
        <v>300</v>
      </c>
      <c r="B66" s="2" t="s">
        <v>253</v>
      </c>
      <c r="C66" s="2" t="s">
        <v>235</v>
      </c>
      <c r="D66" s="2" t="s">
        <v>69</v>
      </c>
      <c r="E66" s="3">
        <v>44265</v>
      </c>
      <c r="F66" s="2" t="s">
        <v>301</v>
      </c>
      <c r="G66" s="2" t="s">
        <v>44</v>
      </c>
      <c r="H66" s="2" t="s">
        <v>112</v>
      </c>
      <c r="I66" s="2" t="s">
        <v>19</v>
      </c>
      <c r="J66" s="2" t="s">
        <v>302</v>
      </c>
      <c r="K66" s="2" t="s">
        <v>159</v>
      </c>
      <c r="L66" s="2" t="s">
        <v>85</v>
      </c>
    </row>
    <row r="67" spans="1:12" ht="14.25" customHeight="1" x14ac:dyDescent="0.5">
      <c r="A67" s="2" t="s">
        <v>303</v>
      </c>
      <c r="B67" s="2" t="s">
        <v>304</v>
      </c>
      <c r="C67" s="2" t="s">
        <v>49</v>
      </c>
      <c r="D67" s="2" t="s">
        <v>34</v>
      </c>
      <c r="E67" s="3">
        <v>44467</v>
      </c>
      <c r="F67" s="2" t="s">
        <v>305</v>
      </c>
      <c r="G67" s="2" t="s">
        <v>36</v>
      </c>
      <c r="H67" s="2" t="s">
        <v>45</v>
      </c>
      <c r="J67" s="2" t="s">
        <v>306</v>
      </c>
      <c r="K67" s="2" t="s">
        <v>38</v>
      </c>
      <c r="L67" s="2" t="s">
        <v>85</v>
      </c>
    </row>
    <row r="68" spans="1:12" ht="14.25" customHeight="1" x14ac:dyDescent="0.5">
      <c r="A68" s="2" t="s">
        <v>307</v>
      </c>
      <c r="B68" s="2" t="s">
        <v>308</v>
      </c>
      <c r="C68" s="2" t="s">
        <v>14</v>
      </c>
      <c r="D68" s="2" t="s">
        <v>42</v>
      </c>
      <c r="E68" s="3">
        <v>44940</v>
      </c>
      <c r="F68" s="2" t="s">
        <v>309</v>
      </c>
      <c r="G68" s="2" t="s">
        <v>17</v>
      </c>
      <c r="H68" s="2" t="s">
        <v>89</v>
      </c>
      <c r="I68" s="2" t="s">
        <v>28</v>
      </c>
      <c r="J68" s="2" t="s">
        <v>310</v>
      </c>
      <c r="K68" s="2" t="s">
        <v>53</v>
      </c>
      <c r="L68" s="2" t="s">
        <v>22</v>
      </c>
    </row>
    <row r="69" spans="1:12" ht="14.25" customHeight="1" x14ac:dyDescent="0.5">
      <c r="A69" s="2" t="s">
        <v>311</v>
      </c>
      <c r="B69" s="2" t="s">
        <v>181</v>
      </c>
      <c r="C69" s="2" t="s">
        <v>125</v>
      </c>
      <c r="D69" s="2" t="s">
        <v>69</v>
      </c>
      <c r="E69" s="3">
        <v>44418</v>
      </c>
      <c r="F69" s="2" t="s">
        <v>312</v>
      </c>
      <c r="G69" s="2" t="s">
        <v>57</v>
      </c>
      <c r="H69" s="2" t="s">
        <v>27</v>
      </c>
      <c r="I69" s="2" t="s">
        <v>77</v>
      </c>
      <c r="J69" s="2" t="s">
        <v>313</v>
      </c>
      <c r="K69" s="2" t="s">
        <v>96</v>
      </c>
      <c r="L69" s="2" t="s">
        <v>22</v>
      </c>
    </row>
    <row r="70" spans="1:12" ht="14.25" customHeight="1" x14ac:dyDescent="0.5">
      <c r="A70" s="2" t="s">
        <v>314</v>
      </c>
      <c r="B70" s="2" t="s">
        <v>315</v>
      </c>
      <c r="C70" s="2" t="s">
        <v>14</v>
      </c>
      <c r="D70" s="2" t="s">
        <v>100</v>
      </c>
      <c r="E70" s="3">
        <v>44174</v>
      </c>
      <c r="F70" s="2" t="s">
        <v>316</v>
      </c>
      <c r="G70" s="2" t="s">
        <v>17</v>
      </c>
      <c r="H70" s="2" t="s">
        <v>27</v>
      </c>
      <c r="J70" s="2" t="s">
        <v>317</v>
      </c>
      <c r="K70" s="2" t="s">
        <v>53</v>
      </c>
      <c r="L70" s="2" t="s">
        <v>39</v>
      </c>
    </row>
    <row r="71" spans="1:12" ht="14.25" customHeight="1" x14ac:dyDescent="0.5">
      <c r="A71" s="2" t="s">
        <v>318</v>
      </c>
      <c r="B71" s="2" t="s">
        <v>319</v>
      </c>
      <c r="C71" s="2" t="s">
        <v>33</v>
      </c>
      <c r="D71" s="2" t="s">
        <v>100</v>
      </c>
      <c r="E71" s="3">
        <v>45148</v>
      </c>
      <c r="F71" s="2" t="s">
        <v>320</v>
      </c>
      <c r="G71" s="2" t="s">
        <v>44</v>
      </c>
      <c r="H71" s="2" t="s">
        <v>89</v>
      </c>
      <c r="I71" s="2" t="s">
        <v>65</v>
      </c>
      <c r="J71" s="2" t="s">
        <v>321</v>
      </c>
      <c r="K71" s="2" t="s">
        <v>38</v>
      </c>
      <c r="L71" s="2" t="s">
        <v>30</v>
      </c>
    </row>
    <row r="72" spans="1:12" ht="14.25" customHeight="1" x14ac:dyDescent="0.5">
      <c r="A72" s="2" t="s">
        <v>322</v>
      </c>
      <c r="B72" s="2" t="s">
        <v>279</v>
      </c>
      <c r="C72" s="2" t="s">
        <v>93</v>
      </c>
      <c r="D72" s="2" t="s">
        <v>34</v>
      </c>
      <c r="E72" s="3">
        <v>44401</v>
      </c>
      <c r="F72" s="2" t="s">
        <v>323</v>
      </c>
      <c r="G72" s="2" t="s">
        <v>36</v>
      </c>
      <c r="H72" s="2" t="s">
        <v>27</v>
      </c>
      <c r="I72" s="2" t="s">
        <v>65</v>
      </c>
      <c r="J72" s="2" t="s">
        <v>324</v>
      </c>
      <c r="K72" s="2" t="s">
        <v>47</v>
      </c>
      <c r="L72" s="2" t="s">
        <v>39</v>
      </c>
    </row>
    <row r="73" spans="1:12" ht="14.25" customHeight="1" x14ac:dyDescent="0.5">
      <c r="A73" s="2" t="s">
        <v>325</v>
      </c>
      <c r="B73" s="2" t="s">
        <v>129</v>
      </c>
      <c r="C73" s="2" t="s">
        <v>14</v>
      </c>
      <c r="D73" s="2" t="s">
        <v>69</v>
      </c>
      <c r="E73" s="3">
        <v>44441</v>
      </c>
      <c r="F73" s="2" t="s">
        <v>326</v>
      </c>
      <c r="G73" s="2" t="s">
        <v>44</v>
      </c>
      <c r="H73" s="2" t="s">
        <v>112</v>
      </c>
      <c r="I73" s="2" t="s">
        <v>77</v>
      </c>
      <c r="J73" s="2" t="s">
        <v>327</v>
      </c>
      <c r="K73" s="2" t="s">
        <v>159</v>
      </c>
      <c r="L73" s="2" t="s">
        <v>22</v>
      </c>
    </row>
    <row r="74" spans="1:12" ht="14.25" customHeight="1" x14ac:dyDescent="0.5">
      <c r="A74" s="2" t="s">
        <v>328</v>
      </c>
      <c r="B74" s="2" t="s">
        <v>329</v>
      </c>
      <c r="C74" s="2" t="s">
        <v>33</v>
      </c>
      <c r="D74" s="2" t="s">
        <v>50</v>
      </c>
      <c r="E74" s="3">
        <v>44073</v>
      </c>
      <c r="F74" s="2" t="s">
        <v>330</v>
      </c>
      <c r="G74" s="2" t="s">
        <v>83</v>
      </c>
      <c r="H74" s="2" t="s">
        <v>64</v>
      </c>
      <c r="I74" s="2" t="s">
        <v>28</v>
      </c>
      <c r="J74" s="2" t="s">
        <v>331</v>
      </c>
      <c r="K74" s="2" t="s">
        <v>159</v>
      </c>
      <c r="L74" s="2" t="s">
        <v>85</v>
      </c>
    </row>
    <row r="75" spans="1:12" ht="14.25" customHeight="1" x14ac:dyDescent="0.5">
      <c r="A75" s="2" t="s">
        <v>332</v>
      </c>
      <c r="B75" s="2" t="s">
        <v>206</v>
      </c>
      <c r="C75" s="2" t="s">
        <v>99</v>
      </c>
      <c r="D75" s="2" t="s">
        <v>50</v>
      </c>
      <c r="E75" s="3">
        <v>44391</v>
      </c>
      <c r="F75" s="2" t="s">
        <v>333</v>
      </c>
      <c r="G75" s="2" t="s">
        <v>36</v>
      </c>
      <c r="H75" s="2" t="s">
        <v>64</v>
      </c>
      <c r="I75" s="2" t="s">
        <v>107</v>
      </c>
      <c r="J75" s="2" t="s">
        <v>334</v>
      </c>
      <c r="K75" s="2" t="s">
        <v>38</v>
      </c>
      <c r="L75" s="2" t="s">
        <v>22</v>
      </c>
    </row>
    <row r="76" spans="1:12" ht="14.25" customHeight="1" x14ac:dyDescent="0.5">
      <c r="A76" s="2" t="s">
        <v>335</v>
      </c>
      <c r="B76" s="2" t="s">
        <v>336</v>
      </c>
      <c r="C76" s="2" t="s">
        <v>99</v>
      </c>
      <c r="D76" s="2" t="s">
        <v>15</v>
      </c>
      <c r="E76" s="3">
        <v>44790</v>
      </c>
      <c r="F76" s="2" t="s">
        <v>337</v>
      </c>
      <c r="G76" s="2" t="s">
        <v>44</v>
      </c>
      <c r="H76" s="2" t="s">
        <v>18</v>
      </c>
      <c r="I76" s="2" t="s">
        <v>65</v>
      </c>
      <c r="J76" s="2" t="s">
        <v>338</v>
      </c>
      <c r="K76" s="2" t="s">
        <v>21</v>
      </c>
      <c r="L76" s="2" t="s">
        <v>30</v>
      </c>
    </row>
    <row r="77" spans="1:12" ht="14.25" customHeight="1" x14ac:dyDescent="0.5">
      <c r="A77" s="2" t="s">
        <v>339</v>
      </c>
      <c r="B77" s="2" t="s">
        <v>41</v>
      </c>
      <c r="C77" s="2" t="s">
        <v>25</v>
      </c>
      <c r="D77" s="2" t="s">
        <v>100</v>
      </c>
      <c r="E77" s="3">
        <v>43862</v>
      </c>
      <c r="F77" s="2" t="s">
        <v>340</v>
      </c>
      <c r="G77" s="2" t="s">
        <v>57</v>
      </c>
      <c r="H77" s="2" t="s">
        <v>121</v>
      </c>
      <c r="I77" s="2" t="s">
        <v>19</v>
      </c>
      <c r="J77" s="2" t="s">
        <v>341</v>
      </c>
      <c r="K77" s="2" t="s">
        <v>159</v>
      </c>
      <c r="L77" s="2" t="s">
        <v>39</v>
      </c>
    </row>
    <row r="78" spans="1:12" ht="14.25" customHeight="1" x14ac:dyDescent="0.5">
      <c r="A78" s="2" t="s">
        <v>342</v>
      </c>
      <c r="B78" s="2" t="s">
        <v>343</v>
      </c>
      <c r="C78" s="2" t="s">
        <v>14</v>
      </c>
      <c r="D78" s="2" t="s">
        <v>75</v>
      </c>
      <c r="E78" s="3">
        <v>44221</v>
      </c>
      <c r="F78" s="2" t="s">
        <v>344</v>
      </c>
      <c r="G78" s="2" t="s">
        <v>36</v>
      </c>
      <c r="H78" s="2" t="s">
        <v>121</v>
      </c>
      <c r="I78" s="2" t="s">
        <v>28</v>
      </c>
      <c r="J78" s="2" t="s">
        <v>345</v>
      </c>
      <c r="K78" s="2" t="s">
        <v>53</v>
      </c>
      <c r="L78" s="2" t="s">
        <v>39</v>
      </c>
    </row>
    <row r="79" spans="1:12" ht="14.25" customHeight="1" x14ac:dyDescent="0.5">
      <c r="A79" s="2" t="s">
        <v>346</v>
      </c>
      <c r="B79" s="2" t="s">
        <v>315</v>
      </c>
      <c r="C79" s="2" t="s">
        <v>125</v>
      </c>
      <c r="D79" s="2" t="s">
        <v>15</v>
      </c>
      <c r="E79" s="3">
        <v>44107</v>
      </c>
      <c r="F79" s="2" t="s">
        <v>347</v>
      </c>
      <c r="G79" s="2" t="s">
        <v>36</v>
      </c>
      <c r="H79" s="2" t="s">
        <v>64</v>
      </c>
      <c r="J79" s="2" t="s">
        <v>348</v>
      </c>
      <c r="K79" s="2" t="s">
        <v>38</v>
      </c>
      <c r="L79" s="2" t="s">
        <v>85</v>
      </c>
    </row>
    <row r="80" spans="1:12" ht="14.25" customHeight="1" x14ac:dyDescent="0.5">
      <c r="A80" s="2" t="s">
        <v>349</v>
      </c>
      <c r="B80" s="2" t="s">
        <v>268</v>
      </c>
      <c r="C80" s="2" t="s">
        <v>14</v>
      </c>
      <c r="D80" s="2" t="s">
        <v>50</v>
      </c>
      <c r="E80" s="3">
        <v>44362</v>
      </c>
      <c r="F80" s="2" t="s">
        <v>350</v>
      </c>
      <c r="G80" s="2" t="s">
        <v>17</v>
      </c>
      <c r="H80" s="2" t="s">
        <v>58</v>
      </c>
      <c r="J80" s="2" t="s">
        <v>351</v>
      </c>
      <c r="K80" s="2" t="s">
        <v>159</v>
      </c>
      <c r="L80" s="2" t="s">
        <v>39</v>
      </c>
    </row>
    <row r="81" spans="1:12" ht="14.25" customHeight="1" x14ac:dyDescent="0.5">
      <c r="A81" s="2" t="s">
        <v>352</v>
      </c>
      <c r="B81" s="2" t="s">
        <v>353</v>
      </c>
      <c r="C81" s="2" t="s">
        <v>125</v>
      </c>
      <c r="D81" s="2" t="s">
        <v>69</v>
      </c>
      <c r="E81" s="3">
        <v>45008</v>
      </c>
      <c r="F81" s="2" t="s">
        <v>354</v>
      </c>
      <c r="G81" s="2" t="s">
        <v>57</v>
      </c>
      <c r="H81" s="2" t="s">
        <v>112</v>
      </c>
      <c r="I81" s="2" t="s">
        <v>19</v>
      </c>
      <c r="J81" s="2" t="s">
        <v>355</v>
      </c>
      <c r="K81" s="2" t="s">
        <v>79</v>
      </c>
      <c r="L81" s="2" t="s">
        <v>39</v>
      </c>
    </row>
    <row r="82" spans="1:12" ht="14.25" customHeight="1" x14ac:dyDescent="0.5">
      <c r="A82" s="2" t="s">
        <v>356</v>
      </c>
      <c r="B82" s="2" t="s">
        <v>343</v>
      </c>
      <c r="C82" s="2" t="s">
        <v>105</v>
      </c>
      <c r="D82" s="2" t="s">
        <v>50</v>
      </c>
      <c r="E82" s="3">
        <v>44213</v>
      </c>
      <c r="F82" s="2" t="s">
        <v>357</v>
      </c>
      <c r="G82" s="2" t="s">
        <v>83</v>
      </c>
      <c r="H82" s="2" t="s">
        <v>27</v>
      </c>
      <c r="I82" s="2" t="s">
        <v>65</v>
      </c>
      <c r="J82" s="2" t="s">
        <v>358</v>
      </c>
      <c r="K82" s="2" t="s">
        <v>38</v>
      </c>
      <c r="L82" s="2" t="s">
        <v>22</v>
      </c>
    </row>
    <row r="83" spans="1:12" ht="14.25" customHeight="1" x14ac:dyDescent="0.5">
      <c r="A83" s="2" t="s">
        <v>359</v>
      </c>
      <c r="B83" s="2" t="s">
        <v>360</v>
      </c>
      <c r="C83" s="2" t="s">
        <v>25</v>
      </c>
      <c r="D83" s="2" t="s">
        <v>69</v>
      </c>
      <c r="E83" s="3">
        <v>44922</v>
      </c>
      <c r="F83" s="2" t="s">
        <v>361</v>
      </c>
      <c r="G83" s="2" t="s">
        <v>44</v>
      </c>
      <c r="H83" s="2" t="s">
        <v>89</v>
      </c>
      <c r="I83" s="2" t="s">
        <v>28</v>
      </c>
      <c r="J83" s="2" t="s">
        <v>362</v>
      </c>
      <c r="K83" s="2" t="s">
        <v>38</v>
      </c>
      <c r="L83" s="2" t="s">
        <v>39</v>
      </c>
    </row>
    <row r="84" spans="1:12" ht="14.25" customHeight="1" x14ac:dyDescent="0.5">
      <c r="A84" s="2" t="s">
        <v>363</v>
      </c>
      <c r="B84" s="2" t="s">
        <v>329</v>
      </c>
      <c r="C84" s="2" t="s">
        <v>105</v>
      </c>
      <c r="D84" s="2" t="s">
        <v>15</v>
      </c>
      <c r="E84" s="3">
        <v>44714</v>
      </c>
      <c r="F84" s="2" t="s">
        <v>364</v>
      </c>
      <c r="G84" s="2" t="s">
        <v>17</v>
      </c>
      <c r="H84" s="2" t="s">
        <v>64</v>
      </c>
      <c r="I84" s="2" t="s">
        <v>19</v>
      </c>
      <c r="J84" s="2" t="s">
        <v>365</v>
      </c>
      <c r="K84" s="2" t="s">
        <v>53</v>
      </c>
      <c r="L84" s="2" t="s">
        <v>39</v>
      </c>
    </row>
    <row r="85" spans="1:12" ht="14.25" customHeight="1" x14ac:dyDescent="0.5">
      <c r="A85" s="2" t="s">
        <v>366</v>
      </c>
      <c r="B85" s="2" t="s">
        <v>367</v>
      </c>
      <c r="C85" s="2" t="s">
        <v>14</v>
      </c>
      <c r="D85" s="2" t="s">
        <v>100</v>
      </c>
      <c r="E85" s="3">
        <v>44044</v>
      </c>
      <c r="F85" s="2" t="s">
        <v>368</v>
      </c>
      <c r="G85" s="2" t="s">
        <v>44</v>
      </c>
      <c r="H85" s="2" t="s">
        <v>112</v>
      </c>
      <c r="I85" s="2" t="s">
        <v>65</v>
      </c>
      <c r="J85" s="2" t="s">
        <v>369</v>
      </c>
      <c r="K85" s="2" t="s">
        <v>60</v>
      </c>
      <c r="L85" s="2" t="s">
        <v>39</v>
      </c>
    </row>
    <row r="86" spans="1:12" ht="14.25" customHeight="1" x14ac:dyDescent="0.5">
      <c r="A86" s="2" t="s">
        <v>370</v>
      </c>
      <c r="B86" s="2" t="s">
        <v>371</v>
      </c>
      <c r="C86" s="2" t="s">
        <v>25</v>
      </c>
      <c r="D86" s="2" t="s">
        <v>50</v>
      </c>
      <c r="E86" s="3">
        <v>44206</v>
      </c>
      <c r="F86" s="2" t="s">
        <v>372</v>
      </c>
      <c r="G86" s="2" t="s">
        <v>83</v>
      </c>
      <c r="H86" s="2" t="s">
        <v>64</v>
      </c>
      <c r="I86" s="2" t="s">
        <v>28</v>
      </c>
      <c r="J86" s="2" t="s">
        <v>373</v>
      </c>
      <c r="K86" s="2" t="s">
        <v>159</v>
      </c>
      <c r="L86" s="2" t="s">
        <v>85</v>
      </c>
    </row>
    <row r="87" spans="1:12" ht="14.25" customHeight="1" x14ac:dyDescent="0.5">
      <c r="A87" s="2" t="s">
        <v>374</v>
      </c>
      <c r="B87" s="2" t="s">
        <v>156</v>
      </c>
      <c r="C87" s="2" t="s">
        <v>105</v>
      </c>
      <c r="D87" s="2" t="s">
        <v>34</v>
      </c>
      <c r="E87" s="3">
        <v>44574</v>
      </c>
      <c r="F87" s="2" t="s">
        <v>375</v>
      </c>
      <c r="G87" s="2" t="s">
        <v>83</v>
      </c>
      <c r="H87" s="2" t="s">
        <v>45</v>
      </c>
      <c r="J87" s="2" t="s">
        <v>376</v>
      </c>
      <c r="K87" s="2" t="s">
        <v>159</v>
      </c>
      <c r="L87" s="2" t="s">
        <v>85</v>
      </c>
    </row>
    <row r="88" spans="1:12" ht="14.25" customHeight="1" x14ac:dyDescent="0.5">
      <c r="A88" s="2" t="s">
        <v>377</v>
      </c>
      <c r="B88" s="2" t="s">
        <v>378</v>
      </c>
      <c r="C88" s="2" t="s">
        <v>235</v>
      </c>
      <c r="D88" s="2" t="s">
        <v>69</v>
      </c>
      <c r="E88" s="3">
        <v>44043</v>
      </c>
      <c r="F88" s="2" t="s">
        <v>379</v>
      </c>
      <c r="G88" s="2" t="s">
        <v>36</v>
      </c>
      <c r="H88" s="2" t="s">
        <v>27</v>
      </c>
      <c r="I88" s="2" t="s">
        <v>28</v>
      </c>
      <c r="J88" s="2" t="s">
        <v>380</v>
      </c>
      <c r="K88" s="2" t="s">
        <v>38</v>
      </c>
      <c r="L88" s="2" t="s">
        <v>22</v>
      </c>
    </row>
    <row r="89" spans="1:12" ht="14.25" customHeight="1" x14ac:dyDescent="0.5">
      <c r="A89" s="2" t="s">
        <v>381</v>
      </c>
      <c r="B89" s="2" t="s">
        <v>217</v>
      </c>
      <c r="C89" s="2" t="s">
        <v>14</v>
      </c>
      <c r="D89" s="2" t="s">
        <v>100</v>
      </c>
      <c r="E89" s="3">
        <v>43909</v>
      </c>
      <c r="F89" s="2" t="s">
        <v>382</v>
      </c>
      <c r="G89" s="2" t="s">
        <v>83</v>
      </c>
      <c r="H89" s="2" t="s">
        <v>45</v>
      </c>
      <c r="I89" s="2" t="s">
        <v>77</v>
      </c>
      <c r="J89" s="2" t="s">
        <v>383</v>
      </c>
      <c r="K89" s="2" t="s">
        <v>79</v>
      </c>
      <c r="L89" s="2" t="s">
        <v>39</v>
      </c>
    </row>
    <row r="90" spans="1:12" ht="14.25" customHeight="1" x14ac:dyDescent="0.5">
      <c r="A90" s="2" t="s">
        <v>384</v>
      </c>
      <c r="B90" s="2" t="s">
        <v>385</v>
      </c>
      <c r="C90" s="2" t="s">
        <v>105</v>
      </c>
      <c r="D90" s="2" t="s">
        <v>75</v>
      </c>
      <c r="E90" s="3">
        <v>44458</v>
      </c>
      <c r="F90" s="2" t="s">
        <v>386</v>
      </c>
      <c r="G90" s="2" t="s">
        <v>44</v>
      </c>
      <c r="H90" s="2" t="s">
        <v>27</v>
      </c>
      <c r="I90" s="2" t="s">
        <v>107</v>
      </c>
      <c r="J90" s="2" t="s">
        <v>387</v>
      </c>
      <c r="K90" s="2" t="s">
        <v>79</v>
      </c>
      <c r="L90" s="2" t="s">
        <v>85</v>
      </c>
    </row>
    <row r="91" spans="1:12" ht="14.25" customHeight="1" x14ac:dyDescent="0.5">
      <c r="A91" s="2" t="s">
        <v>388</v>
      </c>
      <c r="B91" s="2" t="s">
        <v>169</v>
      </c>
      <c r="C91" s="2" t="s">
        <v>235</v>
      </c>
      <c r="D91" s="2" t="s">
        <v>69</v>
      </c>
      <c r="E91" s="3">
        <v>44434</v>
      </c>
      <c r="F91" s="2" t="s">
        <v>389</v>
      </c>
      <c r="G91" s="2" t="s">
        <v>57</v>
      </c>
      <c r="H91" s="2" t="s">
        <v>112</v>
      </c>
      <c r="I91" s="2" t="s">
        <v>28</v>
      </c>
      <c r="J91" s="2" t="s">
        <v>390</v>
      </c>
      <c r="K91" s="2" t="s">
        <v>96</v>
      </c>
      <c r="L91" s="2" t="s">
        <v>85</v>
      </c>
    </row>
    <row r="92" spans="1:12" ht="14.25" customHeight="1" x14ac:dyDescent="0.5">
      <c r="A92" s="2" t="s">
        <v>391</v>
      </c>
      <c r="B92" s="2" t="s">
        <v>124</v>
      </c>
      <c r="C92" s="2" t="s">
        <v>235</v>
      </c>
      <c r="D92" s="2" t="s">
        <v>15</v>
      </c>
      <c r="E92" s="3">
        <v>44612</v>
      </c>
      <c r="F92" s="2" t="s">
        <v>392</v>
      </c>
      <c r="G92" s="2" t="s">
        <v>57</v>
      </c>
      <c r="H92" s="2" t="s">
        <v>18</v>
      </c>
      <c r="I92" s="2" t="s">
        <v>107</v>
      </c>
      <c r="J92" s="2" t="s">
        <v>393</v>
      </c>
      <c r="K92" s="2" t="s">
        <v>79</v>
      </c>
      <c r="L92" s="2" t="s">
        <v>22</v>
      </c>
    </row>
    <row r="93" spans="1:12" ht="14.25" customHeight="1" x14ac:dyDescent="0.5">
      <c r="A93" s="2" t="s">
        <v>394</v>
      </c>
      <c r="B93" s="2" t="s">
        <v>329</v>
      </c>
      <c r="C93" s="2" t="s">
        <v>99</v>
      </c>
      <c r="D93" s="2" t="s">
        <v>75</v>
      </c>
      <c r="E93" s="3">
        <v>45235</v>
      </c>
      <c r="F93" s="2" t="s">
        <v>395</v>
      </c>
      <c r="G93" s="2" t="s">
        <v>36</v>
      </c>
      <c r="H93" s="2" t="s">
        <v>64</v>
      </c>
      <c r="I93" s="2" t="s">
        <v>28</v>
      </c>
      <c r="J93" s="2" t="s">
        <v>396</v>
      </c>
      <c r="K93" s="2" t="s">
        <v>159</v>
      </c>
      <c r="L93" s="2" t="s">
        <v>30</v>
      </c>
    </row>
    <row r="94" spans="1:12" ht="14.25" customHeight="1" x14ac:dyDescent="0.5">
      <c r="A94" s="2" t="s">
        <v>397</v>
      </c>
      <c r="B94" s="2" t="s">
        <v>398</v>
      </c>
      <c r="C94" s="2" t="s">
        <v>14</v>
      </c>
      <c r="D94" s="2" t="s">
        <v>75</v>
      </c>
      <c r="E94" s="3">
        <v>44831</v>
      </c>
      <c r="F94" s="2" t="s">
        <v>399</v>
      </c>
      <c r="G94" s="2" t="s">
        <v>44</v>
      </c>
      <c r="H94" s="2" t="s">
        <v>64</v>
      </c>
      <c r="I94" s="2" t="s">
        <v>107</v>
      </c>
      <c r="J94" s="2" t="s">
        <v>400</v>
      </c>
      <c r="K94" s="2" t="s">
        <v>21</v>
      </c>
      <c r="L94" s="2" t="s">
        <v>39</v>
      </c>
    </row>
    <row r="95" spans="1:12" ht="14.25" customHeight="1" x14ac:dyDescent="0.5">
      <c r="A95" s="2" t="s">
        <v>401</v>
      </c>
      <c r="B95" s="2" t="s">
        <v>234</v>
      </c>
      <c r="C95" s="2" t="s">
        <v>235</v>
      </c>
      <c r="D95" s="2" t="s">
        <v>42</v>
      </c>
      <c r="E95" s="3">
        <v>44510</v>
      </c>
      <c r="F95" s="2" t="s">
        <v>402</v>
      </c>
      <c r="G95" s="2" t="s">
        <v>44</v>
      </c>
      <c r="H95" s="2" t="s">
        <v>58</v>
      </c>
      <c r="I95" s="2" t="s">
        <v>77</v>
      </c>
      <c r="J95" s="2" t="s">
        <v>403</v>
      </c>
      <c r="K95" s="2" t="s">
        <v>60</v>
      </c>
      <c r="L95" s="2" t="s">
        <v>85</v>
      </c>
    </row>
    <row r="96" spans="1:12" ht="14.25" customHeight="1" x14ac:dyDescent="0.5">
      <c r="A96" s="2" t="s">
        <v>404</v>
      </c>
      <c r="B96" s="2" t="s">
        <v>405</v>
      </c>
      <c r="C96" s="2" t="s">
        <v>99</v>
      </c>
      <c r="D96" s="2" t="s">
        <v>50</v>
      </c>
      <c r="E96" s="3">
        <v>43888</v>
      </c>
      <c r="F96" s="2" t="s">
        <v>406</v>
      </c>
      <c r="G96" s="2" t="s">
        <v>83</v>
      </c>
      <c r="H96" s="2" t="s">
        <v>89</v>
      </c>
      <c r="J96" s="2" t="s">
        <v>407</v>
      </c>
      <c r="K96" s="2" t="s">
        <v>38</v>
      </c>
      <c r="L96" s="2" t="s">
        <v>22</v>
      </c>
    </row>
    <row r="97" spans="1:12" ht="14.25" customHeight="1" x14ac:dyDescent="0.5">
      <c r="A97" s="2" t="s">
        <v>408</v>
      </c>
      <c r="B97" s="2" t="s">
        <v>304</v>
      </c>
      <c r="C97" s="2" t="s">
        <v>105</v>
      </c>
      <c r="D97" s="2" t="s">
        <v>69</v>
      </c>
      <c r="E97" s="3">
        <v>44880</v>
      </c>
      <c r="F97" s="2" t="s">
        <v>409</v>
      </c>
      <c r="G97" s="2" t="s">
        <v>44</v>
      </c>
      <c r="H97" s="2" t="s">
        <v>45</v>
      </c>
      <c r="I97" s="2" t="s">
        <v>65</v>
      </c>
      <c r="J97" s="2" t="s">
        <v>410</v>
      </c>
      <c r="K97" s="2" t="s">
        <v>47</v>
      </c>
      <c r="L97" s="2" t="s">
        <v>22</v>
      </c>
    </row>
    <row r="98" spans="1:12" ht="14.25" customHeight="1" x14ac:dyDescent="0.5">
      <c r="A98" s="2" t="s">
        <v>411</v>
      </c>
      <c r="B98" s="2" t="s">
        <v>217</v>
      </c>
      <c r="C98" s="2" t="s">
        <v>33</v>
      </c>
      <c r="D98" s="2" t="s">
        <v>75</v>
      </c>
      <c r="E98" s="3">
        <v>44711</v>
      </c>
      <c r="F98" s="2" t="s">
        <v>412</v>
      </c>
      <c r="G98" s="2" t="s">
        <v>17</v>
      </c>
      <c r="H98" s="2" t="s">
        <v>64</v>
      </c>
      <c r="I98" s="2" t="s">
        <v>107</v>
      </c>
      <c r="J98" s="2" t="s">
        <v>413</v>
      </c>
      <c r="K98" s="2" t="s">
        <v>60</v>
      </c>
      <c r="L98" s="2" t="s">
        <v>22</v>
      </c>
    </row>
    <row r="99" spans="1:12" ht="14.25" customHeight="1" x14ac:dyDescent="0.5">
      <c r="A99" s="2" t="s">
        <v>414</v>
      </c>
      <c r="B99" s="2" t="s">
        <v>343</v>
      </c>
      <c r="C99" s="2" t="s">
        <v>14</v>
      </c>
      <c r="D99" s="2" t="s">
        <v>42</v>
      </c>
      <c r="E99" s="3">
        <v>44277</v>
      </c>
      <c r="F99" s="2" t="s">
        <v>415</v>
      </c>
      <c r="G99" s="2" t="s">
        <v>83</v>
      </c>
      <c r="H99" s="2" t="s">
        <v>112</v>
      </c>
      <c r="I99" s="2" t="s">
        <v>77</v>
      </c>
      <c r="J99" s="2" t="s">
        <v>416</v>
      </c>
      <c r="K99" s="2" t="s">
        <v>53</v>
      </c>
      <c r="L99" s="2" t="s">
        <v>85</v>
      </c>
    </row>
    <row r="100" spans="1:12" ht="14.25" customHeight="1" x14ac:dyDescent="0.5">
      <c r="A100" s="2" t="s">
        <v>417</v>
      </c>
      <c r="B100" s="2" t="s">
        <v>418</v>
      </c>
      <c r="C100" s="2" t="s">
        <v>25</v>
      </c>
      <c r="D100" s="2" t="s">
        <v>15</v>
      </c>
      <c r="E100" s="3">
        <v>43896</v>
      </c>
      <c r="F100" s="2" t="s">
        <v>419</v>
      </c>
      <c r="G100" s="2" t="s">
        <v>17</v>
      </c>
      <c r="H100" s="2" t="s">
        <v>18</v>
      </c>
      <c r="I100" s="2" t="s">
        <v>107</v>
      </c>
      <c r="J100" s="2" t="s">
        <v>420</v>
      </c>
      <c r="K100" s="2" t="s">
        <v>53</v>
      </c>
      <c r="L100" s="2" t="s">
        <v>39</v>
      </c>
    </row>
    <row r="101" spans="1:12" ht="14.25" customHeight="1" x14ac:dyDescent="0.5">
      <c r="A101" s="2" t="s">
        <v>421</v>
      </c>
      <c r="B101" s="2" t="s">
        <v>169</v>
      </c>
      <c r="C101" s="2" t="s">
        <v>125</v>
      </c>
      <c r="D101" s="2" t="s">
        <v>100</v>
      </c>
      <c r="E101" s="3">
        <v>45108</v>
      </c>
      <c r="F101" s="2" t="s">
        <v>422</v>
      </c>
      <c r="G101" s="2" t="s">
        <v>36</v>
      </c>
      <c r="H101" s="2" t="s">
        <v>89</v>
      </c>
      <c r="J101" s="2" t="s">
        <v>423</v>
      </c>
      <c r="K101" s="2" t="s">
        <v>21</v>
      </c>
      <c r="L101" s="2" t="s">
        <v>30</v>
      </c>
    </row>
    <row r="102" spans="1:12" ht="14.25" customHeight="1" x14ac:dyDescent="0.5">
      <c r="A102" s="2" t="s">
        <v>424</v>
      </c>
      <c r="B102" s="2" t="s">
        <v>425</v>
      </c>
      <c r="C102" s="2" t="s">
        <v>125</v>
      </c>
      <c r="D102" s="2" t="s">
        <v>34</v>
      </c>
      <c r="E102" s="3">
        <v>44898</v>
      </c>
      <c r="F102" s="2" t="s">
        <v>426</v>
      </c>
      <c r="G102" s="2" t="s">
        <v>57</v>
      </c>
      <c r="H102" s="2" t="s">
        <v>112</v>
      </c>
      <c r="I102" s="2" t="s">
        <v>107</v>
      </c>
      <c r="J102" s="2" t="s">
        <v>427</v>
      </c>
      <c r="K102" s="2" t="s">
        <v>47</v>
      </c>
      <c r="L102" s="2" t="s">
        <v>39</v>
      </c>
    </row>
    <row r="103" spans="1:12" ht="14.25" customHeight="1" x14ac:dyDescent="0.5">
      <c r="A103" s="2" t="s">
        <v>428</v>
      </c>
      <c r="B103" s="2" t="s">
        <v>429</v>
      </c>
      <c r="C103" s="2" t="s">
        <v>105</v>
      </c>
      <c r="D103" s="2" t="s">
        <v>34</v>
      </c>
      <c r="E103" s="3">
        <v>44951</v>
      </c>
      <c r="F103" s="2" t="s">
        <v>430</v>
      </c>
      <c r="G103" s="2" t="s">
        <v>36</v>
      </c>
      <c r="H103" s="2" t="s">
        <v>45</v>
      </c>
      <c r="I103" s="2" t="s">
        <v>77</v>
      </c>
      <c r="J103" s="2" t="s">
        <v>431</v>
      </c>
      <c r="K103" s="2" t="s">
        <v>60</v>
      </c>
      <c r="L103" s="2" t="s">
        <v>22</v>
      </c>
    </row>
    <row r="104" spans="1:12" ht="14.25" customHeight="1" x14ac:dyDescent="0.5">
      <c r="A104" s="2" t="s">
        <v>432</v>
      </c>
      <c r="B104" s="2" t="s">
        <v>433</v>
      </c>
      <c r="C104" s="2" t="s">
        <v>74</v>
      </c>
      <c r="D104" s="2" t="s">
        <v>69</v>
      </c>
      <c r="E104" s="3">
        <v>44842</v>
      </c>
      <c r="F104" s="2" t="s">
        <v>434</v>
      </c>
      <c r="G104" s="2" t="s">
        <v>57</v>
      </c>
      <c r="H104" s="2" t="s">
        <v>58</v>
      </c>
      <c r="I104" s="2" t="s">
        <v>77</v>
      </c>
      <c r="J104" s="2" t="s">
        <v>435</v>
      </c>
      <c r="K104" s="2" t="s">
        <v>79</v>
      </c>
      <c r="L104" s="2" t="s">
        <v>22</v>
      </c>
    </row>
    <row r="105" spans="1:12" ht="14.25" customHeight="1" x14ac:dyDescent="0.5">
      <c r="A105" s="2" t="s">
        <v>436</v>
      </c>
      <c r="B105" s="2" t="s">
        <v>437</v>
      </c>
      <c r="C105" s="2" t="s">
        <v>74</v>
      </c>
      <c r="D105" s="2" t="s">
        <v>75</v>
      </c>
      <c r="E105" s="3">
        <v>44057</v>
      </c>
      <c r="F105" s="2" t="s">
        <v>438</v>
      </c>
      <c r="G105" s="2" t="s">
        <v>36</v>
      </c>
      <c r="H105" s="2" t="s">
        <v>64</v>
      </c>
      <c r="I105" s="2" t="s">
        <v>19</v>
      </c>
      <c r="J105" s="2" t="s">
        <v>439</v>
      </c>
      <c r="K105" s="2" t="s">
        <v>159</v>
      </c>
      <c r="L105" s="2" t="s">
        <v>30</v>
      </c>
    </row>
    <row r="106" spans="1:12" ht="14.25" customHeight="1" x14ac:dyDescent="0.5">
      <c r="A106" s="2" t="s">
        <v>440</v>
      </c>
      <c r="B106" s="2" t="s">
        <v>104</v>
      </c>
      <c r="C106" s="2" t="s">
        <v>105</v>
      </c>
      <c r="D106" s="2" t="s">
        <v>34</v>
      </c>
      <c r="E106" s="3">
        <v>44604</v>
      </c>
      <c r="F106" s="2" t="s">
        <v>441</v>
      </c>
      <c r="G106" s="2" t="s">
        <v>44</v>
      </c>
      <c r="H106" s="2" t="s">
        <v>112</v>
      </c>
      <c r="J106" s="2" t="s">
        <v>442</v>
      </c>
      <c r="K106" s="2" t="s">
        <v>21</v>
      </c>
      <c r="L106" s="2" t="s">
        <v>39</v>
      </c>
    </row>
    <row r="107" spans="1:12" ht="14.25" customHeight="1" x14ac:dyDescent="0.5">
      <c r="A107" s="2" t="s">
        <v>443</v>
      </c>
      <c r="B107" s="2" t="s">
        <v>433</v>
      </c>
      <c r="C107" s="2" t="s">
        <v>235</v>
      </c>
      <c r="D107" s="2" t="s">
        <v>50</v>
      </c>
      <c r="E107" s="3">
        <v>44509</v>
      </c>
      <c r="F107" s="2" t="s">
        <v>444</v>
      </c>
      <c r="G107" s="2" t="s">
        <v>17</v>
      </c>
      <c r="H107" s="2" t="s">
        <v>89</v>
      </c>
      <c r="I107" s="2" t="s">
        <v>19</v>
      </c>
      <c r="J107" s="2" t="s">
        <v>445</v>
      </c>
      <c r="K107" s="2" t="s">
        <v>47</v>
      </c>
      <c r="L107" s="2" t="s">
        <v>22</v>
      </c>
    </row>
    <row r="108" spans="1:12" ht="14.25" customHeight="1" x14ac:dyDescent="0.5">
      <c r="A108" s="2" t="s">
        <v>446</v>
      </c>
      <c r="B108" s="2" t="s">
        <v>13</v>
      </c>
      <c r="C108" s="2" t="s">
        <v>14</v>
      </c>
      <c r="D108" s="2" t="s">
        <v>34</v>
      </c>
      <c r="E108" s="3">
        <v>45290</v>
      </c>
      <c r="F108" s="2" t="s">
        <v>447</v>
      </c>
      <c r="G108" s="2" t="s">
        <v>57</v>
      </c>
      <c r="H108" s="2" t="s">
        <v>27</v>
      </c>
      <c r="J108" s="2" t="s">
        <v>448</v>
      </c>
      <c r="K108" s="2" t="s">
        <v>21</v>
      </c>
      <c r="L108" s="2" t="s">
        <v>22</v>
      </c>
    </row>
    <row r="109" spans="1:12" ht="14.25" customHeight="1" x14ac:dyDescent="0.5">
      <c r="A109" s="2" t="s">
        <v>449</v>
      </c>
      <c r="B109" s="2" t="s">
        <v>98</v>
      </c>
      <c r="C109" s="2" t="s">
        <v>125</v>
      </c>
      <c r="D109" s="2" t="s">
        <v>34</v>
      </c>
      <c r="E109" s="3">
        <v>44431</v>
      </c>
      <c r="F109" s="2" t="s">
        <v>450</v>
      </c>
      <c r="G109" s="2" t="s">
        <v>83</v>
      </c>
      <c r="H109" s="2" t="s">
        <v>18</v>
      </c>
      <c r="I109" s="2" t="s">
        <v>107</v>
      </c>
      <c r="J109" s="2" t="s">
        <v>451</v>
      </c>
      <c r="K109" s="2" t="s">
        <v>60</v>
      </c>
      <c r="L109" s="2" t="s">
        <v>39</v>
      </c>
    </row>
    <row r="110" spans="1:12" ht="14.25" customHeight="1" x14ac:dyDescent="0.5">
      <c r="A110" s="2" t="s">
        <v>452</v>
      </c>
      <c r="B110" s="2" t="s">
        <v>453</v>
      </c>
      <c r="C110" s="2" t="s">
        <v>125</v>
      </c>
      <c r="D110" s="2" t="s">
        <v>34</v>
      </c>
      <c r="E110" s="3">
        <v>44209</v>
      </c>
      <c r="F110" s="2" t="s">
        <v>454</v>
      </c>
      <c r="G110" s="2" t="s">
        <v>17</v>
      </c>
      <c r="H110" s="2" t="s">
        <v>89</v>
      </c>
      <c r="I110" s="2" t="s">
        <v>77</v>
      </c>
      <c r="J110" s="2" t="s">
        <v>455</v>
      </c>
      <c r="K110" s="2" t="s">
        <v>159</v>
      </c>
      <c r="L110" s="2" t="s">
        <v>22</v>
      </c>
    </row>
    <row r="111" spans="1:12" ht="14.25" customHeight="1" x14ac:dyDescent="0.5">
      <c r="A111" s="2" t="s">
        <v>456</v>
      </c>
      <c r="B111" s="2" t="s">
        <v>73</v>
      </c>
      <c r="C111" s="2" t="s">
        <v>235</v>
      </c>
      <c r="D111" s="2" t="s">
        <v>42</v>
      </c>
      <c r="E111" s="3">
        <v>45032</v>
      </c>
      <c r="F111" s="2" t="s">
        <v>457</v>
      </c>
      <c r="G111" s="2" t="s">
        <v>83</v>
      </c>
      <c r="H111" s="2" t="s">
        <v>112</v>
      </c>
      <c r="I111" s="2" t="s">
        <v>19</v>
      </c>
      <c r="J111" s="2" t="s">
        <v>458</v>
      </c>
      <c r="K111" s="2" t="s">
        <v>21</v>
      </c>
      <c r="L111" s="2" t="s">
        <v>39</v>
      </c>
    </row>
    <row r="112" spans="1:12" ht="14.25" customHeight="1" x14ac:dyDescent="0.5">
      <c r="A112" s="2" t="s">
        <v>459</v>
      </c>
      <c r="B112" s="2" t="s">
        <v>210</v>
      </c>
      <c r="C112" s="2" t="s">
        <v>125</v>
      </c>
      <c r="D112" s="2" t="s">
        <v>75</v>
      </c>
      <c r="E112" s="3">
        <v>45281</v>
      </c>
      <c r="F112" s="2" t="s">
        <v>460</v>
      </c>
      <c r="G112" s="2" t="s">
        <v>17</v>
      </c>
      <c r="H112" s="2" t="s">
        <v>18</v>
      </c>
      <c r="I112" s="2" t="s">
        <v>107</v>
      </c>
      <c r="J112" s="2" t="s">
        <v>461</v>
      </c>
      <c r="K112" s="2" t="s">
        <v>47</v>
      </c>
      <c r="L112" s="2" t="s">
        <v>22</v>
      </c>
    </row>
    <row r="113" spans="1:12" ht="14.25" customHeight="1" x14ac:dyDescent="0.5">
      <c r="A113" s="2" t="s">
        <v>462</v>
      </c>
      <c r="B113" s="2" t="s">
        <v>137</v>
      </c>
      <c r="C113" s="2" t="s">
        <v>25</v>
      </c>
      <c r="D113" s="2" t="s">
        <v>50</v>
      </c>
      <c r="E113" s="3">
        <v>44539</v>
      </c>
      <c r="F113" s="2" t="s">
        <v>463</v>
      </c>
      <c r="G113" s="2" t="s">
        <v>17</v>
      </c>
      <c r="H113" s="2" t="s">
        <v>64</v>
      </c>
      <c r="I113" s="2" t="s">
        <v>77</v>
      </c>
      <c r="J113" s="2" t="s">
        <v>464</v>
      </c>
      <c r="K113" s="2" t="s">
        <v>38</v>
      </c>
      <c r="L113" s="2" t="s">
        <v>39</v>
      </c>
    </row>
    <row r="114" spans="1:12" ht="14.25" customHeight="1" x14ac:dyDescent="0.5">
      <c r="A114" s="2" t="s">
        <v>465</v>
      </c>
      <c r="B114" s="2" t="s">
        <v>32</v>
      </c>
      <c r="C114" s="2" t="s">
        <v>14</v>
      </c>
      <c r="D114" s="2" t="s">
        <v>75</v>
      </c>
      <c r="E114" s="3">
        <v>44137</v>
      </c>
      <c r="F114" s="2" t="s">
        <v>466</v>
      </c>
      <c r="G114" s="2" t="s">
        <v>36</v>
      </c>
      <c r="H114" s="2" t="s">
        <v>27</v>
      </c>
      <c r="J114" s="2" t="s">
        <v>467</v>
      </c>
      <c r="K114" s="2" t="s">
        <v>60</v>
      </c>
      <c r="L114" s="2" t="s">
        <v>30</v>
      </c>
    </row>
    <row r="115" spans="1:12" ht="14.25" customHeight="1" x14ac:dyDescent="0.5">
      <c r="A115" s="2" t="s">
        <v>468</v>
      </c>
      <c r="B115" s="2" t="s">
        <v>41</v>
      </c>
      <c r="C115" s="2" t="s">
        <v>93</v>
      </c>
      <c r="D115" s="2" t="s">
        <v>69</v>
      </c>
      <c r="E115" s="3">
        <v>44609</v>
      </c>
      <c r="F115" s="2" t="s">
        <v>469</v>
      </c>
      <c r="G115" s="2" t="s">
        <v>57</v>
      </c>
      <c r="H115" s="2" t="s">
        <v>58</v>
      </c>
      <c r="I115" s="2" t="s">
        <v>77</v>
      </c>
      <c r="J115" s="2" t="s">
        <v>470</v>
      </c>
      <c r="K115" s="2" t="s">
        <v>38</v>
      </c>
      <c r="L115" s="2" t="s">
        <v>22</v>
      </c>
    </row>
    <row r="116" spans="1:12" ht="14.25" customHeight="1" x14ac:dyDescent="0.5">
      <c r="A116" s="2" t="s">
        <v>471</v>
      </c>
      <c r="B116" s="2" t="s">
        <v>141</v>
      </c>
      <c r="C116" s="2" t="s">
        <v>125</v>
      </c>
      <c r="D116" s="2" t="s">
        <v>69</v>
      </c>
      <c r="E116" s="3">
        <v>44334</v>
      </c>
      <c r="F116" s="2" t="s">
        <v>472</v>
      </c>
      <c r="G116" s="2" t="s">
        <v>57</v>
      </c>
      <c r="H116" s="2" t="s">
        <v>89</v>
      </c>
      <c r="I116" s="2" t="s">
        <v>107</v>
      </c>
      <c r="J116" s="2" t="s">
        <v>473</v>
      </c>
      <c r="K116" s="2" t="s">
        <v>79</v>
      </c>
      <c r="L116" s="2" t="s">
        <v>30</v>
      </c>
    </row>
    <row r="117" spans="1:12" ht="14.25" customHeight="1" x14ac:dyDescent="0.5">
      <c r="A117" s="2" t="s">
        <v>474</v>
      </c>
      <c r="B117" s="2" t="s">
        <v>475</v>
      </c>
      <c r="C117" s="2" t="s">
        <v>105</v>
      </c>
      <c r="D117" s="2" t="s">
        <v>69</v>
      </c>
      <c r="E117" s="3">
        <v>44098</v>
      </c>
      <c r="F117" s="2" t="s">
        <v>476</v>
      </c>
      <c r="G117" s="2" t="s">
        <v>17</v>
      </c>
      <c r="H117" s="2" t="s">
        <v>58</v>
      </c>
      <c r="I117" s="2" t="s">
        <v>19</v>
      </c>
      <c r="J117" s="2" t="s">
        <v>477</v>
      </c>
      <c r="K117" s="2" t="s">
        <v>38</v>
      </c>
      <c r="L117" s="2" t="s">
        <v>22</v>
      </c>
    </row>
    <row r="118" spans="1:12" ht="14.25" customHeight="1" x14ac:dyDescent="0.5">
      <c r="A118" s="2" t="s">
        <v>478</v>
      </c>
      <c r="B118" s="2" t="s">
        <v>249</v>
      </c>
      <c r="C118" s="2" t="s">
        <v>25</v>
      </c>
      <c r="D118" s="2" t="s">
        <v>15</v>
      </c>
      <c r="E118" s="3">
        <v>43838</v>
      </c>
      <c r="F118" s="2" t="s">
        <v>479</v>
      </c>
      <c r="G118" s="2" t="s">
        <v>44</v>
      </c>
      <c r="H118" s="2" t="s">
        <v>27</v>
      </c>
      <c r="I118" s="2" t="s">
        <v>19</v>
      </c>
      <c r="J118" s="2" t="s">
        <v>480</v>
      </c>
      <c r="K118" s="2" t="s">
        <v>38</v>
      </c>
      <c r="L118" s="2" t="s">
        <v>22</v>
      </c>
    </row>
    <row r="119" spans="1:12" ht="14.25" customHeight="1" x14ac:dyDescent="0.5">
      <c r="A119" s="2" t="s">
        <v>481</v>
      </c>
      <c r="B119" s="2" t="s">
        <v>482</v>
      </c>
      <c r="C119" s="2" t="s">
        <v>125</v>
      </c>
      <c r="D119" s="2" t="s">
        <v>34</v>
      </c>
      <c r="E119" s="3">
        <v>44338</v>
      </c>
      <c r="F119" s="2" t="s">
        <v>483</v>
      </c>
      <c r="G119" s="2" t="s">
        <v>44</v>
      </c>
      <c r="H119" s="2" t="s">
        <v>18</v>
      </c>
      <c r="I119" s="2" t="s">
        <v>77</v>
      </c>
      <c r="J119" s="2" t="s">
        <v>484</v>
      </c>
      <c r="K119" s="2" t="s">
        <v>96</v>
      </c>
      <c r="L119" s="2" t="s">
        <v>85</v>
      </c>
    </row>
    <row r="120" spans="1:12" ht="14.25" customHeight="1" x14ac:dyDescent="0.5">
      <c r="A120" s="2" t="s">
        <v>485</v>
      </c>
      <c r="B120" s="2" t="s">
        <v>191</v>
      </c>
      <c r="C120" s="2" t="s">
        <v>25</v>
      </c>
      <c r="D120" s="2" t="s">
        <v>15</v>
      </c>
      <c r="E120" s="3">
        <v>44306</v>
      </c>
      <c r="F120" s="2" t="s">
        <v>486</v>
      </c>
      <c r="G120" s="2" t="s">
        <v>83</v>
      </c>
      <c r="H120" s="2" t="s">
        <v>64</v>
      </c>
      <c r="I120" s="2" t="s">
        <v>107</v>
      </c>
      <c r="J120" s="2" t="s">
        <v>487</v>
      </c>
      <c r="K120" s="2" t="s">
        <v>60</v>
      </c>
      <c r="L120" s="2" t="s">
        <v>39</v>
      </c>
    </row>
    <row r="121" spans="1:12" ht="14.25" customHeight="1" x14ac:dyDescent="0.5">
      <c r="A121" s="2" t="s">
        <v>488</v>
      </c>
      <c r="B121" s="2" t="s">
        <v>115</v>
      </c>
      <c r="C121" s="2" t="s">
        <v>99</v>
      </c>
      <c r="D121" s="2" t="s">
        <v>42</v>
      </c>
      <c r="E121" s="3">
        <v>45151</v>
      </c>
      <c r="F121" s="2" t="s">
        <v>489</v>
      </c>
      <c r="G121" s="2" t="s">
        <v>83</v>
      </c>
      <c r="H121" s="2" t="s">
        <v>112</v>
      </c>
      <c r="I121" s="2" t="s">
        <v>28</v>
      </c>
      <c r="J121" s="2" t="s">
        <v>490</v>
      </c>
      <c r="K121" s="2" t="s">
        <v>79</v>
      </c>
      <c r="L121" s="2" t="s">
        <v>30</v>
      </c>
    </row>
    <row r="122" spans="1:12" ht="14.25" customHeight="1" x14ac:dyDescent="0.5">
      <c r="A122" s="2" t="s">
        <v>491</v>
      </c>
      <c r="B122" s="2" t="s">
        <v>492</v>
      </c>
      <c r="C122" s="2" t="s">
        <v>93</v>
      </c>
      <c r="D122" s="2" t="s">
        <v>69</v>
      </c>
      <c r="E122" s="3">
        <v>43994</v>
      </c>
      <c r="F122" s="2" t="s">
        <v>493</v>
      </c>
      <c r="G122" s="2" t="s">
        <v>36</v>
      </c>
      <c r="H122" s="2" t="s">
        <v>27</v>
      </c>
      <c r="J122" s="2" t="s">
        <v>494</v>
      </c>
      <c r="K122" s="2" t="s">
        <v>38</v>
      </c>
      <c r="L122" s="2" t="s">
        <v>30</v>
      </c>
    </row>
    <row r="123" spans="1:12" ht="14.25" customHeight="1" x14ac:dyDescent="0.5">
      <c r="A123" s="2" t="s">
        <v>495</v>
      </c>
      <c r="B123" s="2" t="s">
        <v>55</v>
      </c>
      <c r="C123" s="2" t="s">
        <v>49</v>
      </c>
      <c r="D123" s="2" t="s">
        <v>50</v>
      </c>
      <c r="E123" s="3">
        <v>44315</v>
      </c>
      <c r="F123" s="2" t="s">
        <v>496</v>
      </c>
      <c r="G123" s="2" t="s">
        <v>17</v>
      </c>
      <c r="H123" s="2" t="s">
        <v>45</v>
      </c>
      <c r="J123" s="2" t="s">
        <v>497</v>
      </c>
      <c r="K123" s="2" t="s">
        <v>53</v>
      </c>
      <c r="L123" s="2" t="s">
        <v>30</v>
      </c>
    </row>
    <row r="124" spans="1:12" ht="14.25" customHeight="1" x14ac:dyDescent="0.5">
      <c r="A124" s="2" t="s">
        <v>498</v>
      </c>
      <c r="B124" s="2" t="s">
        <v>343</v>
      </c>
      <c r="C124" s="2" t="s">
        <v>105</v>
      </c>
      <c r="D124" s="2" t="s">
        <v>75</v>
      </c>
      <c r="E124" s="3">
        <v>44926</v>
      </c>
      <c r="F124" s="2" t="s">
        <v>499</v>
      </c>
      <c r="G124" s="2" t="s">
        <v>83</v>
      </c>
      <c r="H124" s="2" t="s">
        <v>18</v>
      </c>
      <c r="I124" s="2" t="s">
        <v>107</v>
      </c>
      <c r="J124" s="2" t="s">
        <v>500</v>
      </c>
      <c r="K124" s="2" t="s">
        <v>159</v>
      </c>
      <c r="L124" s="2" t="s">
        <v>39</v>
      </c>
    </row>
    <row r="125" spans="1:12" ht="14.25" customHeight="1" x14ac:dyDescent="0.5">
      <c r="A125" s="2" t="s">
        <v>501</v>
      </c>
      <c r="B125" s="2" t="s">
        <v>502</v>
      </c>
      <c r="C125" s="2" t="s">
        <v>105</v>
      </c>
      <c r="D125" s="2" t="s">
        <v>34</v>
      </c>
      <c r="E125" s="3">
        <v>44397</v>
      </c>
      <c r="F125" s="2" t="s">
        <v>503</v>
      </c>
      <c r="G125" s="2" t="s">
        <v>83</v>
      </c>
      <c r="H125" s="2" t="s">
        <v>58</v>
      </c>
      <c r="I125" s="2" t="s">
        <v>28</v>
      </c>
      <c r="J125" s="2" t="s">
        <v>504</v>
      </c>
      <c r="K125" s="2" t="s">
        <v>47</v>
      </c>
      <c r="L125" s="2" t="s">
        <v>85</v>
      </c>
    </row>
    <row r="126" spans="1:12" ht="14.25" customHeight="1" x14ac:dyDescent="0.5">
      <c r="A126" s="2" t="s">
        <v>505</v>
      </c>
      <c r="B126" s="2" t="s">
        <v>475</v>
      </c>
      <c r="C126" s="2" t="s">
        <v>14</v>
      </c>
      <c r="D126" s="2" t="s">
        <v>100</v>
      </c>
      <c r="E126" s="3">
        <v>44735</v>
      </c>
      <c r="F126" s="2" t="s">
        <v>506</v>
      </c>
      <c r="G126" s="2" t="s">
        <v>17</v>
      </c>
      <c r="H126" s="2" t="s">
        <v>89</v>
      </c>
      <c r="I126" s="2" t="s">
        <v>19</v>
      </c>
      <c r="J126" s="2" t="s">
        <v>507</v>
      </c>
      <c r="K126" s="2" t="s">
        <v>38</v>
      </c>
      <c r="L126" s="2" t="s">
        <v>30</v>
      </c>
    </row>
    <row r="127" spans="1:12" ht="14.25" customHeight="1" x14ac:dyDescent="0.5">
      <c r="A127" s="2" t="s">
        <v>508</v>
      </c>
      <c r="B127" s="2" t="s">
        <v>165</v>
      </c>
      <c r="C127" s="2" t="s">
        <v>25</v>
      </c>
      <c r="D127" s="2" t="s">
        <v>50</v>
      </c>
      <c r="E127" s="3">
        <v>44389</v>
      </c>
      <c r="F127" s="2" t="s">
        <v>509</v>
      </c>
      <c r="G127" s="2" t="s">
        <v>36</v>
      </c>
      <c r="H127" s="2" t="s">
        <v>27</v>
      </c>
      <c r="I127" s="2" t="s">
        <v>65</v>
      </c>
      <c r="J127" s="2" t="s">
        <v>510</v>
      </c>
      <c r="K127" s="2" t="s">
        <v>79</v>
      </c>
      <c r="L127" s="2" t="s">
        <v>39</v>
      </c>
    </row>
    <row r="128" spans="1:12" ht="14.25" customHeight="1" x14ac:dyDescent="0.5">
      <c r="A128" s="2" t="s">
        <v>511</v>
      </c>
      <c r="B128" s="2" t="s">
        <v>343</v>
      </c>
      <c r="C128" s="2" t="s">
        <v>235</v>
      </c>
      <c r="D128" s="2" t="s">
        <v>34</v>
      </c>
      <c r="E128" s="3">
        <v>44068</v>
      </c>
      <c r="F128" s="2" t="s">
        <v>512</v>
      </c>
      <c r="G128" s="2" t="s">
        <v>83</v>
      </c>
      <c r="H128" s="2" t="s">
        <v>58</v>
      </c>
      <c r="I128" s="2" t="s">
        <v>65</v>
      </c>
      <c r="J128" s="2" t="s">
        <v>513</v>
      </c>
      <c r="K128" s="2" t="s">
        <v>38</v>
      </c>
      <c r="L128" s="2" t="s">
        <v>22</v>
      </c>
    </row>
    <row r="129" spans="1:12" ht="14.25" customHeight="1" x14ac:dyDescent="0.5">
      <c r="A129" s="2" t="s">
        <v>514</v>
      </c>
      <c r="B129" s="2" t="s">
        <v>437</v>
      </c>
      <c r="C129" s="2" t="s">
        <v>105</v>
      </c>
      <c r="D129" s="2" t="s">
        <v>15</v>
      </c>
      <c r="E129" s="3">
        <v>44958</v>
      </c>
      <c r="F129" s="2" t="s">
        <v>515</v>
      </c>
      <c r="G129" s="2" t="s">
        <v>36</v>
      </c>
      <c r="H129" s="2" t="s">
        <v>18</v>
      </c>
      <c r="I129" s="2" t="s">
        <v>107</v>
      </c>
      <c r="J129" s="2" t="s">
        <v>516</v>
      </c>
      <c r="K129" s="2" t="s">
        <v>47</v>
      </c>
      <c r="L129" s="2" t="s">
        <v>30</v>
      </c>
    </row>
    <row r="130" spans="1:12" ht="14.25" customHeight="1" x14ac:dyDescent="0.5">
      <c r="A130" s="2" t="s">
        <v>517</v>
      </c>
      <c r="B130" s="2" t="s">
        <v>115</v>
      </c>
      <c r="C130" s="2" t="s">
        <v>25</v>
      </c>
      <c r="D130" s="2" t="s">
        <v>15</v>
      </c>
      <c r="E130" s="3">
        <v>45064</v>
      </c>
      <c r="F130" s="2" t="s">
        <v>518</v>
      </c>
      <c r="G130" s="2" t="s">
        <v>57</v>
      </c>
      <c r="H130" s="2" t="s">
        <v>58</v>
      </c>
      <c r="I130" s="2" t="s">
        <v>28</v>
      </c>
      <c r="J130" s="2" t="s">
        <v>519</v>
      </c>
      <c r="K130" s="2" t="s">
        <v>79</v>
      </c>
      <c r="L130" s="2" t="s">
        <v>30</v>
      </c>
    </row>
    <row r="131" spans="1:12" ht="14.25" customHeight="1" x14ac:dyDescent="0.5">
      <c r="A131" s="2" t="s">
        <v>520</v>
      </c>
      <c r="B131" s="2" t="s">
        <v>137</v>
      </c>
      <c r="C131" s="2" t="s">
        <v>25</v>
      </c>
      <c r="D131" s="2" t="s">
        <v>50</v>
      </c>
      <c r="E131" s="3">
        <v>44384</v>
      </c>
      <c r="F131" s="2" t="s">
        <v>521</v>
      </c>
      <c r="G131" s="2" t="s">
        <v>36</v>
      </c>
      <c r="H131" s="2" t="s">
        <v>27</v>
      </c>
      <c r="I131" s="2" t="s">
        <v>28</v>
      </c>
      <c r="J131" s="2" t="s">
        <v>522</v>
      </c>
      <c r="K131" s="2" t="s">
        <v>60</v>
      </c>
      <c r="L131" s="2" t="s">
        <v>85</v>
      </c>
    </row>
    <row r="132" spans="1:12" ht="14.25" customHeight="1" x14ac:dyDescent="0.5">
      <c r="A132" s="2" t="s">
        <v>523</v>
      </c>
      <c r="B132" s="2" t="s">
        <v>524</v>
      </c>
      <c r="C132" s="2" t="s">
        <v>33</v>
      </c>
      <c r="D132" s="2" t="s">
        <v>15</v>
      </c>
      <c r="E132" s="3">
        <v>44658</v>
      </c>
      <c r="F132" s="2" t="s">
        <v>525</v>
      </c>
      <c r="G132" s="2" t="s">
        <v>44</v>
      </c>
      <c r="H132" s="2" t="s">
        <v>18</v>
      </c>
      <c r="J132" s="2" t="s">
        <v>526</v>
      </c>
      <c r="K132" s="2" t="s">
        <v>79</v>
      </c>
      <c r="L132" s="2" t="s">
        <v>30</v>
      </c>
    </row>
    <row r="133" spans="1:12" ht="14.25" customHeight="1" x14ac:dyDescent="0.5">
      <c r="A133" s="2" t="s">
        <v>527</v>
      </c>
      <c r="B133" s="2" t="s">
        <v>264</v>
      </c>
      <c r="C133" s="2" t="s">
        <v>33</v>
      </c>
      <c r="D133" s="2" t="s">
        <v>69</v>
      </c>
      <c r="E133" s="3">
        <v>44298</v>
      </c>
      <c r="F133" s="2" t="s">
        <v>528</v>
      </c>
      <c r="G133" s="2" t="s">
        <v>44</v>
      </c>
      <c r="H133" s="2" t="s">
        <v>45</v>
      </c>
      <c r="I133" s="2" t="s">
        <v>19</v>
      </c>
      <c r="J133" s="2" t="s">
        <v>529</v>
      </c>
      <c r="K133" s="2" t="s">
        <v>60</v>
      </c>
      <c r="L133" s="2" t="s">
        <v>30</v>
      </c>
    </row>
    <row r="134" spans="1:12" ht="14.25" customHeight="1" x14ac:dyDescent="0.5">
      <c r="A134" s="2" t="s">
        <v>530</v>
      </c>
      <c r="B134" s="2" t="s">
        <v>360</v>
      </c>
      <c r="C134" s="2" t="s">
        <v>49</v>
      </c>
      <c r="D134" s="2" t="s">
        <v>42</v>
      </c>
      <c r="E134" s="3">
        <v>45308</v>
      </c>
      <c r="F134" s="2" t="s">
        <v>531</v>
      </c>
      <c r="G134" s="2" t="s">
        <v>36</v>
      </c>
      <c r="H134" s="2" t="s">
        <v>27</v>
      </c>
      <c r="I134" s="2" t="s">
        <v>77</v>
      </c>
      <c r="J134" s="2" t="s">
        <v>532</v>
      </c>
      <c r="K134" s="2" t="s">
        <v>79</v>
      </c>
      <c r="L134" s="2" t="s">
        <v>22</v>
      </c>
    </row>
    <row r="135" spans="1:12" ht="14.25" customHeight="1" x14ac:dyDescent="0.5">
      <c r="A135" s="2" t="s">
        <v>533</v>
      </c>
      <c r="B135" s="2" t="s">
        <v>293</v>
      </c>
      <c r="C135" s="2" t="s">
        <v>99</v>
      </c>
      <c r="D135" s="2" t="s">
        <v>75</v>
      </c>
      <c r="E135" s="3">
        <v>45122</v>
      </c>
      <c r="F135" s="2" t="s">
        <v>534</v>
      </c>
      <c r="G135" s="2" t="s">
        <v>44</v>
      </c>
      <c r="H135" s="2" t="s">
        <v>112</v>
      </c>
      <c r="I135" s="2" t="s">
        <v>28</v>
      </c>
      <c r="J135" s="2" t="s">
        <v>535</v>
      </c>
      <c r="K135" s="2" t="s">
        <v>53</v>
      </c>
      <c r="L135" s="2" t="s">
        <v>39</v>
      </c>
    </row>
    <row r="136" spans="1:12" ht="14.25" customHeight="1" x14ac:dyDescent="0.5">
      <c r="A136" s="2" t="s">
        <v>536</v>
      </c>
      <c r="B136" s="2" t="s">
        <v>275</v>
      </c>
      <c r="C136" s="2" t="s">
        <v>49</v>
      </c>
      <c r="D136" s="2" t="s">
        <v>42</v>
      </c>
      <c r="E136" s="3">
        <v>44216</v>
      </c>
      <c r="F136" s="2" t="s">
        <v>537</v>
      </c>
      <c r="G136" s="2" t="s">
        <v>57</v>
      </c>
      <c r="H136" s="2" t="s">
        <v>121</v>
      </c>
      <c r="I136" s="2" t="s">
        <v>77</v>
      </c>
      <c r="J136" s="2" t="s">
        <v>538</v>
      </c>
      <c r="K136" s="2" t="s">
        <v>21</v>
      </c>
      <c r="L136" s="2" t="s">
        <v>39</v>
      </c>
    </row>
    <row r="137" spans="1:12" ht="14.25" customHeight="1" x14ac:dyDescent="0.5">
      <c r="A137" s="2" t="s">
        <v>539</v>
      </c>
      <c r="B137" s="2" t="s">
        <v>55</v>
      </c>
      <c r="C137" s="2" t="s">
        <v>125</v>
      </c>
      <c r="D137" s="2" t="s">
        <v>34</v>
      </c>
      <c r="E137" s="3">
        <v>44605</v>
      </c>
      <c r="F137" s="2" t="s">
        <v>540</v>
      </c>
      <c r="G137" s="2" t="s">
        <v>17</v>
      </c>
      <c r="H137" s="2" t="s">
        <v>64</v>
      </c>
      <c r="I137" s="2" t="s">
        <v>65</v>
      </c>
      <c r="J137" s="2" t="s">
        <v>541</v>
      </c>
      <c r="K137" s="2" t="s">
        <v>47</v>
      </c>
      <c r="L137" s="2" t="s">
        <v>85</v>
      </c>
    </row>
    <row r="138" spans="1:12" ht="14.25" customHeight="1" x14ac:dyDescent="0.5">
      <c r="A138" s="2" t="s">
        <v>542</v>
      </c>
      <c r="B138" s="2" t="s">
        <v>453</v>
      </c>
      <c r="C138" s="2" t="s">
        <v>235</v>
      </c>
      <c r="D138" s="2" t="s">
        <v>75</v>
      </c>
      <c r="E138" s="3">
        <v>44678</v>
      </c>
      <c r="F138" s="2" t="s">
        <v>543</v>
      </c>
      <c r="G138" s="2" t="s">
        <v>44</v>
      </c>
      <c r="H138" s="2" t="s">
        <v>27</v>
      </c>
      <c r="I138" s="2" t="s">
        <v>77</v>
      </c>
      <c r="J138" s="2" t="s">
        <v>544</v>
      </c>
      <c r="K138" s="2" t="s">
        <v>47</v>
      </c>
      <c r="L138" s="2" t="s">
        <v>22</v>
      </c>
    </row>
    <row r="139" spans="1:12" ht="14.25" customHeight="1" x14ac:dyDescent="0.5">
      <c r="A139" s="2" t="s">
        <v>545</v>
      </c>
      <c r="B139" s="2" t="s">
        <v>156</v>
      </c>
      <c r="C139" s="2" t="s">
        <v>125</v>
      </c>
      <c r="D139" s="2" t="s">
        <v>75</v>
      </c>
      <c r="E139" s="3">
        <v>44217</v>
      </c>
      <c r="F139" s="2" t="s">
        <v>546</v>
      </c>
      <c r="G139" s="2" t="s">
        <v>44</v>
      </c>
      <c r="H139" s="2" t="s">
        <v>18</v>
      </c>
      <c r="I139" s="2" t="s">
        <v>19</v>
      </c>
      <c r="J139" s="2" t="s">
        <v>547</v>
      </c>
      <c r="K139" s="2" t="s">
        <v>79</v>
      </c>
      <c r="L139" s="2" t="s">
        <v>39</v>
      </c>
    </row>
    <row r="140" spans="1:12" ht="14.25" customHeight="1" x14ac:dyDescent="0.5">
      <c r="A140" s="2" t="s">
        <v>548</v>
      </c>
      <c r="B140" s="2" t="s">
        <v>268</v>
      </c>
      <c r="C140" s="2" t="s">
        <v>74</v>
      </c>
      <c r="D140" s="2" t="s">
        <v>42</v>
      </c>
      <c r="E140" s="3">
        <v>44707</v>
      </c>
      <c r="F140" s="2" t="s">
        <v>549</v>
      </c>
      <c r="G140" s="2" t="s">
        <v>36</v>
      </c>
      <c r="H140" s="2" t="s">
        <v>89</v>
      </c>
      <c r="I140" s="2" t="s">
        <v>19</v>
      </c>
      <c r="J140" s="2" t="s">
        <v>550</v>
      </c>
      <c r="K140" s="2" t="s">
        <v>21</v>
      </c>
      <c r="L140" s="2" t="s">
        <v>22</v>
      </c>
    </row>
    <row r="141" spans="1:12" ht="14.25" customHeight="1" x14ac:dyDescent="0.5">
      <c r="A141" s="2" t="s">
        <v>551</v>
      </c>
      <c r="B141" s="2" t="s">
        <v>405</v>
      </c>
      <c r="C141" s="2" t="s">
        <v>125</v>
      </c>
      <c r="D141" s="2" t="s">
        <v>50</v>
      </c>
      <c r="E141" s="3">
        <v>44089</v>
      </c>
      <c r="F141" s="2" t="s">
        <v>552</v>
      </c>
      <c r="G141" s="2" t="s">
        <v>57</v>
      </c>
      <c r="H141" s="2" t="s">
        <v>64</v>
      </c>
      <c r="I141" s="2" t="s">
        <v>77</v>
      </c>
      <c r="J141" s="2" t="s">
        <v>553</v>
      </c>
      <c r="K141" s="2" t="s">
        <v>38</v>
      </c>
      <c r="L141" s="2" t="s">
        <v>39</v>
      </c>
    </row>
    <row r="142" spans="1:12" ht="14.25" customHeight="1" x14ac:dyDescent="0.5">
      <c r="A142" s="2" t="s">
        <v>554</v>
      </c>
      <c r="B142" s="2" t="s">
        <v>555</v>
      </c>
      <c r="C142" s="2" t="s">
        <v>14</v>
      </c>
      <c r="D142" s="2" t="s">
        <v>75</v>
      </c>
      <c r="E142" s="3">
        <v>44113</v>
      </c>
      <c r="F142" s="2" t="s">
        <v>556</v>
      </c>
      <c r="G142" s="2" t="s">
        <v>17</v>
      </c>
      <c r="H142" s="2" t="s">
        <v>27</v>
      </c>
      <c r="I142" s="2" t="s">
        <v>107</v>
      </c>
      <c r="J142" s="2" t="s">
        <v>557</v>
      </c>
      <c r="K142" s="2" t="s">
        <v>47</v>
      </c>
      <c r="L142" s="2" t="s">
        <v>22</v>
      </c>
    </row>
    <row r="143" spans="1:12" ht="14.25" customHeight="1" x14ac:dyDescent="0.5">
      <c r="A143" s="2" t="s">
        <v>558</v>
      </c>
      <c r="B143" s="2" t="s">
        <v>264</v>
      </c>
      <c r="C143" s="2" t="s">
        <v>125</v>
      </c>
      <c r="D143" s="2" t="s">
        <v>42</v>
      </c>
      <c r="E143" s="3">
        <v>43870</v>
      </c>
      <c r="F143" s="2" t="s">
        <v>559</v>
      </c>
      <c r="G143" s="2" t="s">
        <v>36</v>
      </c>
      <c r="H143" s="2" t="s">
        <v>45</v>
      </c>
      <c r="I143" s="2" t="s">
        <v>28</v>
      </c>
      <c r="J143" s="2" t="s">
        <v>560</v>
      </c>
      <c r="K143" s="2" t="s">
        <v>53</v>
      </c>
      <c r="L143" s="2" t="s">
        <v>85</v>
      </c>
    </row>
    <row r="144" spans="1:12" ht="14.25" customHeight="1" x14ac:dyDescent="0.5">
      <c r="A144" s="2" t="s">
        <v>561</v>
      </c>
      <c r="B144" s="2" t="s">
        <v>343</v>
      </c>
      <c r="C144" s="2" t="s">
        <v>49</v>
      </c>
      <c r="D144" s="2" t="s">
        <v>75</v>
      </c>
      <c r="E144" s="3">
        <v>44316</v>
      </c>
      <c r="F144" s="2" t="s">
        <v>562</v>
      </c>
      <c r="G144" s="2" t="s">
        <v>36</v>
      </c>
      <c r="H144" s="2" t="s">
        <v>89</v>
      </c>
      <c r="I144" s="2" t="s">
        <v>107</v>
      </c>
      <c r="J144" s="2" t="s">
        <v>563</v>
      </c>
      <c r="K144" s="2" t="s">
        <v>60</v>
      </c>
      <c r="L144" s="2" t="s">
        <v>30</v>
      </c>
    </row>
    <row r="145" spans="1:12" ht="14.25" customHeight="1" x14ac:dyDescent="0.5">
      <c r="A145" s="2" t="s">
        <v>564</v>
      </c>
      <c r="B145" s="2" t="s">
        <v>198</v>
      </c>
      <c r="C145" s="2" t="s">
        <v>105</v>
      </c>
      <c r="D145" s="2" t="s">
        <v>100</v>
      </c>
      <c r="E145" s="3">
        <v>44759</v>
      </c>
      <c r="F145" s="2" t="s">
        <v>565</v>
      </c>
      <c r="G145" s="2" t="s">
        <v>57</v>
      </c>
      <c r="H145" s="2" t="s">
        <v>45</v>
      </c>
      <c r="I145" s="2" t="s">
        <v>77</v>
      </c>
      <c r="J145" s="2" t="s">
        <v>566</v>
      </c>
      <c r="K145" s="2" t="s">
        <v>60</v>
      </c>
      <c r="L145" s="2" t="s">
        <v>85</v>
      </c>
    </row>
    <row r="146" spans="1:12" ht="14.25" customHeight="1" x14ac:dyDescent="0.5">
      <c r="A146" s="2" t="s">
        <v>567</v>
      </c>
      <c r="B146" s="2" t="s">
        <v>329</v>
      </c>
      <c r="C146" s="2" t="s">
        <v>105</v>
      </c>
      <c r="D146" s="2" t="s">
        <v>50</v>
      </c>
      <c r="E146" s="3">
        <v>44050</v>
      </c>
      <c r="F146" s="2" t="s">
        <v>568</v>
      </c>
      <c r="G146" s="2" t="s">
        <v>17</v>
      </c>
      <c r="H146" s="2" t="s">
        <v>112</v>
      </c>
      <c r="I146" s="2" t="s">
        <v>28</v>
      </c>
      <c r="J146" s="2" t="s">
        <v>569</v>
      </c>
      <c r="K146" s="2" t="s">
        <v>159</v>
      </c>
      <c r="L146" s="2" t="s">
        <v>39</v>
      </c>
    </row>
    <row r="147" spans="1:12" ht="14.25" customHeight="1" x14ac:dyDescent="0.5">
      <c r="A147" s="2" t="s">
        <v>570</v>
      </c>
      <c r="B147" s="2" t="s">
        <v>119</v>
      </c>
      <c r="C147" s="2" t="s">
        <v>33</v>
      </c>
      <c r="D147" s="2" t="s">
        <v>69</v>
      </c>
      <c r="E147" s="3">
        <v>44983</v>
      </c>
      <c r="F147" s="2" t="s">
        <v>571</v>
      </c>
      <c r="G147" s="2" t="s">
        <v>57</v>
      </c>
      <c r="H147" s="2" t="s">
        <v>89</v>
      </c>
      <c r="J147" s="2" t="s">
        <v>572</v>
      </c>
      <c r="K147" s="2" t="s">
        <v>96</v>
      </c>
      <c r="L147" s="2" t="s">
        <v>85</v>
      </c>
    </row>
    <row r="148" spans="1:12" ht="14.25" customHeight="1" x14ac:dyDescent="0.5">
      <c r="A148" s="2" t="s">
        <v>573</v>
      </c>
      <c r="B148" s="2" t="s">
        <v>437</v>
      </c>
      <c r="C148" s="2" t="s">
        <v>235</v>
      </c>
      <c r="D148" s="2" t="s">
        <v>75</v>
      </c>
      <c r="E148" s="3">
        <v>44845</v>
      </c>
      <c r="F148" s="2" t="s">
        <v>574</v>
      </c>
      <c r="G148" s="2" t="s">
        <v>17</v>
      </c>
      <c r="H148" s="2" t="s">
        <v>58</v>
      </c>
      <c r="I148" s="2" t="s">
        <v>107</v>
      </c>
      <c r="J148" s="2" t="s">
        <v>575</v>
      </c>
      <c r="K148" s="2" t="s">
        <v>21</v>
      </c>
      <c r="L148" s="2" t="s">
        <v>30</v>
      </c>
    </row>
    <row r="149" spans="1:12" ht="14.25" customHeight="1" x14ac:dyDescent="0.5">
      <c r="A149" s="2" t="s">
        <v>576</v>
      </c>
      <c r="B149" s="2" t="s">
        <v>329</v>
      </c>
      <c r="C149" s="2" t="s">
        <v>235</v>
      </c>
      <c r="D149" s="2" t="s">
        <v>100</v>
      </c>
      <c r="E149" s="3">
        <v>44854</v>
      </c>
      <c r="F149" s="2" t="s">
        <v>577</v>
      </c>
      <c r="G149" s="2" t="s">
        <v>57</v>
      </c>
      <c r="H149" s="2" t="s">
        <v>121</v>
      </c>
      <c r="I149" s="2" t="s">
        <v>107</v>
      </c>
      <c r="J149" s="2" t="s">
        <v>578</v>
      </c>
      <c r="K149" s="2" t="s">
        <v>96</v>
      </c>
      <c r="L149" s="2" t="s">
        <v>85</v>
      </c>
    </row>
    <row r="150" spans="1:12" ht="14.25" customHeight="1" x14ac:dyDescent="0.5">
      <c r="A150" s="2" t="s">
        <v>579</v>
      </c>
      <c r="B150" s="2" t="s">
        <v>580</v>
      </c>
      <c r="C150" s="2" t="s">
        <v>14</v>
      </c>
      <c r="D150" s="2" t="s">
        <v>69</v>
      </c>
      <c r="E150" s="3">
        <v>44443</v>
      </c>
      <c r="F150" s="2" t="s">
        <v>581</v>
      </c>
      <c r="G150" s="2" t="s">
        <v>36</v>
      </c>
      <c r="H150" s="2" t="s">
        <v>89</v>
      </c>
      <c r="I150" s="2" t="s">
        <v>77</v>
      </c>
      <c r="J150" s="2" t="s">
        <v>582</v>
      </c>
      <c r="K150" s="2" t="s">
        <v>96</v>
      </c>
      <c r="L150" s="2" t="s">
        <v>39</v>
      </c>
    </row>
    <row r="151" spans="1:12" ht="14.25" customHeight="1" x14ac:dyDescent="0.5">
      <c r="A151" s="2" t="s">
        <v>583</v>
      </c>
      <c r="B151" s="2" t="s">
        <v>584</v>
      </c>
      <c r="C151" s="2" t="s">
        <v>49</v>
      </c>
      <c r="D151" s="2" t="s">
        <v>69</v>
      </c>
      <c r="E151" s="3">
        <v>44758</v>
      </c>
      <c r="F151" s="2" t="s">
        <v>585</v>
      </c>
      <c r="G151" s="2" t="s">
        <v>36</v>
      </c>
      <c r="H151" s="2" t="s">
        <v>64</v>
      </c>
      <c r="I151" s="2" t="s">
        <v>65</v>
      </c>
      <c r="J151" s="2" t="s">
        <v>586</v>
      </c>
      <c r="K151" s="2" t="s">
        <v>60</v>
      </c>
      <c r="L151" s="2" t="s">
        <v>39</v>
      </c>
    </row>
    <row r="152" spans="1:12" ht="14.25" customHeight="1" x14ac:dyDescent="0.5">
      <c r="A152" s="2" t="s">
        <v>587</v>
      </c>
      <c r="B152" s="2" t="s">
        <v>588</v>
      </c>
      <c r="C152" s="2" t="s">
        <v>33</v>
      </c>
      <c r="D152" s="2" t="s">
        <v>34</v>
      </c>
      <c r="E152" s="3">
        <v>44518</v>
      </c>
      <c r="F152" s="2" t="s">
        <v>589</v>
      </c>
      <c r="G152" s="2" t="s">
        <v>83</v>
      </c>
      <c r="H152" s="2" t="s">
        <v>89</v>
      </c>
      <c r="I152" s="2" t="s">
        <v>77</v>
      </c>
      <c r="J152" s="2" t="s">
        <v>590</v>
      </c>
      <c r="K152" s="2" t="s">
        <v>53</v>
      </c>
      <c r="L152" s="2" t="s">
        <v>85</v>
      </c>
    </row>
    <row r="153" spans="1:12" ht="14.25" customHeight="1" x14ac:dyDescent="0.5">
      <c r="A153" s="2" t="s">
        <v>591</v>
      </c>
      <c r="B153" s="2" t="s">
        <v>275</v>
      </c>
      <c r="C153" s="2" t="s">
        <v>74</v>
      </c>
      <c r="D153" s="2" t="s">
        <v>75</v>
      </c>
      <c r="E153" s="3">
        <v>44443</v>
      </c>
      <c r="F153" s="2" t="s">
        <v>592</v>
      </c>
      <c r="G153" s="2" t="s">
        <v>44</v>
      </c>
      <c r="H153" s="2" t="s">
        <v>18</v>
      </c>
      <c r="I153" s="2" t="s">
        <v>107</v>
      </c>
      <c r="J153" s="2" t="s">
        <v>593</v>
      </c>
      <c r="K153" s="2" t="s">
        <v>53</v>
      </c>
      <c r="L153" s="2" t="s">
        <v>30</v>
      </c>
    </row>
    <row r="154" spans="1:12" ht="14.25" customHeight="1" x14ac:dyDescent="0.5">
      <c r="A154" s="2" t="s">
        <v>594</v>
      </c>
      <c r="B154" s="2" t="s">
        <v>156</v>
      </c>
      <c r="C154" s="2" t="s">
        <v>235</v>
      </c>
      <c r="D154" s="2" t="s">
        <v>42</v>
      </c>
      <c r="E154" s="3">
        <v>44090</v>
      </c>
      <c r="F154" s="2" t="s">
        <v>595</v>
      </c>
      <c r="G154" s="2" t="s">
        <v>57</v>
      </c>
      <c r="H154" s="2" t="s">
        <v>121</v>
      </c>
      <c r="I154" s="2" t="s">
        <v>28</v>
      </c>
      <c r="J154" s="2" t="s">
        <v>596</v>
      </c>
      <c r="K154" s="2" t="s">
        <v>159</v>
      </c>
      <c r="L154" s="2" t="s">
        <v>85</v>
      </c>
    </row>
    <row r="155" spans="1:12" ht="14.25" customHeight="1" x14ac:dyDescent="0.5">
      <c r="A155" s="2" t="s">
        <v>597</v>
      </c>
      <c r="B155" s="2" t="s">
        <v>297</v>
      </c>
      <c r="C155" s="2" t="s">
        <v>105</v>
      </c>
      <c r="D155" s="2" t="s">
        <v>75</v>
      </c>
      <c r="E155" s="3">
        <v>44820</v>
      </c>
      <c r="F155" s="2" t="s">
        <v>598</v>
      </c>
      <c r="G155" s="2" t="s">
        <v>83</v>
      </c>
      <c r="H155" s="2" t="s">
        <v>18</v>
      </c>
      <c r="I155" s="2" t="s">
        <v>65</v>
      </c>
      <c r="J155" s="2" t="s">
        <v>599</v>
      </c>
      <c r="K155" s="2" t="s">
        <v>96</v>
      </c>
      <c r="L155" s="2" t="s">
        <v>30</v>
      </c>
    </row>
    <row r="156" spans="1:12" ht="14.25" customHeight="1" x14ac:dyDescent="0.5">
      <c r="A156" s="2" t="s">
        <v>600</v>
      </c>
      <c r="B156" s="2" t="s">
        <v>601</v>
      </c>
      <c r="C156" s="2" t="s">
        <v>125</v>
      </c>
      <c r="D156" s="2" t="s">
        <v>100</v>
      </c>
      <c r="E156" s="3">
        <v>44796</v>
      </c>
      <c r="F156" s="2" t="s">
        <v>602</v>
      </c>
      <c r="G156" s="2" t="s">
        <v>44</v>
      </c>
      <c r="H156" s="2" t="s">
        <v>58</v>
      </c>
      <c r="I156" s="2" t="s">
        <v>77</v>
      </c>
      <c r="J156" s="2" t="s">
        <v>603</v>
      </c>
      <c r="K156" s="2" t="s">
        <v>96</v>
      </c>
      <c r="L156" s="2" t="s">
        <v>22</v>
      </c>
    </row>
    <row r="157" spans="1:12" ht="14.25" customHeight="1" x14ac:dyDescent="0.5">
      <c r="A157" s="2" t="s">
        <v>604</v>
      </c>
      <c r="B157" s="2" t="s">
        <v>398</v>
      </c>
      <c r="C157" s="2" t="s">
        <v>125</v>
      </c>
      <c r="D157" s="2" t="s">
        <v>69</v>
      </c>
      <c r="E157" s="3">
        <v>44196</v>
      </c>
      <c r="F157" s="2" t="s">
        <v>605</v>
      </c>
      <c r="G157" s="2" t="s">
        <v>57</v>
      </c>
      <c r="H157" s="2" t="s">
        <v>89</v>
      </c>
      <c r="I157" s="2" t="s">
        <v>77</v>
      </c>
      <c r="J157" s="2" t="s">
        <v>606</v>
      </c>
      <c r="K157" s="2" t="s">
        <v>79</v>
      </c>
      <c r="L157" s="2" t="s">
        <v>30</v>
      </c>
    </row>
    <row r="158" spans="1:12" ht="14.25" customHeight="1" x14ac:dyDescent="0.5">
      <c r="A158" s="2" t="s">
        <v>607</v>
      </c>
      <c r="B158" s="2" t="s">
        <v>608</v>
      </c>
      <c r="C158" s="2" t="s">
        <v>33</v>
      </c>
      <c r="D158" s="2" t="s">
        <v>75</v>
      </c>
      <c r="E158" s="3">
        <v>44374</v>
      </c>
      <c r="F158" s="2" t="s">
        <v>609</v>
      </c>
      <c r="G158" s="2" t="s">
        <v>17</v>
      </c>
      <c r="H158" s="2" t="s">
        <v>45</v>
      </c>
      <c r="I158" s="2" t="s">
        <v>107</v>
      </c>
      <c r="J158" s="2" t="s">
        <v>610</v>
      </c>
      <c r="K158" s="2" t="s">
        <v>79</v>
      </c>
      <c r="L158" s="2" t="s">
        <v>22</v>
      </c>
    </row>
    <row r="159" spans="1:12" ht="14.25" customHeight="1" x14ac:dyDescent="0.5">
      <c r="A159" s="2" t="s">
        <v>611</v>
      </c>
      <c r="B159" s="2" t="s">
        <v>173</v>
      </c>
      <c r="C159" s="2" t="s">
        <v>49</v>
      </c>
      <c r="D159" s="2" t="s">
        <v>42</v>
      </c>
      <c r="E159" s="3">
        <v>44479</v>
      </c>
      <c r="F159" s="2" t="s">
        <v>612</v>
      </c>
      <c r="G159" s="2" t="s">
        <v>44</v>
      </c>
      <c r="H159" s="2" t="s">
        <v>45</v>
      </c>
      <c r="I159" s="2" t="s">
        <v>107</v>
      </c>
      <c r="J159" s="2" t="s">
        <v>613</v>
      </c>
      <c r="K159" s="2" t="s">
        <v>79</v>
      </c>
      <c r="L159" s="2" t="s">
        <v>85</v>
      </c>
    </row>
    <row r="160" spans="1:12" ht="14.25" customHeight="1" x14ac:dyDescent="0.5">
      <c r="A160" s="2" t="s">
        <v>614</v>
      </c>
      <c r="B160" s="2" t="s">
        <v>260</v>
      </c>
      <c r="C160" s="2" t="s">
        <v>49</v>
      </c>
      <c r="D160" s="2" t="s">
        <v>34</v>
      </c>
      <c r="E160" s="3">
        <v>44644</v>
      </c>
      <c r="F160" s="2" t="s">
        <v>615</v>
      </c>
      <c r="G160" s="2" t="s">
        <v>36</v>
      </c>
      <c r="H160" s="2" t="s">
        <v>27</v>
      </c>
      <c r="J160" s="2" t="s">
        <v>616</v>
      </c>
      <c r="K160" s="2" t="s">
        <v>38</v>
      </c>
      <c r="L160" s="2" t="s">
        <v>30</v>
      </c>
    </row>
    <row r="161" spans="1:12" ht="14.25" customHeight="1" x14ac:dyDescent="0.5">
      <c r="A161" s="2" t="s">
        <v>617</v>
      </c>
      <c r="B161" s="2" t="s">
        <v>618</v>
      </c>
      <c r="C161" s="2" t="s">
        <v>99</v>
      </c>
      <c r="D161" s="2" t="s">
        <v>75</v>
      </c>
      <c r="E161" s="3">
        <v>44870</v>
      </c>
      <c r="F161" s="2" t="s">
        <v>619</v>
      </c>
      <c r="G161" s="2" t="s">
        <v>83</v>
      </c>
      <c r="H161" s="2" t="s">
        <v>112</v>
      </c>
      <c r="I161" s="2" t="s">
        <v>77</v>
      </c>
      <c r="J161" s="2" t="s">
        <v>620</v>
      </c>
      <c r="K161" s="2" t="s">
        <v>96</v>
      </c>
      <c r="L161" s="2" t="s">
        <v>22</v>
      </c>
    </row>
    <row r="162" spans="1:12" ht="14.25" customHeight="1" x14ac:dyDescent="0.5">
      <c r="A162" s="2" t="s">
        <v>621</v>
      </c>
      <c r="B162" s="2" t="s">
        <v>405</v>
      </c>
      <c r="C162" s="2" t="s">
        <v>93</v>
      </c>
      <c r="D162" s="2" t="s">
        <v>50</v>
      </c>
      <c r="E162" s="3">
        <v>44983</v>
      </c>
      <c r="F162" s="2" t="s">
        <v>622</v>
      </c>
      <c r="G162" s="2" t="s">
        <v>44</v>
      </c>
      <c r="H162" s="2" t="s">
        <v>64</v>
      </c>
      <c r="I162" s="2" t="s">
        <v>107</v>
      </c>
      <c r="J162" s="2" t="s">
        <v>623</v>
      </c>
      <c r="K162" s="2" t="s">
        <v>53</v>
      </c>
      <c r="L162" s="2" t="s">
        <v>22</v>
      </c>
    </row>
    <row r="163" spans="1:12" ht="14.25" customHeight="1" x14ac:dyDescent="0.5">
      <c r="A163" s="2" t="s">
        <v>624</v>
      </c>
      <c r="B163" s="2" t="s">
        <v>181</v>
      </c>
      <c r="C163" s="2" t="s">
        <v>235</v>
      </c>
      <c r="D163" s="2" t="s">
        <v>34</v>
      </c>
      <c r="E163" s="3">
        <v>44405</v>
      </c>
      <c r="F163" s="2" t="s">
        <v>625</v>
      </c>
      <c r="G163" s="2" t="s">
        <v>44</v>
      </c>
      <c r="H163" s="2" t="s">
        <v>121</v>
      </c>
      <c r="I163" s="2" t="s">
        <v>19</v>
      </c>
      <c r="J163" s="2" t="s">
        <v>626</v>
      </c>
      <c r="K163" s="2" t="s">
        <v>53</v>
      </c>
      <c r="L163" s="2" t="s">
        <v>22</v>
      </c>
    </row>
    <row r="164" spans="1:12" ht="14.25" customHeight="1" x14ac:dyDescent="0.5">
      <c r="A164" s="2" t="s">
        <v>627</v>
      </c>
      <c r="B164" s="2" t="s">
        <v>181</v>
      </c>
      <c r="C164" s="2" t="s">
        <v>49</v>
      </c>
      <c r="D164" s="2" t="s">
        <v>42</v>
      </c>
      <c r="E164" s="3">
        <v>44963</v>
      </c>
      <c r="F164" s="2" t="s">
        <v>628</v>
      </c>
      <c r="G164" s="2" t="s">
        <v>36</v>
      </c>
      <c r="H164" s="2" t="s">
        <v>112</v>
      </c>
      <c r="I164" s="2" t="s">
        <v>65</v>
      </c>
      <c r="J164" s="2" t="s">
        <v>629</v>
      </c>
      <c r="K164" s="2" t="s">
        <v>38</v>
      </c>
      <c r="L164" s="2" t="s">
        <v>39</v>
      </c>
    </row>
    <row r="165" spans="1:12" ht="14.25" customHeight="1" x14ac:dyDescent="0.5">
      <c r="A165" s="2" t="s">
        <v>630</v>
      </c>
      <c r="B165" s="2" t="s">
        <v>502</v>
      </c>
      <c r="C165" s="2" t="s">
        <v>105</v>
      </c>
      <c r="D165" s="2" t="s">
        <v>100</v>
      </c>
      <c r="E165" s="3">
        <v>44843</v>
      </c>
      <c r="F165" s="2" t="s">
        <v>631</v>
      </c>
      <c r="G165" s="2" t="s">
        <v>57</v>
      </c>
      <c r="H165" s="2" t="s">
        <v>89</v>
      </c>
      <c r="I165" s="2" t="s">
        <v>19</v>
      </c>
      <c r="J165" s="2" t="s">
        <v>632</v>
      </c>
      <c r="K165" s="2" t="s">
        <v>53</v>
      </c>
      <c r="L165" s="2" t="s">
        <v>85</v>
      </c>
    </row>
    <row r="166" spans="1:12" ht="14.25" customHeight="1" x14ac:dyDescent="0.5">
      <c r="A166" s="2" t="s">
        <v>633</v>
      </c>
      <c r="B166" s="2" t="s">
        <v>210</v>
      </c>
      <c r="C166" s="2" t="s">
        <v>33</v>
      </c>
      <c r="D166" s="2" t="s">
        <v>69</v>
      </c>
      <c r="E166" s="3">
        <v>44500</v>
      </c>
      <c r="F166" s="2" t="s">
        <v>634</v>
      </c>
      <c r="G166" s="2" t="s">
        <v>17</v>
      </c>
      <c r="H166" s="2" t="s">
        <v>112</v>
      </c>
      <c r="I166" s="2" t="s">
        <v>65</v>
      </c>
      <c r="J166" s="2" t="s">
        <v>635</v>
      </c>
      <c r="K166" s="2" t="s">
        <v>159</v>
      </c>
      <c r="L166" s="2" t="s">
        <v>22</v>
      </c>
    </row>
    <row r="167" spans="1:12" ht="14.25" customHeight="1" x14ac:dyDescent="0.5">
      <c r="A167" s="2" t="s">
        <v>636</v>
      </c>
      <c r="B167" s="2" t="s">
        <v>405</v>
      </c>
      <c r="C167" s="2" t="s">
        <v>74</v>
      </c>
      <c r="D167" s="2" t="s">
        <v>75</v>
      </c>
      <c r="E167" s="3">
        <v>44099</v>
      </c>
      <c r="F167" s="2" t="s">
        <v>637</v>
      </c>
      <c r="G167" s="2" t="s">
        <v>36</v>
      </c>
      <c r="H167" s="2" t="s">
        <v>27</v>
      </c>
      <c r="I167" s="2" t="s">
        <v>77</v>
      </c>
      <c r="J167" s="2" t="s">
        <v>638</v>
      </c>
      <c r="K167" s="2" t="s">
        <v>21</v>
      </c>
      <c r="L167" s="2" t="s">
        <v>30</v>
      </c>
    </row>
    <row r="168" spans="1:12" ht="14.25" customHeight="1" x14ac:dyDescent="0.5">
      <c r="A168" s="2" t="s">
        <v>639</v>
      </c>
      <c r="B168" s="2" t="s">
        <v>279</v>
      </c>
      <c r="C168" s="2" t="s">
        <v>99</v>
      </c>
      <c r="D168" s="2" t="s">
        <v>42</v>
      </c>
      <c r="E168" s="3">
        <v>45016</v>
      </c>
      <c r="F168" s="2" t="s">
        <v>640</v>
      </c>
      <c r="G168" s="2" t="s">
        <v>17</v>
      </c>
      <c r="H168" s="2" t="s">
        <v>112</v>
      </c>
      <c r="J168" s="2" t="s">
        <v>641</v>
      </c>
      <c r="K168" s="2" t="s">
        <v>60</v>
      </c>
      <c r="L168" s="2" t="s">
        <v>22</v>
      </c>
    </row>
    <row r="169" spans="1:12" ht="14.25" customHeight="1" x14ac:dyDescent="0.5">
      <c r="A169" s="2" t="s">
        <v>642</v>
      </c>
      <c r="B169" s="2" t="s">
        <v>104</v>
      </c>
      <c r="C169" s="2" t="s">
        <v>25</v>
      </c>
      <c r="D169" s="2" t="s">
        <v>34</v>
      </c>
      <c r="E169" s="3">
        <v>45114</v>
      </c>
      <c r="F169" s="2" t="s">
        <v>643</v>
      </c>
      <c r="G169" s="2" t="s">
        <v>57</v>
      </c>
      <c r="H169" s="2" t="s">
        <v>121</v>
      </c>
      <c r="I169" s="2" t="s">
        <v>107</v>
      </c>
      <c r="J169" s="2" t="s">
        <v>644</v>
      </c>
      <c r="K169" s="2" t="s">
        <v>96</v>
      </c>
      <c r="L169" s="2" t="s">
        <v>39</v>
      </c>
    </row>
    <row r="170" spans="1:12" ht="14.25" customHeight="1" x14ac:dyDescent="0.5">
      <c r="A170" s="2" t="s">
        <v>645</v>
      </c>
      <c r="B170" s="2" t="s">
        <v>646</v>
      </c>
      <c r="C170" s="2" t="s">
        <v>14</v>
      </c>
      <c r="D170" s="2" t="s">
        <v>50</v>
      </c>
      <c r="E170" s="3">
        <v>44754</v>
      </c>
      <c r="F170" s="2" t="s">
        <v>647</v>
      </c>
      <c r="G170" s="2" t="s">
        <v>44</v>
      </c>
      <c r="H170" s="2" t="s">
        <v>58</v>
      </c>
      <c r="I170" s="2" t="s">
        <v>107</v>
      </c>
      <c r="J170" s="2" t="s">
        <v>648</v>
      </c>
      <c r="K170" s="2" t="s">
        <v>53</v>
      </c>
      <c r="L170" s="2" t="s">
        <v>85</v>
      </c>
    </row>
    <row r="171" spans="1:12" ht="14.25" customHeight="1" x14ac:dyDescent="0.5">
      <c r="A171" s="2" t="s">
        <v>649</v>
      </c>
      <c r="B171" s="2" t="s">
        <v>202</v>
      </c>
      <c r="C171" s="2" t="s">
        <v>74</v>
      </c>
      <c r="D171" s="2" t="s">
        <v>42</v>
      </c>
      <c r="E171" s="3">
        <v>44956</v>
      </c>
      <c r="F171" s="2" t="s">
        <v>650</v>
      </c>
      <c r="G171" s="2" t="s">
        <v>17</v>
      </c>
      <c r="H171" s="2" t="s">
        <v>27</v>
      </c>
      <c r="I171" s="2" t="s">
        <v>107</v>
      </c>
      <c r="J171" s="2" t="s">
        <v>651</v>
      </c>
      <c r="K171" s="2" t="s">
        <v>60</v>
      </c>
      <c r="L171" s="2" t="s">
        <v>39</v>
      </c>
    </row>
    <row r="172" spans="1:12" ht="14.25" customHeight="1" x14ac:dyDescent="0.5">
      <c r="A172" s="2" t="s">
        <v>652</v>
      </c>
      <c r="B172" s="2" t="s">
        <v>191</v>
      </c>
      <c r="C172" s="2" t="s">
        <v>25</v>
      </c>
      <c r="D172" s="2" t="s">
        <v>15</v>
      </c>
      <c r="E172" s="3">
        <v>44077</v>
      </c>
      <c r="F172" s="2" t="s">
        <v>653</v>
      </c>
      <c r="G172" s="2" t="s">
        <v>83</v>
      </c>
      <c r="H172" s="2" t="s">
        <v>58</v>
      </c>
      <c r="I172" s="2" t="s">
        <v>77</v>
      </c>
      <c r="J172" s="2" t="s">
        <v>654</v>
      </c>
      <c r="K172" s="2" t="s">
        <v>53</v>
      </c>
      <c r="L172" s="2" t="s">
        <v>39</v>
      </c>
    </row>
    <row r="173" spans="1:12" ht="14.25" customHeight="1" x14ac:dyDescent="0.5">
      <c r="A173" s="2" t="s">
        <v>655</v>
      </c>
      <c r="B173" s="2" t="s">
        <v>656</v>
      </c>
      <c r="C173" s="2" t="s">
        <v>125</v>
      </c>
      <c r="D173" s="2" t="s">
        <v>50</v>
      </c>
      <c r="E173" s="3">
        <v>43961</v>
      </c>
      <c r="F173" s="2" t="s">
        <v>657</v>
      </c>
      <c r="G173" s="2" t="s">
        <v>83</v>
      </c>
      <c r="H173" s="2" t="s">
        <v>89</v>
      </c>
      <c r="I173" s="2" t="s">
        <v>65</v>
      </c>
      <c r="J173" s="2" t="s">
        <v>658</v>
      </c>
      <c r="K173" s="2" t="s">
        <v>21</v>
      </c>
      <c r="L173" s="2" t="s">
        <v>39</v>
      </c>
    </row>
    <row r="174" spans="1:12" ht="14.25" customHeight="1" x14ac:dyDescent="0.5">
      <c r="A174" s="2" t="s">
        <v>659</v>
      </c>
      <c r="B174" s="2" t="s">
        <v>502</v>
      </c>
      <c r="C174" s="2" t="s">
        <v>14</v>
      </c>
      <c r="D174" s="2" t="s">
        <v>34</v>
      </c>
      <c r="E174" s="3">
        <v>44183</v>
      </c>
      <c r="F174" s="2" t="s">
        <v>660</v>
      </c>
      <c r="G174" s="2" t="s">
        <v>36</v>
      </c>
      <c r="H174" s="2" t="s">
        <v>27</v>
      </c>
      <c r="I174" s="2" t="s">
        <v>107</v>
      </c>
      <c r="J174" s="2" t="s">
        <v>661</v>
      </c>
      <c r="K174" s="2" t="s">
        <v>79</v>
      </c>
      <c r="L174" s="2" t="s">
        <v>30</v>
      </c>
    </row>
    <row r="175" spans="1:12" ht="14.25" customHeight="1" x14ac:dyDescent="0.5">
      <c r="A175" s="2" t="s">
        <v>662</v>
      </c>
      <c r="B175" s="2" t="s">
        <v>41</v>
      </c>
      <c r="C175" s="2" t="s">
        <v>235</v>
      </c>
      <c r="D175" s="2" t="s">
        <v>100</v>
      </c>
      <c r="E175" s="3">
        <v>44026</v>
      </c>
      <c r="F175" s="2" t="s">
        <v>663</v>
      </c>
      <c r="G175" s="2" t="s">
        <v>57</v>
      </c>
      <c r="H175" s="2" t="s">
        <v>89</v>
      </c>
      <c r="I175" s="2" t="s">
        <v>19</v>
      </c>
      <c r="J175" s="2" t="s">
        <v>664</v>
      </c>
      <c r="K175" s="2" t="s">
        <v>96</v>
      </c>
      <c r="L175" s="2" t="s">
        <v>85</v>
      </c>
    </row>
    <row r="176" spans="1:12" ht="14.25" customHeight="1" x14ac:dyDescent="0.5">
      <c r="A176" s="2" t="s">
        <v>665</v>
      </c>
      <c r="B176" s="2" t="s">
        <v>524</v>
      </c>
      <c r="C176" s="2" t="s">
        <v>105</v>
      </c>
      <c r="D176" s="2" t="s">
        <v>69</v>
      </c>
      <c r="E176" s="3">
        <v>44760</v>
      </c>
      <c r="F176" s="2" t="s">
        <v>666</v>
      </c>
      <c r="G176" s="2" t="s">
        <v>36</v>
      </c>
      <c r="H176" s="2" t="s">
        <v>89</v>
      </c>
      <c r="I176" s="2" t="s">
        <v>107</v>
      </c>
      <c r="J176" s="2" t="s">
        <v>667</v>
      </c>
      <c r="K176" s="2" t="s">
        <v>47</v>
      </c>
      <c r="L176" s="2" t="s">
        <v>85</v>
      </c>
    </row>
    <row r="177" spans="1:12" ht="14.25" customHeight="1" x14ac:dyDescent="0.5">
      <c r="A177" s="2" t="s">
        <v>668</v>
      </c>
      <c r="B177" s="2" t="s">
        <v>669</v>
      </c>
      <c r="C177" s="2" t="s">
        <v>14</v>
      </c>
      <c r="D177" s="2" t="s">
        <v>34</v>
      </c>
      <c r="E177" s="3">
        <v>45236</v>
      </c>
      <c r="F177" s="2" t="s">
        <v>670</v>
      </c>
      <c r="G177" s="2" t="s">
        <v>36</v>
      </c>
      <c r="H177" s="2" t="s">
        <v>112</v>
      </c>
      <c r="I177" s="2" t="s">
        <v>77</v>
      </c>
      <c r="J177" s="2" t="s">
        <v>671</v>
      </c>
      <c r="K177" s="2" t="s">
        <v>38</v>
      </c>
      <c r="L177" s="2" t="s">
        <v>30</v>
      </c>
    </row>
    <row r="178" spans="1:12" ht="14.25" customHeight="1" x14ac:dyDescent="0.5">
      <c r="A178" s="2" t="s">
        <v>672</v>
      </c>
      <c r="B178" s="2" t="s">
        <v>584</v>
      </c>
      <c r="C178" s="2" t="s">
        <v>93</v>
      </c>
      <c r="D178" s="2" t="s">
        <v>100</v>
      </c>
      <c r="E178" s="3">
        <v>44852</v>
      </c>
      <c r="F178" s="2" t="s">
        <v>673</v>
      </c>
      <c r="G178" s="2" t="s">
        <v>36</v>
      </c>
      <c r="H178" s="2" t="s">
        <v>58</v>
      </c>
      <c r="J178" s="2" t="s">
        <v>674</v>
      </c>
      <c r="K178" s="2" t="s">
        <v>38</v>
      </c>
      <c r="L178" s="2" t="s">
        <v>85</v>
      </c>
    </row>
    <row r="179" spans="1:12" ht="14.25" customHeight="1" x14ac:dyDescent="0.5">
      <c r="A179" s="2" t="s">
        <v>675</v>
      </c>
      <c r="B179" s="2" t="s">
        <v>92</v>
      </c>
      <c r="C179" s="2" t="s">
        <v>25</v>
      </c>
      <c r="D179" s="2" t="s">
        <v>75</v>
      </c>
      <c r="E179" s="3">
        <v>44475</v>
      </c>
      <c r="F179" s="2" t="s">
        <v>676</v>
      </c>
      <c r="G179" s="2" t="s">
        <v>83</v>
      </c>
      <c r="H179" s="2" t="s">
        <v>89</v>
      </c>
      <c r="I179" s="2" t="s">
        <v>19</v>
      </c>
      <c r="J179" s="2" t="s">
        <v>677</v>
      </c>
      <c r="K179" s="2" t="s">
        <v>96</v>
      </c>
      <c r="L179" s="2" t="s">
        <v>39</v>
      </c>
    </row>
    <row r="180" spans="1:12" ht="14.25" customHeight="1" x14ac:dyDescent="0.5">
      <c r="A180" s="2" t="s">
        <v>678</v>
      </c>
      <c r="B180" s="2" t="s">
        <v>286</v>
      </c>
      <c r="C180" s="2" t="s">
        <v>235</v>
      </c>
      <c r="D180" s="2" t="s">
        <v>42</v>
      </c>
      <c r="E180" s="3">
        <v>44057</v>
      </c>
      <c r="F180" s="2" t="s">
        <v>679</v>
      </c>
      <c r="G180" s="2" t="s">
        <v>83</v>
      </c>
      <c r="H180" s="2" t="s">
        <v>58</v>
      </c>
      <c r="I180" s="2" t="s">
        <v>107</v>
      </c>
      <c r="J180" s="2" t="s">
        <v>680</v>
      </c>
      <c r="K180" s="2" t="s">
        <v>21</v>
      </c>
      <c r="L180" s="2" t="s">
        <v>85</v>
      </c>
    </row>
    <row r="181" spans="1:12" ht="14.25" customHeight="1" x14ac:dyDescent="0.5">
      <c r="A181" s="2" t="s">
        <v>681</v>
      </c>
      <c r="B181" s="2" t="s">
        <v>425</v>
      </c>
      <c r="C181" s="2" t="s">
        <v>93</v>
      </c>
      <c r="D181" s="2" t="s">
        <v>15</v>
      </c>
      <c r="E181" s="3">
        <v>44531</v>
      </c>
      <c r="F181" s="2" t="s">
        <v>682</v>
      </c>
      <c r="G181" s="2" t="s">
        <v>36</v>
      </c>
      <c r="H181" s="2" t="s">
        <v>58</v>
      </c>
      <c r="I181" s="2" t="s">
        <v>107</v>
      </c>
      <c r="J181" s="2" t="s">
        <v>683</v>
      </c>
      <c r="K181" s="2" t="s">
        <v>79</v>
      </c>
      <c r="L181" s="2" t="s">
        <v>30</v>
      </c>
    </row>
    <row r="182" spans="1:12" ht="14.25" customHeight="1" x14ac:dyDescent="0.5">
      <c r="A182" s="2" t="s">
        <v>684</v>
      </c>
      <c r="B182" s="2" t="s">
        <v>685</v>
      </c>
      <c r="C182" s="2" t="s">
        <v>125</v>
      </c>
      <c r="D182" s="2" t="s">
        <v>50</v>
      </c>
      <c r="E182" s="3">
        <v>45330</v>
      </c>
      <c r="F182" s="2" t="s">
        <v>686</v>
      </c>
      <c r="G182" s="2" t="s">
        <v>83</v>
      </c>
      <c r="H182" s="2" t="s">
        <v>27</v>
      </c>
      <c r="I182" s="2" t="s">
        <v>28</v>
      </c>
      <c r="J182" s="2" t="s">
        <v>687</v>
      </c>
      <c r="K182" s="2" t="s">
        <v>38</v>
      </c>
      <c r="L182" s="2" t="s">
        <v>39</v>
      </c>
    </row>
    <row r="183" spans="1:12" ht="14.25" customHeight="1" x14ac:dyDescent="0.5">
      <c r="A183" s="2" t="s">
        <v>688</v>
      </c>
      <c r="B183" s="2" t="s">
        <v>555</v>
      </c>
      <c r="C183" s="2" t="s">
        <v>93</v>
      </c>
      <c r="D183" s="2" t="s">
        <v>50</v>
      </c>
      <c r="E183" s="3">
        <v>44095</v>
      </c>
      <c r="F183" s="2" t="s">
        <v>689</v>
      </c>
      <c r="G183" s="2" t="s">
        <v>57</v>
      </c>
      <c r="H183" s="2" t="s">
        <v>18</v>
      </c>
      <c r="I183" s="2" t="s">
        <v>65</v>
      </c>
      <c r="J183" s="2" t="s">
        <v>690</v>
      </c>
      <c r="K183" s="2" t="s">
        <v>79</v>
      </c>
      <c r="L183" s="2" t="s">
        <v>30</v>
      </c>
    </row>
    <row r="184" spans="1:12" ht="14.25" customHeight="1" x14ac:dyDescent="0.5">
      <c r="A184" s="2" t="s">
        <v>691</v>
      </c>
      <c r="B184" s="2" t="s">
        <v>378</v>
      </c>
      <c r="C184" s="2" t="s">
        <v>99</v>
      </c>
      <c r="D184" s="2" t="s">
        <v>42</v>
      </c>
      <c r="E184" s="3">
        <v>45226</v>
      </c>
      <c r="F184" s="2" t="s">
        <v>692</v>
      </c>
      <c r="G184" s="2" t="s">
        <v>36</v>
      </c>
      <c r="H184" s="2" t="s">
        <v>112</v>
      </c>
      <c r="I184" s="2" t="s">
        <v>19</v>
      </c>
      <c r="J184" s="2" t="s">
        <v>693</v>
      </c>
      <c r="K184" s="2" t="s">
        <v>159</v>
      </c>
      <c r="L184" s="2" t="s">
        <v>22</v>
      </c>
    </row>
    <row r="185" spans="1:12" ht="14.25" customHeight="1" x14ac:dyDescent="0.5">
      <c r="A185" s="2" t="s">
        <v>694</v>
      </c>
      <c r="B185" s="2" t="s">
        <v>24</v>
      </c>
      <c r="C185" s="2" t="s">
        <v>99</v>
      </c>
      <c r="D185" s="2" t="s">
        <v>15</v>
      </c>
      <c r="E185" s="3">
        <v>45288</v>
      </c>
      <c r="F185" s="2" t="s">
        <v>695</v>
      </c>
      <c r="G185" s="2" t="s">
        <v>83</v>
      </c>
      <c r="H185" s="2" t="s">
        <v>89</v>
      </c>
      <c r="I185" s="2" t="s">
        <v>28</v>
      </c>
      <c r="J185" s="2" t="s">
        <v>696</v>
      </c>
      <c r="K185" s="2" t="s">
        <v>60</v>
      </c>
      <c r="L185" s="2" t="s">
        <v>39</v>
      </c>
    </row>
    <row r="186" spans="1:12" ht="14.25" customHeight="1" x14ac:dyDescent="0.5">
      <c r="A186" s="2" t="s">
        <v>697</v>
      </c>
      <c r="B186" s="2" t="s">
        <v>698</v>
      </c>
      <c r="C186" s="2" t="s">
        <v>33</v>
      </c>
      <c r="D186" s="2" t="s">
        <v>42</v>
      </c>
      <c r="E186" s="3">
        <v>44476</v>
      </c>
      <c r="F186" s="2" t="s">
        <v>699</v>
      </c>
      <c r="G186" s="2" t="s">
        <v>17</v>
      </c>
      <c r="H186" s="2" t="s">
        <v>58</v>
      </c>
      <c r="J186" s="2" t="s">
        <v>700</v>
      </c>
      <c r="K186" s="2" t="s">
        <v>21</v>
      </c>
      <c r="L186" s="2" t="s">
        <v>39</v>
      </c>
    </row>
    <row r="187" spans="1:12" ht="14.25" customHeight="1" x14ac:dyDescent="0.5">
      <c r="A187" s="2" t="s">
        <v>701</v>
      </c>
      <c r="B187" s="2" t="s">
        <v>177</v>
      </c>
      <c r="C187" s="2" t="s">
        <v>74</v>
      </c>
      <c r="D187" s="2" t="s">
        <v>75</v>
      </c>
      <c r="E187" s="3">
        <v>44041</v>
      </c>
      <c r="F187" s="2" t="s">
        <v>702</v>
      </c>
      <c r="G187" s="2" t="s">
        <v>36</v>
      </c>
      <c r="H187" s="2" t="s">
        <v>64</v>
      </c>
      <c r="I187" s="2" t="s">
        <v>65</v>
      </c>
      <c r="J187" s="2" t="s">
        <v>703</v>
      </c>
      <c r="K187" s="2" t="s">
        <v>47</v>
      </c>
      <c r="L187" s="2" t="s">
        <v>85</v>
      </c>
    </row>
    <row r="188" spans="1:12" ht="14.25" customHeight="1" x14ac:dyDescent="0.5">
      <c r="A188" s="2" t="s">
        <v>704</v>
      </c>
      <c r="B188" s="2" t="s">
        <v>437</v>
      </c>
      <c r="C188" s="2" t="s">
        <v>74</v>
      </c>
      <c r="D188" s="2" t="s">
        <v>100</v>
      </c>
      <c r="E188" s="3">
        <v>45231</v>
      </c>
      <c r="F188" s="2" t="s">
        <v>705</v>
      </c>
      <c r="G188" s="2" t="s">
        <v>36</v>
      </c>
      <c r="H188" s="2" t="s">
        <v>18</v>
      </c>
      <c r="I188" s="2" t="s">
        <v>19</v>
      </c>
      <c r="J188" s="2" t="s">
        <v>706</v>
      </c>
      <c r="K188" s="2" t="s">
        <v>60</v>
      </c>
      <c r="L188" s="2" t="s">
        <v>39</v>
      </c>
    </row>
    <row r="189" spans="1:12" ht="14.25" customHeight="1" x14ac:dyDescent="0.5">
      <c r="A189" s="2" t="s">
        <v>707</v>
      </c>
      <c r="B189" s="2" t="s">
        <v>152</v>
      </c>
      <c r="C189" s="2" t="s">
        <v>235</v>
      </c>
      <c r="D189" s="2" t="s">
        <v>34</v>
      </c>
      <c r="E189" s="3">
        <v>45249</v>
      </c>
      <c r="F189" s="2" t="s">
        <v>708</v>
      </c>
      <c r="G189" s="2" t="s">
        <v>57</v>
      </c>
      <c r="H189" s="2" t="s">
        <v>89</v>
      </c>
      <c r="I189" s="2" t="s">
        <v>107</v>
      </c>
      <c r="J189" s="2" t="s">
        <v>709</v>
      </c>
      <c r="K189" s="2" t="s">
        <v>60</v>
      </c>
      <c r="L189" s="2" t="s">
        <v>30</v>
      </c>
    </row>
    <row r="190" spans="1:12" ht="14.25" customHeight="1" x14ac:dyDescent="0.5">
      <c r="A190" s="2" t="s">
        <v>710</v>
      </c>
      <c r="B190" s="2" t="s">
        <v>161</v>
      </c>
      <c r="C190" s="2" t="s">
        <v>125</v>
      </c>
      <c r="D190" s="2" t="s">
        <v>50</v>
      </c>
      <c r="E190" s="3">
        <v>45304</v>
      </c>
      <c r="F190" s="2" t="s">
        <v>711</v>
      </c>
      <c r="G190" s="2" t="s">
        <v>44</v>
      </c>
      <c r="H190" s="2" t="s">
        <v>64</v>
      </c>
      <c r="I190" s="2" t="s">
        <v>19</v>
      </c>
      <c r="J190" s="2" t="s">
        <v>712</v>
      </c>
      <c r="K190" s="2" t="s">
        <v>159</v>
      </c>
      <c r="L190" s="2" t="s">
        <v>85</v>
      </c>
    </row>
    <row r="191" spans="1:12" ht="14.25" customHeight="1" x14ac:dyDescent="0.5">
      <c r="A191" s="2" t="s">
        <v>713</v>
      </c>
      <c r="B191" s="2" t="s">
        <v>104</v>
      </c>
      <c r="C191" s="2" t="s">
        <v>49</v>
      </c>
      <c r="D191" s="2" t="s">
        <v>75</v>
      </c>
      <c r="E191" s="3">
        <v>44773</v>
      </c>
      <c r="F191" s="2" t="s">
        <v>714</v>
      </c>
      <c r="G191" s="2" t="s">
        <v>44</v>
      </c>
      <c r="H191" s="2" t="s">
        <v>112</v>
      </c>
      <c r="I191" s="2" t="s">
        <v>107</v>
      </c>
      <c r="J191" s="2" t="s">
        <v>715</v>
      </c>
      <c r="K191" s="2" t="s">
        <v>38</v>
      </c>
      <c r="L191" s="2" t="s">
        <v>22</v>
      </c>
    </row>
    <row r="192" spans="1:12" ht="14.25" customHeight="1" x14ac:dyDescent="0.5">
      <c r="A192" s="2" t="s">
        <v>716</v>
      </c>
      <c r="B192" s="2" t="s">
        <v>502</v>
      </c>
      <c r="C192" s="2" t="s">
        <v>99</v>
      </c>
      <c r="D192" s="2" t="s">
        <v>100</v>
      </c>
      <c r="E192" s="3">
        <v>45218</v>
      </c>
      <c r="F192" s="2" t="s">
        <v>717</v>
      </c>
      <c r="G192" s="2" t="s">
        <v>57</v>
      </c>
      <c r="H192" s="2" t="s">
        <v>112</v>
      </c>
      <c r="I192" s="2" t="s">
        <v>65</v>
      </c>
      <c r="J192" s="2" t="s">
        <v>718</v>
      </c>
      <c r="K192" s="2" t="s">
        <v>47</v>
      </c>
      <c r="L192" s="2" t="s">
        <v>30</v>
      </c>
    </row>
    <row r="193" spans="1:12" ht="14.25" customHeight="1" x14ac:dyDescent="0.5">
      <c r="A193" s="2" t="s">
        <v>719</v>
      </c>
      <c r="B193" s="2" t="s">
        <v>720</v>
      </c>
      <c r="C193" s="2" t="s">
        <v>235</v>
      </c>
      <c r="D193" s="2" t="s">
        <v>75</v>
      </c>
      <c r="E193" s="3">
        <v>44287</v>
      </c>
      <c r="F193" s="2" t="s">
        <v>721</v>
      </c>
      <c r="G193" s="2" t="s">
        <v>57</v>
      </c>
      <c r="H193" s="2" t="s">
        <v>58</v>
      </c>
      <c r="I193" s="2" t="s">
        <v>107</v>
      </c>
      <c r="J193" s="2" t="s">
        <v>722</v>
      </c>
      <c r="K193" s="2" t="s">
        <v>38</v>
      </c>
      <c r="L193" s="2" t="s">
        <v>22</v>
      </c>
    </row>
    <row r="194" spans="1:12" ht="14.25" customHeight="1" x14ac:dyDescent="0.5">
      <c r="A194" s="2" t="s">
        <v>723</v>
      </c>
      <c r="B194" s="2" t="s">
        <v>32</v>
      </c>
      <c r="C194" s="2" t="s">
        <v>49</v>
      </c>
      <c r="D194" s="2" t="s">
        <v>15</v>
      </c>
      <c r="E194" s="3">
        <v>44555</v>
      </c>
      <c r="F194" s="2" t="s">
        <v>724</v>
      </c>
      <c r="G194" s="2" t="s">
        <v>57</v>
      </c>
      <c r="H194" s="2" t="s">
        <v>58</v>
      </c>
      <c r="J194" s="2" t="s">
        <v>725</v>
      </c>
      <c r="K194" s="2" t="s">
        <v>96</v>
      </c>
      <c r="L194" s="2" t="s">
        <v>22</v>
      </c>
    </row>
    <row r="195" spans="1:12" ht="14.25" customHeight="1" x14ac:dyDescent="0.5">
      <c r="A195" s="2" t="s">
        <v>726</v>
      </c>
      <c r="B195" s="2" t="s">
        <v>234</v>
      </c>
      <c r="C195" s="2" t="s">
        <v>74</v>
      </c>
      <c r="D195" s="2" t="s">
        <v>50</v>
      </c>
      <c r="E195" s="3">
        <v>45080</v>
      </c>
      <c r="F195" s="2" t="s">
        <v>727</v>
      </c>
      <c r="G195" s="2" t="s">
        <v>44</v>
      </c>
      <c r="H195" s="2" t="s">
        <v>121</v>
      </c>
      <c r="I195" s="2" t="s">
        <v>77</v>
      </c>
      <c r="J195" s="2" t="s">
        <v>728</v>
      </c>
      <c r="K195" s="2" t="s">
        <v>60</v>
      </c>
      <c r="L195" s="2" t="s">
        <v>22</v>
      </c>
    </row>
    <row r="196" spans="1:12" ht="14.25" customHeight="1" x14ac:dyDescent="0.5">
      <c r="A196" s="2" t="s">
        <v>729</v>
      </c>
      <c r="B196" s="2" t="s">
        <v>698</v>
      </c>
      <c r="C196" s="2" t="s">
        <v>33</v>
      </c>
      <c r="D196" s="2" t="s">
        <v>34</v>
      </c>
      <c r="E196" s="3">
        <v>44812</v>
      </c>
      <c r="F196" s="2" t="s">
        <v>730</v>
      </c>
      <c r="G196" s="2" t="s">
        <v>57</v>
      </c>
      <c r="H196" s="2" t="s">
        <v>121</v>
      </c>
      <c r="I196" s="2" t="s">
        <v>107</v>
      </c>
      <c r="J196" s="2" t="s">
        <v>731</v>
      </c>
      <c r="K196" s="2" t="s">
        <v>96</v>
      </c>
      <c r="L196" s="2" t="s">
        <v>39</v>
      </c>
    </row>
    <row r="197" spans="1:12" ht="14.25" customHeight="1" x14ac:dyDescent="0.5">
      <c r="A197" s="2" t="s">
        <v>732</v>
      </c>
      <c r="B197" s="2" t="s">
        <v>315</v>
      </c>
      <c r="C197" s="2" t="s">
        <v>93</v>
      </c>
      <c r="D197" s="2" t="s">
        <v>42</v>
      </c>
      <c r="E197" s="3">
        <v>44985</v>
      </c>
      <c r="F197" s="2" t="s">
        <v>733</v>
      </c>
      <c r="G197" s="2" t="s">
        <v>83</v>
      </c>
      <c r="H197" s="2" t="s">
        <v>89</v>
      </c>
      <c r="J197" s="2" t="s">
        <v>734</v>
      </c>
      <c r="K197" s="2" t="s">
        <v>79</v>
      </c>
      <c r="L197" s="2" t="s">
        <v>30</v>
      </c>
    </row>
    <row r="198" spans="1:12" ht="14.25" customHeight="1" x14ac:dyDescent="0.5">
      <c r="A198" s="2" t="s">
        <v>735</v>
      </c>
      <c r="B198" s="2" t="s">
        <v>736</v>
      </c>
      <c r="C198" s="2" t="s">
        <v>99</v>
      </c>
      <c r="D198" s="2" t="s">
        <v>42</v>
      </c>
      <c r="E198" s="3">
        <v>44418</v>
      </c>
      <c r="F198" s="2" t="s">
        <v>737</v>
      </c>
      <c r="G198" s="2" t="s">
        <v>36</v>
      </c>
      <c r="H198" s="2" t="s">
        <v>27</v>
      </c>
      <c r="I198" s="2" t="s">
        <v>77</v>
      </c>
      <c r="J198" s="2" t="s">
        <v>738</v>
      </c>
      <c r="K198" s="2" t="s">
        <v>60</v>
      </c>
      <c r="L198" s="2" t="s">
        <v>30</v>
      </c>
    </row>
    <row r="199" spans="1:12" ht="14.25" customHeight="1" x14ac:dyDescent="0.5">
      <c r="A199" s="2" t="s">
        <v>739</v>
      </c>
      <c r="B199" s="2" t="s">
        <v>740</v>
      </c>
      <c r="C199" s="2" t="s">
        <v>235</v>
      </c>
      <c r="D199" s="2" t="s">
        <v>100</v>
      </c>
      <c r="E199" s="3">
        <v>44306</v>
      </c>
      <c r="F199" s="2" t="s">
        <v>741</v>
      </c>
      <c r="G199" s="2" t="s">
        <v>36</v>
      </c>
      <c r="H199" s="2" t="s">
        <v>18</v>
      </c>
      <c r="I199" s="2" t="s">
        <v>65</v>
      </c>
      <c r="J199" s="2" t="s">
        <v>742</v>
      </c>
      <c r="K199" s="2" t="s">
        <v>38</v>
      </c>
      <c r="L199" s="2" t="s">
        <v>39</v>
      </c>
    </row>
    <row r="200" spans="1:12" ht="14.25" customHeight="1" x14ac:dyDescent="0.5">
      <c r="A200" s="2" t="s">
        <v>743</v>
      </c>
      <c r="B200" s="2" t="s">
        <v>169</v>
      </c>
      <c r="C200" s="2" t="s">
        <v>14</v>
      </c>
      <c r="D200" s="2" t="s">
        <v>34</v>
      </c>
      <c r="E200" s="3">
        <v>44816</v>
      </c>
      <c r="F200" s="2" t="s">
        <v>744</v>
      </c>
      <c r="G200" s="2" t="s">
        <v>17</v>
      </c>
      <c r="H200" s="2" t="s">
        <v>89</v>
      </c>
      <c r="I200" s="2" t="s">
        <v>65</v>
      </c>
      <c r="J200" s="2" t="s">
        <v>745</v>
      </c>
      <c r="K200" s="2" t="s">
        <v>60</v>
      </c>
      <c r="L200" s="2" t="s">
        <v>85</v>
      </c>
    </row>
    <row r="201" spans="1:12" ht="14.25" customHeight="1" x14ac:dyDescent="0.5">
      <c r="A201" s="2" t="s">
        <v>746</v>
      </c>
      <c r="B201" s="2" t="s">
        <v>245</v>
      </c>
      <c r="C201" s="2" t="s">
        <v>49</v>
      </c>
      <c r="D201" s="2" t="s">
        <v>69</v>
      </c>
      <c r="E201" s="3">
        <v>45131</v>
      </c>
      <c r="F201" s="2" t="s">
        <v>747</v>
      </c>
      <c r="G201" s="2" t="s">
        <v>17</v>
      </c>
      <c r="H201" s="2" t="s">
        <v>18</v>
      </c>
      <c r="I201" s="2" t="s">
        <v>19</v>
      </c>
      <c r="J201" s="2" t="s">
        <v>748</v>
      </c>
      <c r="K201" s="2" t="s">
        <v>79</v>
      </c>
      <c r="L201" s="2" t="s">
        <v>22</v>
      </c>
    </row>
    <row r="202" spans="1:12" ht="14.25" customHeight="1" x14ac:dyDescent="0.5">
      <c r="A202" s="2" t="s">
        <v>749</v>
      </c>
      <c r="B202" s="2" t="s">
        <v>378</v>
      </c>
      <c r="C202" s="2" t="s">
        <v>93</v>
      </c>
      <c r="D202" s="2" t="s">
        <v>15</v>
      </c>
      <c r="E202" s="3">
        <v>43986</v>
      </c>
      <c r="F202" s="2" t="s">
        <v>750</v>
      </c>
      <c r="G202" s="2" t="s">
        <v>36</v>
      </c>
      <c r="H202" s="2" t="s">
        <v>58</v>
      </c>
      <c r="J202" s="2" t="s">
        <v>751</v>
      </c>
      <c r="K202" s="2" t="s">
        <v>159</v>
      </c>
      <c r="L202" s="2" t="s">
        <v>30</v>
      </c>
    </row>
    <row r="203" spans="1:12" ht="14.25" customHeight="1" x14ac:dyDescent="0.5">
      <c r="A203" s="2" t="s">
        <v>752</v>
      </c>
      <c r="B203" s="2" t="s">
        <v>124</v>
      </c>
      <c r="C203" s="2" t="s">
        <v>99</v>
      </c>
      <c r="D203" s="2" t="s">
        <v>100</v>
      </c>
      <c r="E203" s="3">
        <v>45072</v>
      </c>
      <c r="F203" s="2" t="s">
        <v>753</v>
      </c>
      <c r="G203" s="2" t="s">
        <v>83</v>
      </c>
      <c r="H203" s="2" t="s">
        <v>112</v>
      </c>
      <c r="J203" s="2" t="s">
        <v>754</v>
      </c>
      <c r="K203" s="2" t="s">
        <v>96</v>
      </c>
      <c r="L203" s="2" t="s">
        <v>39</v>
      </c>
    </row>
    <row r="204" spans="1:12" ht="14.25" customHeight="1" x14ac:dyDescent="0.5">
      <c r="A204" s="2" t="s">
        <v>755</v>
      </c>
      <c r="B204" s="2" t="s">
        <v>405</v>
      </c>
      <c r="C204" s="2" t="s">
        <v>74</v>
      </c>
      <c r="D204" s="2" t="s">
        <v>69</v>
      </c>
      <c r="E204" s="3">
        <v>44020</v>
      </c>
      <c r="F204" s="2" t="s">
        <v>756</v>
      </c>
      <c r="G204" s="2" t="s">
        <v>44</v>
      </c>
      <c r="H204" s="2" t="s">
        <v>58</v>
      </c>
      <c r="I204" s="2" t="s">
        <v>28</v>
      </c>
      <c r="J204" s="2" t="s">
        <v>757</v>
      </c>
      <c r="K204" s="2" t="s">
        <v>53</v>
      </c>
      <c r="L204" s="2" t="s">
        <v>22</v>
      </c>
    </row>
    <row r="205" spans="1:12" ht="14.25" customHeight="1" x14ac:dyDescent="0.5">
      <c r="A205" s="2" t="s">
        <v>758</v>
      </c>
      <c r="B205" s="2" t="s">
        <v>720</v>
      </c>
      <c r="C205" s="2" t="s">
        <v>125</v>
      </c>
      <c r="D205" s="2" t="s">
        <v>75</v>
      </c>
      <c r="E205" s="3">
        <v>45271</v>
      </c>
      <c r="F205" s="2" t="s">
        <v>759</v>
      </c>
      <c r="G205" s="2" t="s">
        <v>44</v>
      </c>
      <c r="H205" s="2" t="s">
        <v>112</v>
      </c>
      <c r="I205" s="2" t="s">
        <v>28</v>
      </c>
      <c r="J205" s="2" t="s">
        <v>760</v>
      </c>
      <c r="K205" s="2" t="s">
        <v>96</v>
      </c>
      <c r="L205" s="2" t="s">
        <v>85</v>
      </c>
    </row>
    <row r="206" spans="1:12" ht="14.25" customHeight="1" x14ac:dyDescent="0.5">
      <c r="A206" s="2" t="s">
        <v>761</v>
      </c>
      <c r="B206" s="2" t="s">
        <v>762</v>
      </c>
      <c r="C206" s="2" t="s">
        <v>49</v>
      </c>
      <c r="D206" s="2" t="s">
        <v>15</v>
      </c>
      <c r="E206" s="3">
        <v>44811</v>
      </c>
      <c r="F206" s="2" t="s">
        <v>763</v>
      </c>
      <c r="G206" s="2" t="s">
        <v>83</v>
      </c>
      <c r="H206" s="2" t="s">
        <v>121</v>
      </c>
      <c r="I206" s="2" t="s">
        <v>77</v>
      </c>
      <c r="J206" s="2" t="s">
        <v>764</v>
      </c>
      <c r="K206" s="2" t="s">
        <v>38</v>
      </c>
      <c r="L206" s="2" t="s">
        <v>85</v>
      </c>
    </row>
    <row r="207" spans="1:12" ht="14.25" customHeight="1" x14ac:dyDescent="0.5">
      <c r="A207" s="2" t="s">
        <v>765</v>
      </c>
      <c r="B207" s="2" t="s">
        <v>766</v>
      </c>
      <c r="C207" s="2" t="s">
        <v>74</v>
      </c>
      <c r="D207" s="2" t="s">
        <v>75</v>
      </c>
      <c r="E207" s="3">
        <v>44376</v>
      </c>
      <c r="F207" s="2" t="s">
        <v>767</v>
      </c>
      <c r="G207" s="2" t="s">
        <v>44</v>
      </c>
      <c r="H207" s="2" t="s">
        <v>89</v>
      </c>
      <c r="I207" s="2" t="s">
        <v>77</v>
      </c>
      <c r="J207" s="2" t="s">
        <v>768</v>
      </c>
      <c r="K207" s="2" t="s">
        <v>60</v>
      </c>
      <c r="L207" s="2" t="s">
        <v>22</v>
      </c>
    </row>
    <row r="208" spans="1:12" ht="14.25" customHeight="1" x14ac:dyDescent="0.5">
      <c r="A208" s="2" t="s">
        <v>769</v>
      </c>
      <c r="B208" s="2" t="s">
        <v>378</v>
      </c>
      <c r="C208" s="2" t="s">
        <v>99</v>
      </c>
      <c r="D208" s="2" t="s">
        <v>34</v>
      </c>
      <c r="E208" s="3">
        <v>43871</v>
      </c>
      <c r="F208" s="2" t="s">
        <v>770</v>
      </c>
      <c r="G208" s="2" t="s">
        <v>57</v>
      </c>
      <c r="H208" s="2" t="s">
        <v>121</v>
      </c>
      <c r="I208" s="2" t="s">
        <v>28</v>
      </c>
      <c r="J208" s="2" t="s">
        <v>771</v>
      </c>
      <c r="K208" s="2" t="s">
        <v>38</v>
      </c>
      <c r="L208" s="2" t="s">
        <v>85</v>
      </c>
    </row>
    <row r="209" spans="1:12" ht="14.25" customHeight="1" x14ac:dyDescent="0.5">
      <c r="A209" s="2" t="s">
        <v>772</v>
      </c>
      <c r="B209" s="2" t="s">
        <v>297</v>
      </c>
      <c r="C209" s="2" t="s">
        <v>49</v>
      </c>
      <c r="D209" s="2" t="s">
        <v>50</v>
      </c>
      <c r="E209" s="3">
        <v>44137</v>
      </c>
      <c r="F209" s="2" t="s">
        <v>773</v>
      </c>
      <c r="G209" s="2" t="s">
        <v>36</v>
      </c>
      <c r="H209" s="2" t="s">
        <v>112</v>
      </c>
      <c r="I209" s="2" t="s">
        <v>77</v>
      </c>
      <c r="J209" s="2" t="s">
        <v>774</v>
      </c>
      <c r="K209" s="2" t="s">
        <v>159</v>
      </c>
      <c r="L209" s="2" t="s">
        <v>30</v>
      </c>
    </row>
    <row r="210" spans="1:12" ht="14.25" customHeight="1" x14ac:dyDescent="0.5">
      <c r="A210" s="2" t="s">
        <v>775</v>
      </c>
      <c r="B210" s="2" t="s">
        <v>286</v>
      </c>
      <c r="C210" s="2" t="s">
        <v>93</v>
      </c>
      <c r="D210" s="2" t="s">
        <v>15</v>
      </c>
      <c r="E210" s="3">
        <v>44773</v>
      </c>
      <c r="F210" s="2" t="s">
        <v>776</v>
      </c>
      <c r="G210" s="2" t="s">
        <v>36</v>
      </c>
      <c r="H210" s="2" t="s">
        <v>58</v>
      </c>
      <c r="I210" s="2" t="s">
        <v>107</v>
      </c>
      <c r="J210" s="2" t="s">
        <v>777</v>
      </c>
      <c r="K210" s="2" t="s">
        <v>60</v>
      </c>
      <c r="L210" s="2" t="s">
        <v>30</v>
      </c>
    </row>
    <row r="211" spans="1:12" ht="14.25" customHeight="1" x14ac:dyDescent="0.5">
      <c r="A211" s="2" t="s">
        <v>778</v>
      </c>
      <c r="B211" s="2" t="s">
        <v>698</v>
      </c>
      <c r="C211" s="2" t="s">
        <v>99</v>
      </c>
      <c r="D211" s="2" t="s">
        <v>69</v>
      </c>
      <c r="E211" s="3">
        <v>44168</v>
      </c>
      <c r="F211" s="2" t="s">
        <v>779</v>
      </c>
      <c r="G211" s="2" t="s">
        <v>83</v>
      </c>
      <c r="H211" s="2" t="s">
        <v>121</v>
      </c>
      <c r="I211" s="2" t="s">
        <v>28</v>
      </c>
      <c r="J211" s="2" t="s">
        <v>780</v>
      </c>
      <c r="K211" s="2" t="s">
        <v>53</v>
      </c>
      <c r="L211" s="2" t="s">
        <v>30</v>
      </c>
    </row>
    <row r="212" spans="1:12" ht="14.25" customHeight="1" x14ac:dyDescent="0.5">
      <c r="A212" s="2" t="s">
        <v>781</v>
      </c>
      <c r="B212" s="2" t="s">
        <v>475</v>
      </c>
      <c r="C212" s="2" t="s">
        <v>25</v>
      </c>
      <c r="D212" s="2" t="s">
        <v>50</v>
      </c>
      <c r="E212" s="3">
        <v>45168</v>
      </c>
      <c r="F212" s="2" t="s">
        <v>782</v>
      </c>
      <c r="G212" s="2" t="s">
        <v>44</v>
      </c>
      <c r="H212" s="2" t="s">
        <v>45</v>
      </c>
      <c r="J212" s="2" t="s">
        <v>783</v>
      </c>
      <c r="K212" s="2" t="s">
        <v>60</v>
      </c>
      <c r="L212" s="2" t="s">
        <v>85</v>
      </c>
    </row>
    <row r="213" spans="1:12" ht="14.25" customHeight="1" x14ac:dyDescent="0.5">
      <c r="A213" s="2" t="s">
        <v>784</v>
      </c>
      <c r="B213" s="2" t="s">
        <v>698</v>
      </c>
      <c r="C213" s="2" t="s">
        <v>235</v>
      </c>
      <c r="D213" s="2" t="s">
        <v>42</v>
      </c>
      <c r="E213" s="3">
        <v>44929</v>
      </c>
      <c r="F213" s="2" t="s">
        <v>785</v>
      </c>
      <c r="G213" s="2" t="s">
        <v>17</v>
      </c>
      <c r="H213" s="2" t="s">
        <v>18</v>
      </c>
      <c r="I213" s="2" t="s">
        <v>107</v>
      </c>
      <c r="J213" s="2" t="s">
        <v>786</v>
      </c>
      <c r="K213" s="2" t="s">
        <v>53</v>
      </c>
      <c r="L213" s="2" t="s">
        <v>30</v>
      </c>
    </row>
    <row r="214" spans="1:12" ht="14.25" customHeight="1" x14ac:dyDescent="0.5">
      <c r="A214" s="2" t="s">
        <v>787</v>
      </c>
      <c r="B214" s="2" t="s">
        <v>286</v>
      </c>
      <c r="C214" s="2" t="s">
        <v>93</v>
      </c>
      <c r="D214" s="2" t="s">
        <v>69</v>
      </c>
      <c r="E214" s="3">
        <v>44783</v>
      </c>
      <c r="F214" s="2" t="s">
        <v>788</v>
      </c>
      <c r="G214" s="2" t="s">
        <v>17</v>
      </c>
      <c r="H214" s="2" t="s">
        <v>64</v>
      </c>
      <c r="I214" s="2" t="s">
        <v>77</v>
      </c>
      <c r="J214" s="2" t="s">
        <v>789</v>
      </c>
      <c r="K214" s="2" t="s">
        <v>38</v>
      </c>
      <c r="L214" s="2" t="s">
        <v>39</v>
      </c>
    </row>
    <row r="215" spans="1:12" ht="14.25" customHeight="1" x14ac:dyDescent="0.5">
      <c r="A215" s="2" t="s">
        <v>790</v>
      </c>
      <c r="B215" s="2" t="s">
        <v>68</v>
      </c>
      <c r="C215" s="2" t="s">
        <v>49</v>
      </c>
      <c r="D215" s="2" t="s">
        <v>100</v>
      </c>
      <c r="E215" s="3">
        <v>44109</v>
      </c>
      <c r="F215" s="2" t="s">
        <v>791</v>
      </c>
      <c r="G215" s="2" t="s">
        <v>44</v>
      </c>
      <c r="H215" s="2" t="s">
        <v>112</v>
      </c>
      <c r="I215" s="2" t="s">
        <v>65</v>
      </c>
      <c r="J215" s="2" t="s">
        <v>792</v>
      </c>
      <c r="K215" s="2" t="s">
        <v>38</v>
      </c>
      <c r="L215" s="2" t="s">
        <v>30</v>
      </c>
    </row>
    <row r="216" spans="1:12" ht="14.25" customHeight="1" x14ac:dyDescent="0.5">
      <c r="A216" s="2" t="s">
        <v>793</v>
      </c>
      <c r="B216" s="2" t="s">
        <v>161</v>
      </c>
      <c r="C216" s="2" t="s">
        <v>125</v>
      </c>
      <c r="D216" s="2" t="s">
        <v>42</v>
      </c>
      <c r="E216" s="3">
        <v>45030</v>
      </c>
      <c r="F216" s="2" t="s">
        <v>794</v>
      </c>
      <c r="G216" s="2" t="s">
        <v>17</v>
      </c>
      <c r="H216" s="2" t="s">
        <v>112</v>
      </c>
      <c r="I216" s="2" t="s">
        <v>19</v>
      </c>
      <c r="J216" s="2" t="s">
        <v>795</v>
      </c>
      <c r="K216" s="2" t="s">
        <v>79</v>
      </c>
      <c r="L216" s="2" t="s">
        <v>30</v>
      </c>
    </row>
    <row r="217" spans="1:12" ht="14.25" customHeight="1" x14ac:dyDescent="0.5">
      <c r="A217" s="2" t="s">
        <v>796</v>
      </c>
      <c r="B217" s="2" t="s">
        <v>685</v>
      </c>
      <c r="C217" s="2" t="s">
        <v>74</v>
      </c>
      <c r="D217" s="2" t="s">
        <v>42</v>
      </c>
      <c r="E217" s="3">
        <v>44726</v>
      </c>
      <c r="F217" s="2" t="s">
        <v>797</v>
      </c>
      <c r="G217" s="2" t="s">
        <v>83</v>
      </c>
      <c r="H217" s="2" t="s">
        <v>45</v>
      </c>
      <c r="I217" s="2" t="s">
        <v>28</v>
      </c>
      <c r="J217" s="2" t="s">
        <v>798</v>
      </c>
      <c r="K217" s="2" t="s">
        <v>21</v>
      </c>
      <c r="L217" s="2" t="s">
        <v>85</v>
      </c>
    </row>
    <row r="218" spans="1:12" ht="14.25" customHeight="1" x14ac:dyDescent="0.5">
      <c r="A218" s="2" t="s">
        <v>799</v>
      </c>
      <c r="B218" s="2" t="s">
        <v>104</v>
      </c>
      <c r="C218" s="2" t="s">
        <v>14</v>
      </c>
      <c r="D218" s="2" t="s">
        <v>100</v>
      </c>
      <c r="E218" s="3">
        <v>44103</v>
      </c>
      <c r="F218" s="2" t="s">
        <v>800</v>
      </c>
      <c r="G218" s="2" t="s">
        <v>83</v>
      </c>
      <c r="H218" s="2" t="s">
        <v>89</v>
      </c>
      <c r="I218" s="2" t="s">
        <v>65</v>
      </c>
      <c r="J218" s="2" t="s">
        <v>801</v>
      </c>
      <c r="K218" s="2" t="s">
        <v>21</v>
      </c>
      <c r="L218" s="2" t="s">
        <v>30</v>
      </c>
    </row>
    <row r="219" spans="1:12" ht="14.25" customHeight="1" x14ac:dyDescent="0.5">
      <c r="A219" s="2" t="s">
        <v>802</v>
      </c>
      <c r="B219" s="2" t="s">
        <v>740</v>
      </c>
      <c r="C219" s="2" t="s">
        <v>74</v>
      </c>
      <c r="D219" s="2" t="s">
        <v>15</v>
      </c>
      <c r="E219" s="3">
        <v>44667</v>
      </c>
      <c r="F219" s="2" t="s">
        <v>803</v>
      </c>
      <c r="G219" s="2" t="s">
        <v>44</v>
      </c>
      <c r="H219" s="2" t="s">
        <v>89</v>
      </c>
      <c r="I219" s="2" t="s">
        <v>77</v>
      </c>
      <c r="J219" s="2" t="s">
        <v>804</v>
      </c>
      <c r="K219" s="2" t="s">
        <v>159</v>
      </c>
      <c r="L219" s="2" t="s">
        <v>22</v>
      </c>
    </row>
    <row r="220" spans="1:12" ht="14.25" customHeight="1" x14ac:dyDescent="0.5">
      <c r="A220" s="2" t="s">
        <v>805</v>
      </c>
      <c r="B220" s="2" t="s">
        <v>24</v>
      </c>
      <c r="C220" s="2" t="s">
        <v>49</v>
      </c>
      <c r="D220" s="2" t="s">
        <v>42</v>
      </c>
      <c r="E220" s="3">
        <v>44450</v>
      </c>
      <c r="F220" s="2" t="s">
        <v>806</v>
      </c>
      <c r="G220" s="2" t="s">
        <v>17</v>
      </c>
      <c r="H220" s="2" t="s">
        <v>89</v>
      </c>
      <c r="J220" s="2" t="s">
        <v>807</v>
      </c>
      <c r="K220" s="2" t="s">
        <v>21</v>
      </c>
      <c r="L220" s="2" t="s">
        <v>39</v>
      </c>
    </row>
    <row r="221" spans="1:12" ht="14.25" customHeight="1" x14ac:dyDescent="0.5">
      <c r="A221" s="2" t="s">
        <v>808</v>
      </c>
      <c r="B221" s="2" t="s">
        <v>55</v>
      </c>
      <c r="C221" s="2" t="s">
        <v>74</v>
      </c>
      <c r="D221" s="2" t="s">
        <v>34</v>
      </c>
      <c r="E221" s="3">
        <v>44692</v>
      </c>
      <c r="F221" s="2" t="s">
        <v>809</v>
      </c>
      <c r="G221" s="2" t="s">
        <v>83</v>
      </c>
      <c r="H221" s="2" t="s">
        <v>64</v>
      </c>
      <c r="I221" s="2" t="s">
        <v>19</v>
      </c>
      <c r="J221" s="2" t="s">
        <v>810</v>
      </c>
      <c r="K221" s="2" t="s">
        <v>79</v>
      </c>
      <c r="L221" s="2" t="s">
        <v>85</v>
      </c>
    </row>
    <row r="222" spans="1:12" ht="14.25" customHeight="1" x14ac:dyDescent="0.5">
      <c r="A222" s="2" t="s">
        <v>811</v>
      </c>
      <c r="B222" s="2" t="s">
        <v>371</v>
      </c>
      <c r="C222" s="2" t="s">
        <v>235</v>
      </c>
      <c r="D222" s="2" t="s">
        <v>69</v>
      </c>
      <c r="E222" s="3">
        <v>44761</v>
      </c>
      <c r="F222" s="2" t="s">
        <v>812</v>
      </c>
      <c r="G222" s="2" t="s">
        <v>83</v>
      </c>
      <c r="H222" s="2" t="s">
        <v>27</v>
      </c>
      <c r="I222" s="2" t="s">
        <v>65</v>
      </c>
      <c r="J222" s="2" t="s">
        <v>813</v>
      </c>
      <c r="K222" s="2" t="s">
        <v>96</v>
      </c>
      <c r="L222" s="2" t="s">
        <v>39</v>
      </c>
    </row>
    <row r="223" spans="1:12" ht="14.25" customHeight="1" x14ac:dyDescent="0.5">
      <c r="A223" s="2" t="s">
        <v>814</v>
      </c>
      <c r="B223" s="2" t="s">
        <v>293</v>
      </c>
      <c r="C223" s="2" t="s">
        <v>99</v>
      </c>
      <c r="D223" s="2" t="s">
        <v>50</v>
      </c>
      <c r="E223" s="3">
        <v>44119</v>
      </c>
      <c r="F223" s="2" t="s">
        <v>815</v>
      </c>
      <c r="G223" s="2" t="s">
        <v>57</v>
      </c>
      <c r="H223" s="2" t="s">
        <v>45</v>
      </c>
      <c r="I223" s="2" t="s">
        <v>19</v>
      </c>
      <c r="J223" s="2" t="s">
        <v>816</v>
      </c>
      <c r="K223" s="2" t="s">
        <v>53</v>
      </c>
      <c r="L223" s="2" t="s">
        <v>22</v>
      </c>
    </row>
    <row r="224" spans="1:12" ht="14.25" customHeight="1" x14ac:dyDescent="0.5">
      <c r="A224" s="2" t="s">
        <v>817</v>
      </c>
      <c r="B224" s="2" t="s">
        <v>618</v>
      </c>
      <c r="C224" s="2" t="s">
        <v>14</v>
      </c>
      <c r="D224" s="2" t="s">
        <v>42</v>
      </c>
      <c r="E224" s="3">
        <v>44554</v>
      </c>
      <c r="F224" s="2" t="s">
        <v>818</v>
      </c>
      <c r="G224" s="2" t="s">
        <v>57</v>
      </c>
      <c r="H224" s="2" t="s">
        <v>64</v>
      </c>
      <c r="I224" s="2" t="s">
        <v>28</v>
      </c>
      <c r="J224" s="2" t="s">
        <v>819</v>
      </c>
      <c r="K224" s="2" t="s">
        <v>60</v>
      </c>
      <c r="L224" s="2" t="s">
        <v>85</v>
      </c>
    </row>
    <row r="225" spans="1:12" ht="14.25" customHeight="1" x14ac:dyDescent="0.5">
      <c r="A225" s="2" t="s">
        <v>820</v>
      </c>
      <c r="B225" s="2" t="s">
        <v>156</v>
      </c>
      <c r="C225" s="2" t="s">
        <v>105</v>
      </c>
      <c r="D225" s="2" t="s">
        <v>69</v>
      </c>
      <c r="E225" s="3">
        <v>44723</v>
      </c>
      <c r="F225" s="2" t="s">
        <v>821</v>
      </c>
      <c r="G225" s="2" t="s">
        <v>83</v>
      </c>
      <c r="H225" s="2" t="s">
        <v>121</v>
      </c>
      <c r="I225" s="2" t="s">
        <v>77</v>
      </c>
      <c r="J225" s="2" t="s">
        <v>822</v>
      </c>
      <c r="K225" s="2" t="s">
        <v>38</v>
      </c>
      <c r="L225" s="2" t="s">
        <v>85</v>
      </c>
    </row>
    <row r="226" spans="1:12" ht="14.25" customHeight="1" x14ac:dyDescent="0.5">
      <c r="A226" s="2" t="s">
        <v>823</v>
      </c>
      <c r="B226" s="2" t="s">
        <v>268</v>
      </c>
      <c r="C226" s="2" t="s">
        <v>49</v>
      </c>
      <c r="D226" s="2" t="s">
        <v>75</v>
      </c>
      <c r="E226" s="3">
        <v>44102</v>
      </c>
      <c r="F226" s="2" t="s">
        <v>824</v>
      </c>
      <c r="G226" s="2" t="s">
        <v>44</v>
      </c>
      <c r="H226" s="2" t="s">
        <v>45</v>
      </c>
      <c r="J226" s="2" t="s">
        <v>825</v>
      </c>
      <c r="K226" s="2" t="s">
        <v>60</v>
      </c>
      <c r="L226" s="2" t="s">
        <v>30</v>
      </c>
    </row>
    <row r="227" spans="1:12" ht="14.25" customHeight="1" x14ac:dyDescent="0.5">
      <c r="A227" s="2" t="s">
        <v>826</v>
      </c>
      <c r="B227" s="2" t="s">
        <v>119</v>
      </c>
      <c r="C227" s="2" t="s">
        <v>33</v>
      </c>
      <c r="D227" s="2" t="s">
        <v>69</v>
      </c>
      <c r="E227" s="3">
        <v>44920</v>
      </c>
      <c r="F227" s="2" t="s">
        <v>827</v>
      </c>
      <c r="G227" s="2" t="s">
        <v>36</v>
      </c>
      <c r="H227" s="2" t="s">
        <v>112</v>
      </c>
      <c r="I227" s="2" t="s">
        <v>77</v>
      </c>
      <c r="J227" s="2" t="s">
        <v>828</v>
      </c>
      <c r="K227" s="2" t="s">
        <v>60</v>
      </c>
      <c r="L227" s="2" t="s">
        <v>39</v>
      </c>
    </row>
    <row r="228" spans="1:12" ht="14.25" customHeight="1" x14ac:dyDescent="0.5">
      <c r="A228" s="2" t="s">
        <v>829</v>
      </c>
      <c r="B228" s="2" t="s">
        <v>329</v>
      </c>
      <c r="C228" s="2" t="s">
        <v>105</v>
      </c>
      <c r="D228" s="2" t="s">
        <v>50</v>
      </c>
      <c r="E228" s="3">
        <v>44313</v>
      </c>
      <c r="F228" s="2" t="s">
        <v>830</v>
      </c>
      <c r="G228" s="2" t="s">
        <v>36</v>
      </c>
      <c r="H228" s="2" t="s">
        <v>18</v>
      </c>
      <c r="I228" s="2" t="s">
        <v>19</v>
      </c>
      <c r="J228" s="2" t="s">
        <v>831</v>
      </c>
      <c r="K228" s="2" t="s">
        <v>47</v>
      </c>
      <c r="L228" s="2" t="s">
        <v>22</v>
      </c>
    </row>
    <row r="229" spans="1:12" ht="14.25" customHeight="1" x14ac:dyDescent="0.5">
      <c r="A229" s="2" t="s">
        <v>832</v>
      </c>
      <c r="B229" s="2" t="s">
        <v>202</v>
      </c>
      <c r="C229" s="2" t="s">
        <v>74</v>
      </c>
      <c r="D229" s="2" t="s">
        <v>69</v>
      </c>
      <c r="E229" s="3">
        <v>44766</v>
      </c>
      <c r="F229" s="2" t="s">
        <v>833</v>
      </c>
      <c r="G229" s="2" t="s">
        <v>83</v>
      </c>
      <c r="H229" s="2" t="s">
        <v>45</v>
      </c>
      <c r="I229" s="2" t="s">
        <v>65</v>
      </c>
      <c r="J229" s="2" t="s">
        <v>834</v>
      </c>
      <c r="K229" s="2" t="s">
        <v>96</v>
      </c>
      <c r="L229" s="2" t="s">
        <v>22</v>
      </c>
    </row>
    <row r="230" spans="1:12" ht="14.25" customHeight="1" x14ac:dyDescent="0.5">
      <c r="A230" s="2" t="s">
        <v>835</v>
      </c>
      <c r="B230" s="2" t="s">
        <v>836</v>
      </c>
      <c r="C230" s="2" t="s">
        <v>49</v>
      </c>
      <c r="D230" s="2" t="s">
        <v>100</v>
      </c>
      <c r="E230" s="3">
        <v>44078</v>
      </c>
      <c r="F230" s="2" t="s">
        <v>837</v>
      </c>
      <c r="G230" s="2" t="s">
        <v>83</v>
      </c>
      <c r="H230" s="2" t="s">
        <v>27</v>
      </c>
      <c r="I230" s="2" t="s">
        <v>28</v>
      </c>
      <c r="J230" s="2" t="s">
        <v>838</v>
      </c>
      <c r="K230" s="2" t="s">
        <v>47</v>
      </c>
      <c r="L230" s="2" t="s">
        <v>85</v>
      </c>
    </row>
    <row r="231" spans="1:12" ht="14.25" customHeight="1" x14ac:dyDescent="0.5">
      <c r="A231" s="2" t="s">
        <v>839</v>
      </c>
      <c r="B231" s="2" t="s">
        <v>836</v>
      </c>
      <c r="C231" s="2" t="s">
        <v>25</v>
      </c>
      <c r="D231" s="2" t="s">
        <v>50</v>
      </c>
      <c r="E231" s="3">
        <v>43986</v>
      </c>
      <c r="F231" s="2" t="s">
        <v>840</v>
      </c>
      <c r="G231" s="2" t="s">
        <v>83</v>
      </c>
      <c r="H231" s="2" t="s">
        <v>58</v>
      </c>
      <c r="I231" s="2" t="s">
        <v>28</v>
      </c>
      <c r="J231" s="2" t="s">
        <v>841</v>
      </c>
      <c r="K231" s="2" t="s">
        <v>21</v>
      </c>
      <c r="L231" s="2" t="s">
        <v>30</v>
      </c>
    </row>
    <row r="232" spans="1:12" ht="14.25" customHeight="1" x14ac:dyDescent="0.5">
      <c r="A232" s="2" t="s">
        <v>842</v>
      </c>
      <c r="B232" s="2" t="s">
        <v>601</v>
      </c>
      <c r="C232" s="2" t="s">
        <v>33</v>
      </c>
      <c r="D232" s="2" t="s">
        <v>15</v>
      </c>
      <c r="E232" s="3">
        <v>44901</v>
      </c>
      <c r="F232" s="2" t="s">
        <v>843</v>
      </c>
      <c r="G232" s="2" t="s">
        <v>44</v>
      </c>
      <c r="H232" s="2" t="s">
        <v>121</v>
      </c>
      <c r="I232" s="2" t="s">
        <v>77</v>
      </c>
      <c r="J232" s="2" t="s">
        <v>844</v>
      </c>
      <c r="K232" s="2" t="s">
        <v>60</v>
      </c>
      <c r="L232" s="2" t="s">
        <v>85</v>
      </c>
    </row>
    <row r="233" spans="1:12" ht="14.25" customHeight="1" x14ac:dyDescent="0.5">
      <c r="A233" s="2" t="s">
        <v>845</v>
      </c>
      <c r="B233" s="2" t="s">
        <v>353</v>
      </c>
      <c r="C233" s="2" t="s">
        <v>14</v>
      </c>
      <c r="D233" s="2" t="s">
        <v>75</v>
      </c>
      <c r="E233" s="3">
        <v>44284</v>
      </c>
      <c r="F233" s="2" t="s">
        <v>846</v>
      </c>
      <c r="G233" s="2" t="s">
        <v>57</v>
      </c>
      <c r="H233" s="2" t="s">
        <v>64</v>
      </c>
      <c r="I233" s="2" t="s">
        <v>65</v>
      </c>
      <c r="J233" s="2" t="s">
        <v>847</v>
      </c>
      <c r="K233" s="2" t="s">
        <v>53</v>
      </c>
      <c r="L233" s="2" t="s">
        <v>85</v>
      </c>
    </row>
    <row r="234" spans="1:12" ht="14.25" customHeight="1" x14ac:dyDescent="0.5">
      <c r="A234" s="2" t="s">
        <v>848</v>
      </c>
      <c r="B234" s="2" t="s">
        <v>286</v>
      </c>
      <c r="C234" s="2" t="s">
        <v>125</v>
      </c>
      <c r="D234" s="2" t="s">
        <v>100</v>
      </c>
      <c r="E234" s="3">
        <v>44031</v>
      </c>
      <c r="F234" s="2" t="s">
        <v>849</v>
      </c>
      <c r="G234" s="2" t="s">
        <v>83</v>
      </c>
      <c r="H234" s="2" t="s">
        <v>121</v>
      </c>
      <c r="I234" s="2" t="s">
        <v>65</v>
      </c>
      <c r="J234" s="2" t="s">
        <v>850</v>
      </c>
      <c r="K234" s="2" t="s">
        <v>38</v>
      </c>
      <c r="L234" s="2" t="s">
        <v>85</v>
      </c>
    </row>
    <row r="235" spans="1:12" ht="14.25" customHeight="1" x14ac:dyDescent="0.5">
      <c r="A235" s="2" t="s">
        <v>851</v>
      </c>
      <c r="B235" s="2" t="s">
        <v>852</v>
      </c>
      <c r="C235" s="2" t="s">
        <v>25</v>
      </c>
      <c r="D235" s="2" t="s">
        <v>15</v>
      </c>
      <c r="E235" s="3">
        <v>43954</v>
      </c>
      <c r="F235" s="2" t="s">
        <v>853</v>
      </c>
      <c r="G235" s="2" t="s">
        <v>83</v>
      </c>
      <c r="H235" s="2" t="s">
        <v>121</v>
      </c>
      <c r="I235" s="2" t="s">
        <v>19</v>
      </c>
      <c r="J235" s="2" t="s">
        <v>66</v>
      </c>
      <c r="K235" s="2" t="s">
        <v>53</v>
      </c>
      <c r="L235" s="2" t="s">
        <v>85</v>
      </c>
    </row>
    <row r="236" spans="1:12" ht="14.25" customHeight="1" x14ac:dyDescent="0.5">
      <c r="A236" s="2" t="s">
        <v>854</v>
      </c>
      <c r="B236" s="2" t="s">
        <v>584</v>
      </c>
      <c r="C236" s="2" t="s">
        <v>105</v>
      </c>
      <c r="D236" s="2" t="s">
        <v>69</v>
      </c>
      <c r="E236" s="3">
        <v>43831</v>
      </c>
      <c r="F236" s="2" t="s">
        <v>855</v>
      </c>
      <c r="G236" s="2" t="s">
        <v>17</v>
      </c>
      <c r="H236" s="2" t="s">
        <v>45</v>
      </c>
      <c r="I236" s="2" t="s">
        <v>77</v>
      </c>
      <c r="J236" s="2" t="s">
        <v>856</v>
      </c>
      <c r="K236" s="2" t="s">
        <v>60</v>
      </c>
      <c r="L236" s="2" t="s">
        <v>22</v>
      </c>
    </row>
    <row r="237" spans="1:12" ht="14.25" customHeight="1" x14ac:dyDescent="0.5">
      <c r="A237" s="2" t="s">
        <v>857</v>
      </c>
      <c r="B237" s="2" t="s">
        <v>13</v>
      </c>
      <c r="C237" s="2" t="s">
        <v>99</v>
      </c>
      <c r="D237" s="2" t="s">
        <v>50</v>
      </c>
      <c r="E237" s="3">
        <v>44798</v>
      </c>
      <c r="F237" s="2" t="s">
        <v>858</v>
      </c>
      <c r="G237" s="2" t="s">
        <v>44</v>
      </c>
      <c r="H237" s="2" t="s">
        <v>45</v>
      </c>
      <c r="I237" s="2" t="s">
        <v>77</v>
      </c>
      <c r="J237" s="2" t="s">
        <v>859</v>
      </c>
      <c r="K237" s="2" t="s">
        <v>96</v>
      </c>
      <c r="L237" s="2" t="s">
        <v>22</v>
      </c>
    </row>
    <row r="238" spans="1:12" ht="14.25" customHeight="1" x14ac:dyDescent="0.5">
      <c r="A238" s="2" t="s">
        <v>860</v>
      </c>
      <c r="B238" s="2" t="s">
        <v>145</v>
      </c>
      <c r="C238" s="2" t="s">
        <v>235</v>
      </c>
      <c r="D238" s="2" t="s">
        <v>75</v>
      </c>
      <c r="E238" s="3">
        <v>44685</v>
      </c>
      <c r="F238" s="2" t="s">
        <v>861</v>
      </c>
      <c r="G238" s="2" t="s">
        <v>83</v>
      </c>
      <c r="H238" s="2" t="s">
        <v>27</v>
      </c>
      <c r="I238" s="2" t="s">
        <v>107</v>
      </c>
      <c r="J238" s="2" t="s">
        <v>862</v>
      </c>
      <c r="K238" s="2" t="s">
        <v>53</v>
      </c>
      <c r="L238" s="2" t="s">
        <v>85</v>
      </c>
    </row>
    <row r="239" spans="1:12" ht="14.25" customHeight="1" x14ac:dyDescent="0.5">
      <c r="A239" s="2" t="s">
        <v>863</v>
      </c>
      <c r="B239" s="2" t="s">
        <v>73</v>
      </c>
      <c r="C239" s="2" t="s">
        <v>125</v>
      </c>
      <c r="D239" s="2" t="s">
        <v>100</v>
      </c>
      <c r="E239" s="3">
        <v>44470</v>
      </c>
      <c r="F239" s="2" t="s">
        <v>864</v>
      </c>
      <c r="G239" s="2" t="s">
        <v>17</v>
      </c>
      <c r="H239" s="2" t="s">
        <v>18</v>
      </c>
      <c r="I239" s="2" t="s">
        <v>77</v>
      </c>
      <c r="J239" s="2" t="s">
        <v>865</v>
      </c>
      <c r="K239" s="2" t="s">
        <v>47</v>
      </c>
      <c r="L239" s="2" t="s">
        <v>85</v>
      </c>
    </row>
    <row r="240" spans="1:12" ht="14.25" customHeight="1" x14ac:dyDescent="0.5">
      <c r="A240" s="2" t="s">
        <v>866</v>
      </c>
      <c r="B240" s="2" t="s">
        <v>336</v>
      </c>
      <c r="C240" s="2" t="s">
        <v>25</v>
      </c>
      <c r="D240" s="2" t="s">
        <v>15</v>
      </c>
      <c r="E240" s="3">
        <v>44021</v>
      </c>
      <c r="F240" s="2" t="s">
        <v>867</v>
      </c>
      <c r="G240" s="2" t="s">
        <v>36</v>
      </c>
      <c r="H240" s="2" t="s">
        <v>45</v>
      </c>
      <c r="I240" s="2" t="s">
        <v>28</v>
      </c>
      <c r="J240" s="2" t="s">
        <v>868</v>
      </c>
      <c r="K240" s="2" t="s">
        <v>38</v>
      </c>
      <c r="L240" s="2" t="s">
        <v>30</v>
      </c>
    </row>
    <row r="241" spans="1:12" ht="14.25" customHeight="1" x14ac:dyDescent="0.5">
      <c r="A241" s="2" t="s">
        <v>869</v>
      </c>
      <c r="B241" s="2" t="s">
        <v>870</v>
      </c>
      <c r="C241" s="2" t="s">
        <v>99</v>
      </c>
      <c r="D241" s="2" t="s">
        <v>15</v>
      </c>
      <c r="E241" s="3">
        <v>44346</v>
      </c>
      <c r="F241" s="2" t="s">
        <v>871</v>
      </c>
      <c r="G241" s="2" t="s">
        <v>83</v>
      </c>
      <c r="H241" s="2" t="s">
        <v>45</v>
      </c>
      <c r="I241" s="2" t="s">
        <v>19</v>
      </c>
      <c r="J241" s="2" t="s">
        <v>872</v>
      </c>
      <c r="K241" s="2" t="s">
        <v>60</v>
      </c>
      <c r="L241" s="2" t="s">
        <v>85</v>
      </c>
    </row>
    <row r="242" spans="1:12" ht="14.25" customHeight="1" x14ac:dyDescent="0.5">
      <c r="A242" s="2" t="s">
        <v>873</v>
      </c>
      <c r="B242" s="2" t="s">
        <v>685</v>
      </c>
      <c r="C242" s="2" t="s">
        <v>99</v>
      </c>
      <c r="D242" s="2" t="s">
        <v>75</v>
      </c>
      <c r="E242" s="3">
        <v>44272</v>
      </c>
      <c r="F242" s="2" t="s">
        <v>874</v>
      </c>
      <c r="G242" s="2" t="s">
        <v>83</v>
      </c>
      <c r="H242" s="2" t="s">
        <v>18</v>
      </c>
      <c r="I242" s="2" t="s">
        <v>65</v>
      </c>
      <c r="J242" s="2" t="s">
        <v>875</v>
      </c>
      <c r="K242" s="2" t="s">
        <v>159</v>
      </c>
      <c r="L242" s="2" t="s">
        <v>22</v>
      </c>
    </row>
    <row r="243" spans="1:12" ht="14.25" customHeight="1" x14ac:dyDescent="0.5">
      <c r="A243" s="2" t="s">
        <v>876</v>
      </c>
      <c r="B243" s="2" t="s">
        <v>870</v>
      </c>
      <c r="C243" s="2" t="s">
        <v>49</v>
      </c>
      <c r="D243" s="2" t="s">
        <v>34</v>
      </c>
      <c r="E243" s="3">
        <v>43973</v>
      </c>
      <c r="F243" s="2" t="s">
        <v>877</v>
      </c>
      <c r="G243" s="2" t="s">
        <v>17</v>
      </c>
      <c r="H243" s="2" t="s">
        <v>27</v>
      </c>
      <c r="I243" s="2" t="s">
        <v>77</v>
      </c>
      <c r="J243" s="2" t="s">
        <v>878</v>
      </c>
      <c r="K243" s="2" t="s">
        <v>96</v>
      </c>
      <c r="L243" s="2" t="s">
        <v>39</v>
      </c>
    </row>
    <row r="244" spans="1:12" ht="14.25" customHeight="1" x14ac:dyDescent="0.5">
      <c r="A244" s="2" t="s">
        <v>879</v>
      </c>
      <c r="B244" s="2" t="s">
        <v>62</v>
      </c>
      <c r="C244" s="2" t="s">
        <v>25</v>
      </c>
      <c r="D244" s="2" t="s">
        <v>69</v>
      </c>
      <c r="E244" s="3">
        <v>45045</v>
      </c>
      <c r="F244" s="2" t="s">
        <v>880</v>
      </c>
      <c r="G244" s="2" t="s">
        <v>44</v>
      </c>
      <c r="H244" s="2" t="s">
        <v>64</v>
      </c>
      <c r="I244" s="2" t="s">
        <v>19</v>
      </c>
      <c r="J244" s="2" t="s">
        <v>881</v>
      </c>
      <c r="K244" s="2" t="s">
        <v>96</v>
      </c>
      <c r="L244" s="2" t="s">
        <v>22</v>
      </c>
    </row>
    <row r="245" spans="1:12" ht="14.25" customHeight="1" x14ac:dyDescent="0.5">
      <c r="A245" s="2" t="s">
        <v>882</v>
      </c>
      <c r="B245" s="2" t="s">
        <v>268</v>
      </c>
      <c r="C245" s="2" t="s">
        <v>14</v>
      </c>
      <c r="D245" s="2" t="s">
        <v>75</v>
      </c>
      <c r="E245" s="3">
        <v>44363</v>
      </c>
      <c r="F245" s="2" t="s">
        <v>883</v>
      </c>
      <c r="G245" s="2" t="s">
        <v>83</v>
      </c>
      <c r="H245" s="2" t="s">
        <v>121</v>
      </c>
      <c r="I245" s="2" t="s">
        <v>77</v>
      </c>
      <c r="J245" s="2" t="s">
        <v>884</v>
      </c>
      <c r="K245" s="2" t="s">
        <v>159</v>
      </c>
      <c r="L245" s="2" t="s">
        <v>30</v>
      </c>
    </row>
    <row r="246" spans="1:12" ht="14.25" customHeight="1" x14ac:dyDescent="0.5">
      <c r="A246" s="2" t="s">
        <v>885</v>
      </c>
      <c r="B246" s="2" t="s">
        <v>161</v>
      </c>
      <c r="C246" s="2" t="s">
        <v>74</v>
      </c>
      <c r="D246" s="2" t="s">
        <v>15</v>
      </c>
      <c r="E246" s="3">
        <v>44057</v>
      </c>
      <c r="F246" s="2" t="s">
        <v>886</v>
      </c>
      <c r="G246" s="2" t="s">
        <v>36</v>
      </c>
      <c r="H246" s="2" t="s">
        <v>64</v>
      </c>
      <c r="I246" s="2" t="s">
        <v>65</v>
      </c>
      <c r="J246" s="2" t="s">
        <v>887</v>
      </c>
      <c r="K246" s="2" t="s">
        <v>53</v>
      </c>
      <c r="L246" s="2" t="s">
        <v>22</v>
      </c>
    </row>
    <row r="247" spans="1:12" ht="14.25" customHeight="1" x14ac:dyDescent="0.5">
      <c r="A247" s="2" t="s">
        <v>888</v>
      </c>
      <c r="B247" s="2" t="s">
        <v>889</v>
      </c>
      <c r="C247" s="2" t="s">
        <v>33</v>
      </c>
      <c r="D247" s="2" t="s">
        <v>42</v>
      </c>
      <c r="E247" s="3">
        <v>45167</v>
      </c>
      <c r="F247" s="2" t="s">
        <v>890</v>
      </c>
      <c r="G247" s="2" t="s">
        <v>83</v>
      </c>
      <c r="H247" s="2" t="s">
        <v>45</v>
      </c>
      <c r="J247" s="2" t="s">
        <v>891</v>
      </c>
      <c r="K247" s="2" t="s">
        <v>60</v>
      </c>
      <c r="L247" s="2" t="s">
        <v>39</v>
      </c>
    </row>
    <row r="248" spans="1:12" ht="14.25" customHeight="1" x14ac:dyDescent="0.5">
      <c r="A248" s="2" t="s">
        <v>892</v>
      </c>
      <c r="B248" s="2" t="s">
        <v>453</v>
      </c>
      <c r="C248" s="2" t="s">
        <v>33</v>
      </c>
      <c r="D248" s="2" t="s">
        <v>100</v>
      </c>
      <c r="E248" s="3">
        <v>44779</v>
      </c>
      <c r="F248" s="2" t="s">
        <v>893</v>
      </c>
      <c r="G248" s="2" t="s">
        <v>36</v>
      </c>
      <c r="H248" s="2" t="s">
        <v>18</v>
      </c>
      <c r="I248" s="2" t="s">
        <v>65</v>
      </c>
      <c r="J248" s="2" t="s">
        <v>894</v>
      </c>
      <c r="K248" s="2" t="s">
        <v>96</v>
      </c>
      <c r="L248" s="2" t="s">
        <v>85</v>
      </c>
    </row>
    <row r="249" spans="1:12" ht="14.25" customHeight="1" x14ac:dyDescent="0.5">
      <c r="A249" s="2" t="s">
        <v>895</v>
      </c>
      <c r="B249" s="2" t="s">
        <v>378</v>
      </c>
      <c r="C249" s="2" t="s">
        <v>105</v>
      </c>
      <c r="D249" s="2" t="s">
        <v>75</v>
      </c>
      <c r="E249" s="3">
        <v>45156</v>
      </c>
      <c r="F249" s="2" t="s">
        <v>896</v>
      </c>
      <c r="G249" s="2" t="s">
        <v>57</v>
      </c>
      <c r="H249" s="2" t="s">
        <v>45</v>
      </c>
      <c r="I249" s="2" t="s">
        <v>65</v>
      </c>
      <c r="J249" s="2" t="s">
        <v>897</v>
      </c>
      <c r="K249" s="2" t="s">
        <v>38</v>
      </c>
      <c r="L249" s="2" t="s">
        <v>39</v>
      </c>
    </row>
    <row r="250" spans="1:12" ht="14.25" customHeight="1" x14ac:dyDescent="0.5">
      <c r="A250" s="2" t="s">
        <v>898</v>
      </c>
      <c r="B250" s="2" t="s">
        <v>253</v>
      </c>
      <c r="C250" s="2" t="s">
        <v>105</v>
      </c>
      <c r="D250" s="2" t="s">
        <v>34</v>
      </c>
      <c r="E250" s="3">
        <v>44290</v>
      </c>
      <c r="F250" s="2" t="s">
        <v>899</v>
      </c>
      <c r="G250" s="2" t="s">
        <v>57</v>
      </c>
      <c r="H250" s="2" t="s">
        <v>89</v>
      </c>
      <c r="I250" s="2" t="s">
        <v>65</v>
      </c>
      <c r="J250" s="2" t="s">
        <v>900</v>
      </c>
      <c r="K250" s="2" t="s">
        <v>60</v>
      </c>
      <c r="L250" s="2" t="s">
        <v>85</v>
      </c>
    </row>
    <row r="251" spans="1:12" ht="14.25" customHeight="1" x14ac:dyDescent="0.5">
      <c r="A251" s="2" t="s">
        <v>901</v>
      </c>
      <c r="B251" s="2" t="s">
        <v>115</v>
      </c>
      <c r="C251" s="2" t="s">
        <v>33</v>
      </c>
      <c r="D251" s="2" t="s">
        <v>15</v>
      </c>
      <c r="E251" s="3">
        <v>45255</v>
      </c>
      <c r="F251" s="2" t="s">
        <v>902</v>
      </c>
      <c r="G251" s="2" t="s">
        <v>36</v>
      </c>
      <c r="H251" s="2" t="s">
        <v>58</v>
      </c>
      <c r="I251" s="2" t="s">
        <v>77</v>
      </c>
      <c r="J251" s="2" t="s">
        <v>903</v>
      </c>
      <c r="K251" s="2" t="s">
        <v>60</v>
      </c>
      <c r="L251" s="2" t="s">
        <v>85</v>
      </c>
    </row>
    <row r="252" spans="1:12" ht="14.25" customHeight="1" x14ac:dyDescent="0.5">
      <c r="A252" s="2" t="s">
        <v>904</v>
      </c>
      <c r="B252" s="2" t="s">
        <v>98</v>
      </c>
      <c r="C252" s="2" t="s">
        <v>14</v>
      </c>
      <c r="D252" s="2" t="s">
        <v>69</v>
      </c>
      <c r="E252" s="3">
        <v>44381</v>
      </c>
      <c r="F252" s="2" t="s">
        <v>905</v>
      </c>
      <c r="G252" s="2" t="s">
        <v>44</v>
      </c>
      <c r="H252" s="2" t="s">
        <v>64</v>
      </c>
      <c r="I252" s="2" t="s">
        <v>107</v>
      </c>
      <c r="J252" s="2" t="s">
        <v>906</v>
      </c>
      <c r="K252" s="2" t="s">
        <v>47</v>
      </c>
      <c r="L252" s="2" t="s">
        <v>22</v>
      </c>
    </row>
    <row r="253" spans="1:12" ht="14.25" customHeight="1" x14ac:dyDescent="0.5">
      <c r="A253" s="2" t="s">
        <v>907</v>
      </c>
      <c r="B253" s="2" t="s">
        <v>293</v>
      </c>
      <c r="C253" s="2" t="s">
        <v>235</v>
      </c>
      <c r="D253" s="2" t="s">
        <v>15</v>
      </c>
      <c r="E253" s="3">
        <v>44223</v>
      </c>
      <c r="F253" s="2" t="s">
        <v>908</v>
      </c>
      <c r="G253" s="2" t="s">
        <v>83</v>
      </c>
      <c r="H253" s="2" t="s">
        <v>89</v>
      </c>
      <c r="I253" s="2" t="s">
        <v>65</v>
      </c>
      <c r="J253" s="2" t="s">
        <v>909</v>
      </c>
      <c r="K253" s="2" t="s">
        <v>96</v>
      </c>
      <c r="L253" s="2" t="s">
        <v>22</v>
      </c>
    </row>
    <row r="254" spans="1:12" ht="14.25" customHeight="1" x14ac:dyDescent="0.5">
      <c r="A254" s="2" t="s">
        <v>910</v>
      </c>
      <c r="B254" s="2" t="s">
        <v>429</v>
      </c>
      <c r="C254" s="2" t="s">
        <v>93</v>
      </c>
      <c r="D254" s="2" t="s">
        <v>69</v>
      </c>
      <c r="E254" s="3">
        <v>44675</v>
      </c>
      <c r="F254" s="2" t="s">
        <v>911</v>
      </c>
      <c r="G254" s="2" t="s">
        <v>83</v>
      </c>
      <c r="H254" s="2" t="s">
        <v>112</v>
      </c>
      <c r="I254" s="2" t="s">
        <v>28</v>
      </c>
      <c r="J254" s="2" t="s">
        <v>912</v>
      </c>
      <c r="K254" s="2" t="s">
        <v>96</v>
      </c>
      <c r="L254" s="2" t="s">
        <v>22</v>
      </c>
    </row>
    <row r="255" spans="1:12" ht="14.25" customHeight="1" x14ac:dyDescent="0.5">
      <c r="A255" s="2" t="s">
        <v>913</v>
      </c>
      <c r="B255" s="2" t="s">
        <v>156</v>
      </c>
      <c r="C255" s="2" t="s">
        <v>74</v>
      </c>
      <c r="D255" s="2" t="s">
        <v>75</v>
      </c>
      <c r="E255" s="3">
        <v>45061</v>
      </c>
      <c r="F255" s="2" t="s">
        <v>914</v>
      </c>
      <c r="G255" s="2" t="s">
        <v>57</v>
      </c>
      <c r="H255" s="2" t="s">
        <v>58</v>
      </c>
      <c r="I255" s="2" t="s">
        <v>28</v>
      </c>
      <c r="J255" s="2" t="s">
        <v>915</v>
      </c>
      <c r="K255" s="2" t="s">
        <v>159</v>
      </c>
      <c r="L255" s="2" t="s">
        <v>30</v>
      </c>
    </row>
    <row r="256" spans="1:12" ht="14.25" customHeight="1" x14ac:dyDescent="0.5">
      <c r="A256" s="2" t="s">
        <v>916</v>
      </c>
      <c r="B256" s="2" t="s">
        <v>336</v>
      </c>
      <c r="C256" s="2" t="s">
        <v>235</v>
      </c>
      <c r="D256" s="2" t="s">
        <v>69</v>
      </c>
      <c r="E256" s="3">
        <v>44040</v>
      </c>
      <c r="F256" s="2" t="s">
        <v>917</v>
      </c>
      <c r="G256" s="2" t="s">
        <v>36</v>
      </c>
      <c r="H256" s="2" t="s">
        <v>45</v>
      </c>
      <c r="I256" s="2" t="s">
        <v>19</v>
      </c>
      <c r="J256" s="2" t="s">
        <v>918</v>
      </c>
      <c r="K256" s="2" t="s">
        <v>47</v>
      </c>
      <c r="L256" s="2" t="s">
        <v>22</v>
      </c>
    </row>
    <row r="257" spans="1:12" ht="14.25" customHeight="1" x14ac:dyDescent="0.5">
      <c r="A257" s="2" t="s">
        <v>919</v>
      </c>
      <c r="B257" s="2" t="s">
        <v>584</v>
      </c>
      <c r="C257" s="2" t="s">
        <v>49</v>
      </c>
      <c r="D257" s="2" t="s">
        <v>50</v>
      </c>
      <c r="E257" s="3">
        <v>44969</v>
      </c>
      <c r="F257" s="2" t="s">
        <v>920</v>
      </c>
      <c r="G257" s="2" t="s">
        <v>83</v>
      </c>
      <c r="H257" s="2" t="s">
        <v>27</v>
      </c>
      <c r="I257" s="2" t="s">
        <v>107</v>
      </c>
      <c r="J257" s="2" t="s">
        <v>921</v>
      </c>
      <c r="K257" s="2" t="s">
        <v>53</v>
      </c>
      <c r="L257" s="2" t="s">
        <v>30</v>
      </c>
    </row>
    <row r="258" spans="1:12" ht="14.25" customHeight="1" x14ac:dyDescent="0.5">
      <c r="A258" s="2" t="s">
        <v>922</v>
      </c>
      <c r="B258" s="2" t="s">
        <v>13</v>
      </c>
      <c r="C258" s="2" t="s">
        <v>93</v>
      </c>
      <c r="D258" s="2" t="s">
        <v>50</v>
      </c>
      <c r="E258" s="3">
        <v>44476</v>
      </c>
      <c r="F258" s="2" t="s">
        <v>923</v>
      </c>
      <c r="G258" s="2" t="s">
        <v>83</v>
      </c>
      <c r="H258" s="2" t="s">
        <v>64</v>
      </c>
      <c r="I258" s="2" t="s">
        <v>19</v>
      </c>
      <c r="J258" s="2" t="s">
        <v>924</v>
      </c>
      <c r="K258" s="2" t="s">
        <v>21</v>
      </c>
      <c r="L258" s="2" t="s">
        <v>22</v>
      </c>
    </row>
    <row r="259" spans="1:12" ht="14.25" customHeight="1" x14ac:dyDescent="0.5">
      <c r="A259" s="2" t="s">
        <v>925</v>
      </c>
      <c r="B259" s="2" t="s">
        <v>720</v>
      </c>
      <c r="C259" s="2" t="s">
        <v>93</v>
      </c>
      <c r="D259" s="2" t="s">
        <v>50</v>
      </c>
      <c r="E259" s="3">
        <v>45105</v>
      </c>
      <c r="F259" s="2" t="s">
        <v>926</v>
      </c>
      <c r="G259" s="2" t="s">
        <v>44</v>
      </c>
      <c r="H259" s="2" t="s">
        <v>112</v>
      </c>
      <c r="I259" s="2" t="s">
        <v>28</v>
      </c>
      <c r="J259" s="2" t="s">
        <v>927</v>
      </c>
      <c r="K259" s="2" t="s">
        <v>53</v>
      </c>
      <c r="L259" s="2" t="s">
        <v>85</v>
      </c>
    </row>
    <row r="260" spans="1:12" ht="14.25" customHeight="1" x14ac:dyDescent="0.5">
      <c r="A260" s="2" t="s">
        <v>928</v>
      </c>
      <c r="B260" s="2" t="s">
        <v>482</v>
      </c>
      <c r="C260" s="2" t="s">
        <v>25</v>
      </c>
      <c r="D260" s="2" t="s">
        <v>34</v>
      </c>
      <c r="E260" s="3">
        <v>44049</v>
      </c>
      <c r="F260" s="2" t="s">
        <v>929</v>
      </c>
      <c r="G260" s="2" t="s">
        <v>17</v>
      </c>
      <c r="H260" s="2" t="s">
        <v>58</v>
      </c>
      <c r="I260" s="2" t="s">
        <v>28</v>
      </c>
      <c r="J260" s="2" t="s">
        <v>930</v>
      </c>
      <c r="K260" s="2" t="s">
        <v>53</v>
      </c>
      <c r="L260" s="2" t="s">
        <v>30</v>
      </c>
    </row>
    <row r="261" spans="1:12" ht="14.25" customHeight="1" x14ac:dyDescent="0.5">
      <c r="A261" s="2" t="s">
        <v>931</v>
      </c>
      <c r="B261" s="2" t="s">
        <v>584</v>
      </c>
      <c r="C261" s="2" t="s">
        <v>14</v>
      </c>
      <c r="D261" s="2" t="s">
        <v>34</v>
      </c>
      <c r="E261" s="3">
        <v>44237</v>
      </c>
      <c r="F261" s="2" t="s">
        <v>932</v>
      </c>
      <c r="G261" s="2" t="s">
        <v>57</v>
      </c>
      <c r="H261" s="2" t="s">
        <v>64</v>
      </c>
      <c r="J261" s="2" t="s">
        <v>933</v>
      </c>
      <c r="K261" s="2" t="s">
        <v>47</v>
      </c>
      <c r="L261" s="2" t="s">
        <v>39</v>
      </c>
    </row>
    <row r="262" spans="1:12" ht="14.25" customHeight="1" x14ac:dyDescent="0.5">
      <c r="A262" s="2" t="s">
        <v>934</v>
      </c>
      <c r="B262" s="2" t="s">
        <v>297</v>
      </c>
      <c r="C262" s="2" t="s">
        <v>14</v>
      </c>
      <c r="D262" s="2" t="s">
        <v>42</v>
      </c>
      <c r="E262" s="3">
        <v>45297</v>
      </c>
      <c r="F262" s="2" t="s">
        <v>935</v>
      </c>
      <c r="G262" s="2" t="s">
        <v>57</v>
      </c>
      <c r="H262" s="2" t="s">
        <v>18</v>
      </c>
      <c r="I262" s="2" t="s">
        <v>65</v>
      </c>
      <c r="J262" s="2" t="s">
        <v>936</v>
      </c>
      <c r="K262" s="2" t="s">
        <v>96</v>
      </c>
      <c r="L262" s="2" t="s">
        <v>30</v>
      </c>
    </row>
    <row r="263" spans="1:12" ht="14.25" customHeight="1" x14ac:dyDescent="0.5">
      <c r="A263" s="2" t="s">
        <v>937</v>
      </c>
      <c r="B263" s="2" t="s">
        <v>297</v>
      </c>
      <c r="C263" s="2" t="s">
        <v>93</v>
      </c>
      <c r="D263" s="2" t="s">
        <v>34</v>
      </c>
      <c r="E263" s="3">
        <v>45208</v>
      </c>
      <c r="F263" s="2" t="s">
        <v>938</v>
      </c>
      <c r="G263" s="2" t="s">
        <v>17</v>
      </c>
      <c r="H263" s="2" t="s">
        <v>27</v>
      </c>
      <c r="I263" s="2" t="s">
        <v>28</v>
      </c>
      <c r="J263" s="2" t="s">
        <v>939</v>
      </c>
      <c r="K263" s="2" t="s">
        <v>60</v>
      </c>
      <c r="L263" s="2" t="s">
        <v>30</v>
      </c>
    </row>
    <row r="264" spans="1:12" ht="14.25" customHeight="1" x14ac:dyDescent="0.5">
      <c r="A264" s="2" t="s">
        <v>940</v>
      </c>
      <c r="B264" s="2" t="s">
        <v>191</v>
      </c>
      <c r="C264" s="2" t="s">
        <v>25</v>
      </c>
      <c r="D264" s="2" t="s">
        <v>75</v>
      </c>
      <c r="E264" s="3">
        <v>44718</v>
      </c>
      <c r="F264" s="2" t="s">
        <v>941</v>
      </c>
      <c r="G264" s="2" t="s">
        <v>83</v>
      </c>
      <c r="H264" s="2" t="s">
        <v>58</v>
      </c>
      <c r="I264" s="2" t="s">
        <v>77</v>
      </c>
      <c r="J264" s="2" t="s">
        <v>942</v>
      </c>
      <c r="K264" s="2" t="s">
        <v>47</v>
      </c>
      <c r="L264" s="2" t="s">
        <v>39</v>
      </c>
    </row>
    <row r="265" spans="1:12" ht="14.25" customHeight="1" x14ac:dyDescent="0.5">
      <c r="A265" s="2" t="s">
        <v>943</v>
      </c>
      <c r="B265" s="2" t="s">
        <v>124</v>
      </c>
      <c r="C265" s="2" t="s">
        <v>74</v>
      </c>
      <c r="D265" s="2" t="s">
        <v>15</v>
      </c>
      <c r="E265" s="3">
        <v>44388</v>
      </c>
      <c r="F265" s="2" t="s">
        <v>944</v>
      </c>
      <c r="G265" s="2" t="s">
        <v>44</v>
      </c>
      <c r="H265" s="2" t="s">
        <v>18</v>
      </c>
      <c r="I265" s="2" t="s">
        <v>77</v>
      </c>
      <c r="J265" s="2" t="s">
        <v>945</v>
      </c>
      <c r="K265" s="2" t="s">
        <v>159</v>
      </c>
      <c r="L265" s="2" t="s">
        <v>30</v>
      </c>
    </row>
    <row r="266" spans="1:12" ht="14.25" customHeight="1" x14ac:dyDescent="0.5">
      <c r="A266" s="2" t="s">
        <v>946</v>
      </c>
      <c r="B266" s="2" t="s">
        <v>286</v>
      </c>
      <c r="C266" s="2" t="s">
        <v>93</v>
      </c>
      <c r="D266" s="2" t="s">
        <v>15</v>
      </c>
      <c r="E266" s="3">
        <v>44380</v>
      </c>
      <c r="F266" s="2" t="s">
        <v>947</v>
      </c>
      <c r="G266" s="2" t="s">
        <v>44</v>
      </c>
      <c r="H266" s="2" t="s">
        <v>89</v>
      </c>
      <c r="I266" s="2" t="s">
        <v>19</v>
      </c>
      <c r="J266" s="2" t="s">
        <v>948</v>
      </c>
      <c r="K266" s="2" t="s">
        <v>47</v>
      </c>
      <c r="L266" s="2" t="s">
        <v>85</v>
      </c>
    </row>
    <row r="267" spans="1:12" ht="14.25" customHeight="1" x14ac:dyDescent="0.5">
      <c r="A267" s="2" t="s">
        <v>949</v>
      </c>
      <c r="B267" s="2" t="s">
        <v>32</v>
      </c>
      <c r="C267" s="2" t="s">
        <v>125</v>
      </c>
      <c r="D267" s="2" t="s">
        <v>42</v>
      </c>
      <c r="E267" s="3">
        <v>43972</v>
      </c>
      <c r="F267" s="2" t="s">
        <v>950</v>
      </c>
      <c r="G267" s="2" t="s">
        <v>57</v>
      </c>
      <c r="H267" s="2" t="s">
        <v>45</v>
      </c>
      <c r="I267" s="2" t="s">
        <v>19</v>
      </c>
      <c r="J267" s="2" t="s">
        <v>951</v>
      </c>
      <c r="K267" s="2" t="s">
        <v>159</v>
      </c>
      <c r="L267" s="2" t="s">
        <v>22</v>
      </c>
    </row>
    <row r="268" spans="1:12" ht="14.25" customHeight="1" x14ac:dyDescent="0.5">
      <c r="A268" s="2" t="s">
        <v>952</v>
      </c>
      <c r="B268" s="2" t="s">
        <v>119</v>
      </c>
      <c r="C268" s="2" t="s">
        <v>105</v>
      </c>
      <c r="D268" s="2" t="s">
        <v>34</v>
      </c>
      <c r="E268" s="3">
        <v>44442</v>
      </c>
      <c r="F268" s="2" t="s">
        <v>953</v>
      </c>
      <c r="G268" s="2" t="s">
        <v>44</v>
      </c>
      <c r="H268" s="2" t="s">
        <v>18</v>
      </c>
      <c r="I268" s="2" t="s">
        <v>65</v>
      </c>
      <c r="J268" s="2" t="s">
        <v>954</v>
      </c>
      <c r="K268" s="2" t="s">
        <v>53</v>
      </c>
      <c r="L268" s="2" t="s">
        <v>39</v>
      </c>
    </row>
    <row r="269" spans="1:12" ht="14.25" customHeight="1" x14ac:dyDescent="0.5">
      <c r="A269" s="2" t="s">
        <v>955</v>
      </c>
      <c r="B269" s="2" t="s">
        <v>371</v>
      </c>
      <c r="C269" s="2" t="s">
        <v>105</v>
      </c>
      <c r="D269" s="2" t="s">
        <v>69</v>
      </c>
      <c r="E269" s="3">
        <v>44331</v>
      </c>
      <c r="F269" s="2" t="s">
        <v>956</v>
      </c>
      <c r="G269" s="2" t="s">
        <v>17</v>
      </c>
      <c r="H269" s="2" t="s">
        <v>58</v>
      </c>
      <c r="I269" s="2" t="s">
        <v>65</v>
      </c>
      <c r="J269" s="2" t="s">
        <v>957</v>
      </c>
      <c r="K269" s="2" t="s">
        <v>21</v>
      </c>
      <c r="L269" s="2" t="s">
        <v>22</v>
      </c>
    </row>
    <row r="270" spans="1:12" ht="14.25" customHeight="1" x14ac:dyDescent="0.5">
      <c r="A270" s="2" t="s">
        <v>958</v>
      </c>
      <c r="B270" s="2" t="s">
        <v>608</v>
      </c>
      <c r="C270" s="2" t="s">
        <v>235</v>
      </c>
      <c r="D270" s="2" t="s">
        <v>42</v>
      </c>
      <c r="E270" s="3">
        <v>44670</v>
      </c>
      <c r="F270" s="2" t="s">
        <v>959</v>
      </c>
      <c r="G270" s="2" t="s">
        <v>83</v>
      </c>
      <c r="H270" s="2" t="s">
        <v>121</v>
      </c>
      <c r="J270" s="2" t="s">
        <v>960</v>
      </c>
      <c r="K270" s="2" t="s">
        <v>47</v>
      </c>
      <c r="L270" s="2" t="s">
        <v>85</v>
      </c>
    </row>
    <row r="271" spans="1:12" ht="14.25" customHeight="1" x14ac:dyDescent="0.5">
      <c r="A271" s="2" t="s">
        <v>961</v>
      </c>
      <c r="B271" s="2" t="s">
        <v>740</v>
      </c>
      <c r="C271" s="2" t="s">
        <v>49</v>
      </c>
      <c r="D271" s="2" t="s">
        <v>69</v>
      </c>
      <c r="E271" s="3">
        <v>44532</v>
      </c>
      <c r="F271" s="2" t="s">
        <v>962</v>
      </c>
      <c r="G271" s="2" t="s">
        <v>17</v>
      </c>
      <c r="H271" s="2" t="s">
        <v>58</v>
      </c>
      <c r="I271" s="2" t="s">
        <v>107</v>
      </c>
      <c r="J271" s="2" t="s">
        <v>963</v>
      </c>
      <c r="K271" s="2" t="s">
        <v>159</v>
      </c>
      <c r="L271" s="2" t="s">
        <v>39</v>
      </c>
    </row>
    <row r="272" spans="1:12" ht="14.25" customHeight="1" x14ac:dyDescent="0.5">
      <c r="A272" s="2" t="s">
        <v>964</v>
      </c>
      <c r="B272" s="2" t="s">
        <v>405</v>
      </c>
      <c r="C272" s="2" t="s">
        <v>105</v>
      </c>
      <c r="D272" s="2" t="s">
        <v>69</v>
      </c>
      <c r="E272" s="3">
        <v>44426</v>
      </c>
      <c r="F272" s="2" t="s">
        <v>965</v>
      </c>
      <c r="G272" s="2" t="s">
        <v>36</v>
      </c>
      <c r="H272" s="2" t="s">
        <v>121</v>
      </c>
      <c r="I272" s="2" t="s">
        <v>19</v>
      </c>
      <c r="J272" s="2" t="s">
        <v>966</v>
      </c>
      <c r="K272" s="2" t="s">
        <v>47</v>
      </c>
      <c r="L272" s="2" t="s">
        <v>22</v>
      </c>
    </row>
    <row r="273" spans="1:12" ht="14.25" customHeight="1" x14ac:dyDescent="0.5">
      <c r="A273" s="2" t="s">
        <v>967</v>
      </c>
      <c r="B273" s="2" t="s">
        <v>202</v>
      </c>
      <c r="C273" s="2" t="s">
        <v>99</v>
      </c>
      <c r="D273" s="2" t="s">
        <v>100</v>
      </c>
      <c r="E273" s="3">
        <v>44111</v>
      </c>
      <c r="F273" s="2" t="s">
        <v>968</v>
      </c>
      <c r="G273" s="2" t="s">
        <v>57</v>
      </c>
      <c r="H273" s="2" t="s">
        <v>89</v>
      </c>
      <c r="I273" s="2" t="s">
        <v>65</v>
      </c>
      <c r="J273" s="2" t="s">
        <v>969</v>
      </c>
      <c r="K273" s="2" t="s">
        <v>21</v>
      </c>
      <c r="L273" s="2" t="s">
        <v>22</v>
      </c>
    </row>
    <row r="274" spans="1:12" ht="14.25" customHeight="1" x14ac:dyDescent="0.5">
      <c r="A274" s="2" t="s">
        <v>970</v>
      </c>
      <c r="B274" s="2" t="s">
        <v>137</v>
      </c>
      <c r="C274" s="2" t="s">
        <v>235</v>
      </c>
      <c r="D274" s="2" t="s">
        <v>15</v>
      </c>
      <c r="E274" s="3">
        <v>44254</v>
      </c>
      <c r="F274" s="2" t="s">
        <v>971</v>
      </c>
      <c r="G274" s="2" t="s">
        <v>44</v>
      </c>
      <c r="H274" s="2" t="s">
        <v>45</v>
      </c>
      <c r="I274" s="2" t="s">
        <v>19</v>
      </c>
      <c r="J274" s="2" t="s">
        <v>972</v>
      </c>
      <c r="K274" s="2" t="s">
        <v>53</v>
      </c>
      <c r="L274" s="2" t="s">
        <v>85</v>
      </c>
    </row>
    <row r="275" spans="1:12" ht="14.25" customHeight="1" x14ac:dyDescent="0.5">
      <c r="A275" s="2" t="s">
        <v>973</v>
      </c>
      <c r="B275" s="2" t="s">
        <v>852</v>
      </c>
      <c r="C275" s="2" t="s">
        <v>105</v>
      </c>
      <c r="D275" s="2" t="s">
        <v>50</v>
      </c>
      <c r="E275" s="3">
        <v>44686</v>
      </c>
      <c r="F275" s="2" t="s">
        <v>974</v>
      </c>
      <c r="G275" s="2" t="s">
        <v>36</v>
      </c>
      <c r="H275" s="2" t="s">
        <v>121</v>
      </c>
      <c r="I275" s="2" t="s">
        <v>65</v>
      </c>
      <c r="J275" s="2" t="s">
        <v>975</v>
      </c>
      <c r="K275" s="2" t="s">
        <v>47</v>
      </c>
      <c r="L275" s="2" t="s">
        <v>22</v>
      </c>
    </row>
    <row r="276" spans="1:12" ht="14.25" customHeight="1" x14ac:dyDescent="0.5">
      <c r="A276" s="2" t="s">
        <v>976</v>
      </c>
      <c r="B276" s="2" t="s">
        <v>482</v>
      </c>
      <c r="C276" s="2" t="s">
        <v>49</v>
      </c>
      <c r="D276" s="2" t="s">
        <v>34</v>
      </c>
      <c r="E276" s="3">
        <v>44100</v>
      </c>
      <c r="F276" s="2" t="s">
        <v>977</v>
      </c>
      <c r="G276" s="2" t="s">
        <v>44</v>
      </c>
      <c r="H276" s="2" t="s">
        <v>121</v>
      </c>
      <c r="I276" s="2" t="s">
        <v>28</v>
      </c>
      <c r="J276" s="2" t="s">
        <v>978</v>
      </c>
      <c r="K276" s="2" t="s">
        <v>38</v>
      </c>
      <c r="L276" s="2" t="s">
        <v>85</v>
      </c>
    </row>
    <row r="277" spans="1:12" ht="14.25" customHeight="1" x14ac:dyDescent="0.5">
      <c r="A277" s="2" t="s">
        <v>979</v>
      </c>
      <c r="B277" s="2" t="s">
        <v>264</v>
      </c>
      <c r="C277" s="2" t="s">
        <v>14</v>
      </c>
      <c r="D277" s="2" t="s">
        <v>69</v>
      </c>
      <c r="E277" s="3">
        <v>43984</v>
      </c>
      <c r="F277" s="2" t="s">
        <v>980</v>
      </c>
      <c r="G277" s="2" t="s">
        <v>83</v>
      </c>
      <c r="H277" s="2" t="s">
        <v>18</v>
      </c>
      <c r="I277" s="2" t="s">
        <v>19</v>
      </c>
      <c r="J277" s="2" t="s">
        <v>981</v>
      </c>
      <c r="K277" s="2" t="s">
        <v>159</v>
      </c>
      <c r="L277" s="2" t="s">
        <v>30</v>
      </c>
    </row>
    <row r="278" spans="1:12" ht="14.25" customHeight="1" x14ac:dyDescent="0.5">
      <c r="A278" s="2" t="s">
        <v>982</v>
      </c>
      <c r="B278" s="2" t="s">
        <v>217</v>
      </c>
      <c r="C278" s="2" t="s">
        <v>14</v>
      </c>
      <c r="D278" s="2" t="s">
        <v>100</v>
      </c>
      <c r="E278" s="3">
        <v>44444</v>
      </c>
      <c r="F278" s="2" t="s">
        <v>983</v>
      </c>
      <c r="G278" s="2" t="s">
        <v>83</v>
      </c>
      <c r="H278" s="2" t="s">
        <v>18</v>
      </c>
      <c r="I278" s="2" t="s">
        <v>28</v>
      </c>
      <c r="J278" s="2" t="s">
        <v>984</v>
      </c>
      <c r="K278" s="2" t="s">
        <v>21</v>
      </c>
      <c r="L278" s="2" t="s">
        <v>85</v>
      </c>
    </row>
    <row r="279" spans="1:12" ht="14.25" customHeight="1" x14ac:dyDescent="0.5">
      <c r="A279" s="2" t="s">
        <v>985</v>
      </c>
      <c r="B279" s="2" t="s">
        <v>319</v>
      </c>
      <c r="C279" s="2" t="s">
        <v>74</v>
      </c>
      <c r="D279" s="2" t="s">
        <v>15</v>
      </c>
      <c r="E279" s="3">
        <v>44492</v>
      </c>
      <c r="F279" s="2" t="s">
        <v>986</v>
      </c>
      <c r="G279" s="2" t="s">
        <v>83</v>
      </c>
      <c r="H279" s="2" t="s">
        <v>45</v>
      </c>
      <c r="I279" s="2" t="s">
        <v>19</v>
      </c>
      <c r="J279" s="2" t="s">
        <v>987</v>
      </c>
      <c r="K279" s="2" t="s">
        <v>159</v>
      </c>
      <c r="L279" s="2" t="s">
        <v>30</v>
      </c>
    </row>
    <row r="280" spans="1:12" ht="14.25" customHeight="1" x14ac:dyDescent="0.5">
      <c r="A280" s="2" t="s">
        <v>988</v>
      </c>
      <c r="B280" s="2" t="s">
        <v>889</v>
      </c>
      <c r="C280" s="2" t="s">
        <v>93</v>
      </c>
      <c r="D280" s="2" t="s">
        <v>50</v>
      </c>
      <c r="E280" s="3">
        <v>43913</v>
      </c>
      <c r="F280" s="2" t="s">
        <v>989</v>
      </c>
      <c r="G280" s="2" t="s">
        <v>44</v>
      </c>
      <c r="H280" s="2" t="s">
        <v>18</v>
      </c>
      <c r="I280" s="2" t="s">
        <v>107</v>
      </c>
      <c r="J280" s="2" t="s">
        <v>990</v>
      </c>
      <c r="K280" s="2" t="s">
        <v>159</v>
      </c>
      <c r="L280" s="2" t="s">
        <v>39</v>
      </c>
    </row>
    <row r="281" spans="1:12" ht="14.25" customHeight="1" x14ac:dyDescent="0.5">
      <c r="A281" s="2" t="s">
        <v>991</v>
      </c>
      <c r="B281" s="2" t="s">
        <v>360</v>
      </c>
      <c r="C281" s="2" t="s">
        <v>125</v>
      </c>
      <c r="D281" s="2" t="s">
        <v>69</v>
      </c>
      <c r="E281" s="3">
        <v>44777</v>
      </c>
      <c r="F281" s="2" t="s">
        <v>992</v>
      </c>
      <c r="G281" s="2" t="s">
        <v>36</v>
      </c>
      <c r="H281" s="2" t="s">
        <v>64</v>
      </c>
      <c r="J281" s="2" t="s">
        <v>993</v>
      </c>
      <c r="K281" s="2" t="s">
        <v>79</v>
      </c>
      <c r="L281" s="2" t="s">
        <v>22</v>
      </c>
    </row>
    <row r="282" spans="1:12" ht="14.25" customHeight="1" x14ac:dyDescent="0.5">
      <c r="A282" s="2" t="s">
        <v>994</v>
      </c>
      <c r="B282" s="2" t="s">
        <v>177</v>
      </c>
      <c r="C282" s="2" t="s">
        <v>14</v>
      </c>
      <c r="D282" s="2" t="s">
        <v>69</v>
      </c>
      <c r="E282" s="3">
        <v>44729</v>
      </c>
      <c r="F282" s="2" t="s">
        <v>995</v>
      </c>
      <c r="G282" s="2" t="s">
        <v>83</v>
      </c>
      <c r="H282" s="2" t="s">
        <v>45</v>
      </c>
      <c r="I282" s="2" t="s">
        <v>77</v>
      </c>
      <c r="J282" s="2" t="s">
        <v>996</v>
      </c>
      <c r="K282" s="2" t="s">
        <v>21</v>
      </c>
      <c r="L282" s="2" t="s">
        <v>85</v>
      </c>
    </row>
    <row r="283" spans="1:12" ht="14.25" customHeight="1" x14ac:dyDescent="0.5">
      <c r="A283" s="2" t="s">
        <v>997</v>
      </c>
      <c r="B283" s="2" t="s">
        <v>308</v>
      </c>
      <c r="C283" s="2" t="s">
        <v>25</v>
      </c>
      <c r="D283" s="2" t="s">
        <v>42</v>
      </c>
      <c r="E283" s="3">
        <v>45280</v>
      </c>
      <c r="F283" s="2" t="s">
        <v>998</v>
      </c>
      <c r="G283" s="2" t="s">
        <v>36</v>
      </c>
      <c r="H283" s="2" t="s">
        <v>27</v>
      </c>
      <c r="I283" s="2" t="s">
        <v>77</v>
      </c>
      <c r="J283" s="2" t="s">
        <v>999</v>
      </c>
      <c r="K283" s="2" t="s">
        <v>47</v>
      </c>
      <c r="L283" s="2" t="s">
        <v>85</v>
      </c>
    </row>
    <row r="284" spans="1:12" ht="14.25" customHeight="1" x14ac:dyDescent="0.5">
      <c r="A284" s="2" t="s">
        <v>1000</v>
      </c>
      <c r="B284" s="2" t="s">
        <v>32</v>
      </c>
      <c r="C284" s="2" t="s">
        <v>105</v>
      </c>
      <c r="D284" s="2" t="s">
        <v>42</v>
      </c>
      <c r="E284" s="3">
        <v>45129</v>
      </c>
      <c r="F284" s="2" t="s">
        <v>1001</v>
      </c>
      <c r="G284" s="2" t="s">
        <v>44</v>
      </c>
      <c r="H284" s="2" t="s">
        <v>121</v>
      </c>
      <c r="I284" s="2" t="s">
        <v>77</v>
      </c>
      <c r="J284" s="2" t="s">
        <v>1002</v>
      </c>
      <c r="K284" s="2" t="s">
        <v>159</v>
      </c>
      <c r="L284" s="2" t="s">
        <v>22</v>
      </c>
    </row>
    <row r="285" spans="1:12" ht="14.25" customHeight="1" x14ac:dyDescent="0.5">
      <c r="A285" s="2" t="s">
        <v>1003</v>
      </c>
      <c r="B285" s="2" t="s">
        <v>104</v>
      </c>
      <c r="C285" s="2" t="s">
        <v>25</v>
      </c>
      <c r="D285" s="2" t="s">
        <v>15</v>
      </c>
      <c r="E285" s="3">
        <v>44114</v>
      </c>
      <c r="F285" s="2" t="s">
        <v>1004</v>
      </c>
      <c r="G285" s="2" t="s">
        <v>36</v>
      </c>
      <c r="H285" s="2" t="s">
        <v>58</v>
      </c>
      <c r="I285" s="2" t="s">
        <v>28</v>
      </c>
      <c r="J285" s="2" t="s">
        <v>1005</v>
      </c>
      <c r="K285" s="2" t="s">
        <v>96</v>
      </c>
      <c r="L285" s="2" t="s">
        <v>22</v>
      </c>
    </row>
    <row r="286" spans="1:12" ht="14.25" customHeight="1" x14ac:dyDescent="0.5">
      <c r="A286" s="2" t="s">
        <v>1006</v>
      </c>
      <c r="B286" s="2" t="s">
        <v>1007</v>
      </c>
      <c r="C286" s="2" t="s">
        <v>49</v>
      </c>
      <c r="D286" s="2" t="s">
        <v>50</v>
      </c>
      <c r="E286" s="3">
        <v>44810</v>
      </c>
      <c r="F286" s="2" t="s">
        <v>1008</v>
      </c>
      <c r="G286" s="2" t="s">
        <v>44</v>
      </c>
      <c r="H286" s="2" t="s">
        <v>27</v>
      </c>
      <c r="I286" s="2" t="s">
        <v>65</v>
      </c>
      <c r="J286" s="2" t="s">
        <v>1009</v>
      </c>
      <c r="K286" s="2" t="s">
        <v>79</v>
      </c>
      <c r="L286" s="2" t="s">
        <v>39</v>
      </c>
    </row>
    <row r="287" spans="1:12" ht="14.25" customHeight="1" x14ac:dyDescent="0.5">
      <c r="A287" s="2" t="s">
        <v>1010</v>
      </c>
      <c r="B287" s="2" t="s">
        <v>181</v>
      </c>
      <c r="C287" s="2" t="s">
        <v>14</v>
      </c>
      <c r="D287" s="2" t="s">
        <v>69</v>
      </c>
      <c r="E287" s="3">
        <v>44003</v>
      </c>
      <c r="F287" s="2" t="s">
        <v>1011</v>
      </c>
      <c r="G287" s="2" t="s">
        <v>44</v>
      </c>
      <c r="H287" s="2" t="s">
        <v>121</v>
      </c>
      <c r="I287" s="2" t="s">
        <v>77</v>
      </c>
      <c r="J287" s="2" t="s">
        <v>1012</v>
      </c>
      <c r="K287" s="2" t="s">
        <v>38</v>
      </c>
      <c r="L287" s="2" t="s">
        <v>39</v>
      </c>
    </row>
    <row r="288" spans="1:12" ht="14.25" customHeight="1" x14ac:dyDescent="0.5">
      <c r="A288" s="2" t="s">
        <v>1013</v>
      </c>
      <c r="B288" s="2" t="s">
        <v>55</v>
      </c>
      <c r="C288" s="2" t="s">
        <v>125</v>
      </c>
      <c r="D288" s="2" t="s">
        <v>15</v>
      </c>
      <c r="E288" s="3">
        <v>45181</v>
      </c>
      <c r="F288" s="2" t="s">
        <v>1014</v>
      </c>
      <c r="G288" s="2" t="s">
        <v>57</v>
      </c>
      <c r="H288" s="2" t="s">
        <v>64</v>
      </c>
      <c r="I288" s="2" t="s">
        <v>107</v>
      </c>
      <c r="J288" s="2" t="s">
        <v>1015</v>
      </c>
      <c r="K288" s="2" t="s">
        <v>159</v>
      </c>
      <c r="L288" s="2" t="s">
        <v>85</v>
      </c>
    </row>
    <row r="289" spans="1:12" ht="14.25" customHeight="1" x14ac:dyDescent="0.5">
      <c r="A289" s="2" t="s">
        <v>1016</v>
      </c>
      <c r="B289" s="2" t="s">
        <v>129</v>
      </c>
      <c r="C289" s="2" t="s">
        <v>49</v>
      </c>
      <c r="D289" s="2" t="s">
        <v>15</v>
      </c>
      <c r="E289" s="3">
        <v>44917</v>
      </c>
      <c r="F289" s="2" t="s">
        <v>1017</v>
      </c>
      <c r="G289" s="2" t="s">
        <v>44</v>
      </c>
      <c r="H289" s="2" t="s">
        <v>121</v>
      </c>
      <c r="I289" s="2" t="s">
        <v>77</v>
      </c>
      <c r="J289" s="2" t="s">
        <v>1018</v>
      </c>
      <c r="K289" s="2" t="s">
        <v>53</v>
      </c>
      <c r="L289" s="2" t="s">
        <v>39</v>
      </c>
    </row>
    <row r="290" spans="1:12" ht="14.25" customHeight="1" x14ac:dyDescent="0.5">
      <c r="A290" s="2" t="s">
        <v>1019</v>
      </c>
      <c r="B290" s="2" t="s">
        <v>268</v>
      </c>
      <c r="C290" s="2" t="s">
        <v>99</v>
      </c>
      <c r="D290" s="2" t="s">
        <v>75</v>
      </c>
      <c r="E290" s="3">
        <v>44927</v>
      </c>
      <c r="F290" s="2" t="s">
        <v>1020</v>
      </c>
      <c r="G290" s="2" t="s">
        <v>44</v>
      </c>
      <c r="H290" s="2" t="s">
        <v>121</v>
      </c>
      <c r="I290" s="2" t="s">
        <v>19</v>
      </c>
      <c r="J290" s="2" t="s">
        <v>1021</v>
      </c>
      <c r="K290" s="2" t="s">
        <v>159</v>
      </c>
      <c r="L290" s="2" t="s">
        <v>30</v>
      </c>
    </row>
    <row r="291" spans="1:12" ht="14.25" customHeight="1" x14ac:dyDescent="0.5">
      <c r="A291" s="2" t="s">
        <v>1022</v>
      </c>
      <c r="B291" s="2" t="s">
        <v>98</v>
      </c>
      <c r="C291" s="2" t="s">
        <v>99</v>
      </c>
      <c r="D291" s="2" t="s">
        <v>34</v>
      </c>
      <c r="E291" s="3">
        <v>44593</v>
      </c>
      <c r="F291" s="2" t="s">
        <v>1023</v>
      </c>
      <c r="G291" s="2" t="s">
        <v>17</v>
      </c>
      <c r="H291" s="2" t="s">
        <v>121</v>
      </c>
      <c r="I291" s="2" t="s">
        <v>28</v>
      </c>
      <c r="J291" s="2" t="s">
        <v>1024</v>
      </c>
      <c r="K291" s="2" t="s">
        <v>79</v>
      </c>
      <c r="L291" s="2" t="s">
        <v>39</v>
      </c>
    </row>
    <row r="292" spans="1:12" ht="14.25" customHeight="1" x14ac:dyDescent="0.5">
      <c r="A292" s="2" t="s">
        <v>1025</v>
      </c>
      <c r="B292" s="2" t="s">
        <v>245</v>
      </c>
      <c r="C292" s="2" t="s">
        <v>25</v>
      </c>
      <c r="D292" s="2" t="s">
        <v>42</v>
      </c>
      <c r="E292" s="3">
        <v>45229</v>
      </c>
      <c r="F292" s="2" t="s">
        <v>1026</v>
      </c>
      <c r="G292" s="2" t="s">
        <v>83</v>
      </c>
      <c r="H292" s="2" t="s">
        <v>89</v>
      </c>
      <c r="I292" s="2" t="s">
        <v>19</v>
      </c>
      <c r="J292" s="2" t="s">
        <v>1027</v>
      </c>
      <c r="K292" s="2" t="s">
        <v>47</v>
      </c>
      <c r="L292" s="2" t="s">
        <v>39</v>
      </c>
    </row>
    <row r="293" spans="1:12" ht="14.25" customHeight="1" x14ac:dyDescent="0.5">
      <c r="A293" s="2" t="s">
        <v>1028</v>
      </c>
      <c r="B293" s="2" t="s">
        <v>1029</v>
      </c>
      <c r="C293" s="2" t="s">
        <v>93</v>
      </c>
      <c r="D293" s="2" t="s">
        <v>50</v>
      </c>
      <c r="E293" s="3">
        <v>44463</v>
      </c>
      <c r="F293" s="2" t="s">
        <v>1030</v>
      </c>
      <c r="G293" s="2" t="s">
        <v>57</v>
      </c>
      <c r="H293" s="2" t="s">
        <v>64</v>
      </c>
      <c r="I293" s="2" t="s">
        <v>19</v>
      </c>
      <c r="J293" s="2" t="s">
        <v>1031</v>
      </c>
      <c r="K293" s="2" t="s">
        <v>96</v>
      </c>
      <c r="L293" s="2" t="s">
        <v>85</v>
      </c>
    </row>
    <row r="294" spans="1:12" ht="14.25" customHeight="1" x14ac:dyDescent="0.5">
      <c r="A294" s="2" t="s">
        <v>1032</v>
      </c>
      <c r="B294" s="2" t="s">
        <v>580</v>
      </c>
      <c r="C294" s="2" t="s">
        <v>235</v>
      </c>
      <c r="D294" s="2" t="s">
        <v>69</v>
      </c>
      <c r="E294" s="3">
        <v>44617</v>
      </c>
      <c r="F294" s="2" t="s">
        <v>1033</v>
      </c>
      <c r="G294" s="2" t="s">
        <v>57</v>
      </c>
      <c r="H294" s="2" t="s">
        <v>112</v>
      </c>
      <c r="I294" s="2" t="s">
        <v>19</v>
      </c>
      <c r="J294" s="2" t="s">
        <v>1034</v>
      </c>
      <c r="K294" s="2" t="s">
        <v>53</v>
      </c>
      <c r="L294" s="2" t="s">
        <v>30</v>
      </c>
    </row>
    <row r="295" spans="1:12" ht="14.25" customHeight="1" x14ac:dyDescent="0.5">
      <c r="A295" s="2" t="s">
        <v>1035</v>
      </c>
      <c r="B295" s="2" t="s">
        <v>145</v>
      </c>
      <c r="C295" s="2" t="s">
        <v>93</v>
      </c>
      <c r="D295" s="2" t="s">
        <v>15</v>
      </c>
      <c r="E295" s="3">
        <v>44773</v>
      </c>
      <c r="F295" s="2" t="s">
        <v>1036</v>
      </c>
      <c r="G295" s="2" t="s">
        <v>57</v>
      </c>
      <c r="H295" s="2" t="s">
        <v>112</v>
      </c>
      <c r="J295" s="2" t="s">
        <v>1037</v>
      </c>
      <c r="K295" s="2" t="s">
        <v>38</v>
      </c>
      <c r="L295" s="2" t="s">
        <v>39</v>
      </c>
    </row>
    <row r="296" spans="1:12" ht="14.25" customHeight="1" x14ac:dyDescent="0.5">
      <c r="A296" s="2" t="s">
        <v>1038</v>
      </c>
      <c r="B296" s="2" t="s">
        <v>68</v>
      </c>
      <c r="C296" s="2" t="s">
        <v>74</v>
      </c>
      <c r="D296" s="2" t="s">
        <v>69</v>
      </c>
      <c r="E296" s="3">
        <v>44842</v>
      </c>
      <c r="F296" s="2" t="s">
        <v>1039</v>
      </c>
      <c r="G296" s="2" t="s">
        <v>17</v>
      </c>
      <c r="H296" s="2" t="s">
        <v>112</v>
      </c>
      <c r="J296" s="2" t="s">
        <v>1040</v>
      </c>
      <c r="K296" s="2" t="s">
        <v>53</v>
      </c>
      <c r="L296" s="2" t="s">
        <v>30</v>
      </c>
    </row>
    <row r="297" spans="1:12" ht="14.25" customHeight="1" x14ac:dyDescent="0.5">
      <c r="A297" s="2" t="s">
        <v>1041</v>
      </c>
      <c r="B297" s="2" t="s">
        <v>418</v>
      </c>
      <c r="C297" s="2" t="s">
        <v>93</v>
      </c>
      <c r="D297" s="2" t="s">
        <v>75</v>
      </c>
      <c r="E297" s="3">
        <v>44228</v>
      </c>
      <c r="F297" s="2" t="s">
        <v>1042</v>
      </c>
      <c r="G297" s="2" t="s">
        <v>44</v>
      </c>
      <c r="H297" s="2" t="s">
        <v>45</v>
      </c>
      <c r="I297" s="2" t="s">
        <v>65</v>
      </c>
      <c r="J297" s="2" t="s">
        <v>1043</v>
      </c>
      <c r="K297" s="2" t="s">
        <v>159</v>
      </c>
      <c r="L297" s="2" t="s">
        <v>30</v>
      </c>
    </row>
    <row r="298" spans="1:12" ht="14.25" customHeight="1" x14ac:dyDescent="0.5">
      <c r="A298" s="2" t="s">
        <v>1044</v>
      </c>
      <c r="B298" s="2" t="s">
        <v>492</v>
      </c>
      <c r="C298" s="2" t="s">
        <v>74</v>
      </c>
      <c r="D298" s="2" t="s">
        <v>50</v>
      </c>
      <c r="E298" s="3">
        <v>44974</v>
      </c>
      <c r="F298" s="2" t="s">
        <v>1045</v>
      </c>
      <c r="G298" s="2" t="s">
        <v>83</v>
      </c>
      <c r="H298" s="2" t="s">
        <v>18</v>
      </c>
      <c r="I298" s="2" t="s">
        <v>28</v>
      </c>
      <c r="J298" s="2" t="s">
        <v>1046</v>
      </c>
      <c r="K298" s="2" t="s">
        <v>47</v>
      </c>
      <c r="L298" s="2" t="s">
        <v>30</v>
      </c>
    </row>
    <row r="299" spans="1:12" ht="14.25" customHeight="1" x14ac:dyDescent="0.5">
      <c r="A299" s="2" t="s">
        <v>1047</v>
      </c>
      <c r="B299" s="2" t="s">
        <v>336</v>
      </c>
      <c r="C299" s="2" t="s">
        <v>74</v>
      </c>
      <c r="D299" s="2" t="s">
        <v>15</v>
      </c>
      <c r="E299" s="3">
        <v>44764</v>
      </c>
      <c r="F299" s="2" t="s">
        <v>1048</v>
      </c>
      <c r="G299" s="2" t="s">
        <v>36</v>
      </c>
      <c r="H299" s="2" t="s">
        <v>64</v>
      </c>
      <c r="I299" s="2" t="s">
        <v>107</v>
      </c>
      <c r="J299" s="2" t="s">
        <v>1049</v>
      </c>
      <c r="K299" s="2" t="s">
        <v>21</v>
      </c>
      <c r="L299" s="2" t="s">
        <v>22</v>
      </c>
    </row>
    <row r="300" spans="1:12" ht="14.25" customHeight="1" x14ac:dyDescent="0.5">
      <c r="A300" s="2" t="s">
        <v>1050</v>
      </c>
      <c r="B300" s="2" t="s">
        <v>646</v>
      </c>
      <c r="C300" s="2" t="s">
        <v>125</v>
      </c>
      <c r="D300" s="2" t="s">
        <v>69</v>
      </c>
      <c r="E300" s="3">
        <v>45291</v>
      </c>
      <c r="F300" s="2" t="s">
        <v>1051</v>
      </c>
      <c r="G300" s="2" t="s">
        <v>44</v>
      </c>
      <c r="H300" s="2" t="s">
        <v>27</v>
      </c>
      <c r="I300" s="2" t="s">
        <v>107</v>
      </c>
      <c r="J300" s="2" t="s">
        <v>1052</v>
      </c>
      <c r="K300" s="2" t="s">
        <v>96</v>
      </c>
      <c r="L300" s="2" t="s">
        <v>22</v>
      </c>
    </row>
    <row r="301" spans="1:12" ht="14.25" customHeight="1" x14ac:dyDescent="0.5">
      <c r="A301" s="2" t="s">
        <v>1053</v>
      </c>
      <c r="B301" s="2" t="s">
        <v>329</v>
      </c>
      <c r="C301" s="2" t="s">
        <v>14</v>
      </c>
      <c r="D301" s="2" t="s">
        <v>42</v>
      </c>
      <c r="E301" s="3">
        <v>44506</v>
      </c>
      <c r="F301" s="2" t="s">
        <v>1054</v>
      </c>
      <c r="G301" s="2" t="s">
        <v>17</v>
      </c>
      <c r="H301" s="2" t="s">
        <v>89</v>
      </c>
      <c r="I301" s="2" t="s">
        <v>107</v>
      </c>
      <c r="J301" s="2" t="s">
        <v>1055</v>
      </c>
      <c r="K301" s="2" t="s">
        <v>21</v>
      </c>
      <c r="L301" s="2" t="s">
        <v>22</v>
      </c>
    </row>
    <row r="302" spans="1:12" ht="14.25" customHeight="1" x14ac:dyDescent="0.5">
      <c r="A302" s="2" t="s">
        <v>1056</v>
      </c>
      <c r="B302" s="2" t="s">
        <v>580</v>
      </c>
      <c r="C302" s="2" t="s">
        <v>125</v>
      </c>
      <c r="D302" s="2" t="s">
        <v>34</v>
      </c>
      <c r="E302" s="3">
        <v>44766</v>
      </c>
      <c r="F302" s="2" t="s">
        <v>1057</v>
      </c>
      <c r="G302" s="2" t="s">
        <v>44</v>
      </c>
      <c r="H302" s="2" t="s">
        <v>27</v>
      </c>
      <c r="I302" s="2" t="s">
        <v>19</v>
      </c>
      <c r="J302" s="2" t="s">
        <v>1058</v>
      </c>
      <c r="K302" s="2" t="s">
        <v>96</v>
      </c>
      <c r="L302" s="2" t="s">
        <v>22</v>
      </c>
    </row>
    <row r="303" spans="1:12" ht="14.25" customHeight="1" x14ac:dyDescent="0.5">
      <c r="A303" s="2" t="s">
        <v>1059</v>
      </c>
      <c r="B303" s="2" t="s">
        <v>264</v>
      </c>
      <c r="C303" s="2" t="s">
        <v>74</v>
      </c>
      <c r="D303" s="2" t="s">
        <v>75</v>
      </c>
      <c r="E303" s="3">
        <v>44295</v>
      </c>
      <c r="F303" s="2" t="s">
        <v>1060</v>
      </c>
      <c r="G303" s="2" t="s">
        <v>44</v>
      </c>
      <c r="H303" s="2" t="s">
        <v>27</v>
      </c>
      <c r="J303" s="2" t="s">
        <v>1061</v>
      </c>
      <c r="K303" s="2" t="s">
        <v>38</v>
      </c>
      <c r="L303" s="2" t="s">
        <v>85</v>
      </c>
    </row>
    <row r="304" spans="1:12" ht="14.25" customHeight="1" x14ac:dyDescent="0.5">
      <c r="A304" s="2" t="s">
        <v>1062</v>
      </c>
      <c r="B304" s="2" t="s">
        <v>191</v>
      </c>
      <c r="C304" s="2" t="s">
        <v>49</v>
      </c>
      <c r="D304" s="2" t="s">
        <v>50</v>
      </c>
      <c r="E304" s="3">
        <v>44116</v>
      </c>
      <c r="F304" s="2" t="s">
        <v>1063</v>
      </c>
      <c r="G304" s="2" t="s">
        <v>17</v>
      </c>
      <c r="H304" s="2" t="s">
        <v>27</v>
      </c>
      <c r="I304" s="2" t="s">
        <v>28</v>
      </c>
      <c r="J304" s="2" t="s">
        <v>1064</v>
      </c>
      <c r="K304" s="2" t="s">
        <v>60</v>
      </c>
      <c r="L304" s="2" t="s">
        <v>39</v>
      </c>
    </row>
    <row r="305" spans="1:12" ht="14.25" customHeight="1" x14ac:dyDescent="0.5">
      <c r="A305" s="2" t="s">
        <v>1065</v>
      </c>
      <c r="B305" s="2" t="s">
        <v>353</v>
      </c>
      <c r="C305" s="2" t="s">
        <v>99</v>
      </c>
      <c r="D305" s="2" t="s">
        <v>75</v>
      </c>
      <c r="E305" s="3">
        <v>44095</v>
      </c>
      <c r="F305" s="2" t="s">
        <v>1066</v>
      </c>
      <c r="G305" s="2" t="s">
        <v>57</v>
      </c>
      <c r="H305" s="2" t="s">
        <v>89</v>
      </c>
      <c r="I305" s="2" t="s">
        <v>19</v>
      </c>
      <c r="J305" s="2" t="s">
        <v>1067</v>
      </c>
      <c r="K305" s="2" t="s">
        <v>96</v>
      </c>
      <c r="L305" s="2" t="s">
        <v>22</v>
      </c>
    </row>
    <row r="306" spans="1:12" ht="14.25" customHeight="1" x14ac:dyDescent="0.5">
      <c r="A306" s="2" t="s">
        <v>1068</v>
      </c>
      <c r="B306" s="2" t="s">
        <v>343</v>
      </c>
      <c r="C306" s="2" t="s">
        <v>74</v>
      </c>
      <c r="D306" s="2" t="s">
        <v>42</v>
      </c>
      <c r="E306" s="3">
        <v>44150</v>
      </c>
      <c r="F306" s="2" t="s">
        <v>1069</v>
      </c>
      <c r="G306" s="2" t="s">
        <v>57</v>
      </c>
      <c r="H306" s="2" t="s">
        <v>112</v>
      </c>
      <c r="J306" s="2" t="s">
        <v>1070</v>
      </c>
      <c r="K306" s="2" t="s">
        <v>60</v>
      </c>
      <c r="L306" s="2" t="s">
        <v>85</v>
      </c>
    </row>
    <row r="307" spans="1:12" ht="14.25" customHeight="1" x14ac:dyDescent="0.5">
      <c r="A307" s="2" t="s">
        <v>1071</v>
      </c>
      <c r="B307" s="2" t="s">
        <v>588</v>
      </c>
      <c r="C307" s="2" t="s">
        <v>125</v>
      </c>
      <c r="D307" s="2" t="s">
        <v>50</v>
      </c>
      <c r="E307" s="3">
        <v>44503</v>
      </c>
      <c r="F307" s="2" t="s">
        <v>1072</v>
      </c>
      <c r="G307" s="2" t="s">
        <v>83</v>
      </c>
      <c r="H307" s="2" t="s">
        <v>27</v>
      </c>
      <c r="J307" s="2" t="s">
        <v>1073</v>
      </c>
      <c r="K307" s="2" t="s">
        <v>21</v>
      </c>
      <c r="L307" s="2" t="s">
        <v>39</v>
      </c>
    </row>
    <row r="308" spans="1:12" ht="14.25" customHeight="1" x14ac:dyDescent="0.5">
      <c r="A308" s="2" t="s">
        <v>1074</v>
      </c>
      <c r="B308" s="2" t="s">
        <v>367</v>
      </c>
      <c r="C308" s="2" t="s">
        <v>49</v>
      </c>
      <c r="D308" s="2" t="s">
        <v>75</v>
      </c>
      <c r="E308" s="3">
        <v>45230</v>
      </c>
      <c r="F308" s="2" t="s">
        <v>1075</v>
      </c>
      <c r="G308" s="2" t="s">
        <v>83</v>
      </c>
      <c r="H308" s="2" t="s">
        <v>89</v>
      </c>
      <c r="I308" s="2" t="s">
        <v>77</v>
      </c>
      <c r="J308" s="2" t="s">
        <v>1076</v>
      </c>
      <c r="K308" s="2" t="s">
        <v>96</v>
      </c>
      <c r="L308" s="2" t="s">
        <v>22</v>
      </c>
    </row>
    <row r="309" spans="1:12" ht="14.25" customHeight="1" x14ac:dyDescent="0.5">
      <c r="A309" s="2" t="s">
        <v>1077</v>
      </c>
      <c r="B309" s="2" t="s">
        <v>353</v>
      </c>
      <c r="C309" s="2" t="s">
        <v>125</v>
      </c>
      <c r="D309" s="2" t="s">
        <v>100</v>
      </c>
      <c r="E309" s="3">
        <v>44650</v>
      </c>
      <c r="F309" s="2" t="s">
        <v>1078</v>
      </c>
      <c r="G309" s="2" t="s">
        <v>57</v>
      </c>
      <c r="H309" s="2" t="s">
        <v>89</v>
      </c>
      <c r="I309" s="2" t="s">
        <v>77</v>
      </c>
      <c r="J309" s="2" t="s">
        <v>1079</v>
      </c>
      <c r="K309" s="2" t="s">
        <v>38</v>
      </c>
      <c r="L309" s="2" t="s">
        <v>39</v>
      </c>
    </row>
    <row r="310" spans="1:12" ht="14.25" customHeight="1" x14ac:dyDescent="0.5">
      <c r="A310" s="2" t="s">
        <v>1080</v>
      </c>
      <c r="B310" s="2" t="s">
        <v>852</v>
      </c>
      <c r="C310" s="2" t="s">
        <v>93</v>
      </c>
      <c r="D310" s="2" t="s">
        <v>42</v>
      </c>
      <c r="E310" s="3">
        <v>43919</v>
      </c>
      <c r="F310" s="2" t="s">
        <v>1081</v>
      </c>
      <c r="G310" s="2" t="s">
        <v>36</v>
      </c>
      <c r="H310" s="2" t="s">
        <v>18</v>
      </c>
      <c r="I310" s="2" t="s">
        <v>28</v>
      </c>
      <c r="J310" s="2" t="s">
        <v>1082</v>
      </c>
      <c r="K310" s="2" t="s">
        <v>79</v>
      </c>
      <c r="L310" s="2" t="s">
        <v>22</v>
      </c>
    </row>
    <row r="311" spans="1:12" ht="14.25" customHeight="1" x14ac:dyDescent="0.5">
      <c r="A311" s="2" t="s">
        <v>1083</v>
      </c>
      <c r="B311" s="2" t="s">
        <v>870</v>
      </c>
      <c r="C311" s="2" t="s">
        <v>105</v>
      </c>
      <c r="D311" s="2" t="s">
        <v>42</v>
      </c>
      <c r="E311" s="3">
        <v>45057</v>
      </c>
      <c r="F311" s="2" t="s">
        <v>1084</v>
      </c>
      <c r="G311" s="2" t="s">
        <v>44</v>
      </c>
      <c r="H311" s="2" t="s">
        <v>89</v>
      </c>
      <c r="I311" s="2" t="s">
        <v>28</v>
      </c>
      <c r="J311" s="2" t="s">
        <v>1085</v>
      </c>
      <c r="K311" s="2" t="s">
        <v>38</v>
      </c>
      <c r="L311" s="2" t="s">
        <v>85</v>
      </c>
    </row>
    <row r="312" spans="1:12" ht="14.25" customHeight="1" x14ac:dyDescent="0.5">
      <c r="A312" s="2" t="s">
        <v>1086</v>
      </c>
      <c r="B312" s="2" t="s">
        <v>177</v>
      </c>
      <c r="C312" s="2" t="s">
        <v>25</v>
      </c>
      <c r="D312" s="2" t="s">
        <v>42</v>
      </c>
      <c r="E312" s="3">
        <v>44651</v>
      </c>
      <c r="F312" s="2" t="s">
        <v>1087</v>
      </c>
      <c r="G312" s="2" t="s">
        <v>36</v>
      </c>
      <c r="H312" s="2" t="s">
        <v>112</v>
      </c>
      <c r="I312" s="2" t="s">
        <v>28</v>
      </c>
      <c r="J312" s="2" t="s">
        <v>1088</v>
      </c>
      <c r="K312" s="2" t="s">
        <v>38</v>
      </c>
      <c r="L312" s="2" t="s">
        <v>30</v>
      </c>
    </row>
    <row r="313" spans="1:12" ht="14.25" customHeight="1" x14ac:dyDescent="0.5">
      <c r="A313" s="2" t="s">
        <v>1089</v>
      </c>
      <c r="B313" s="2" t="s">
        <v>210</v>
      </c>
      <c r="C313" s="2" t="s">
        <v>235</v>
      </c>
      <c r="D313" s="2" t="s">
        <v>100</v>
      </c>
      <c r="E313" s="3">
        <v>44831</v>
      </c>
      <c r="F313" s="2" t="s">
        <v>1090</v>
      </c>
      <c r="G313" s="2" t="s">
        <v>44</v>
      </c>
      <c r="H313" s="2" t="s">
        <v>27</v>
      </c>
      <c r="I313" s="2" t="s">
        <v>19</v>
      </c>
      <c r="J313" s="2" t="s">
        <v>1091</v>
      </c>
      <c r="K313" s="2" t="s">
        <v>79</v>
      </c>
      <c r="L313" s="2" t="s">
        <v>30</v>
      </c>
    </row>
    <row r="314" spans="1:12" ht="14.25" customHeight="1" x14ac:dyDescent="0.5">
      <c r="A314" s="2" t="s">
        <v>1092</v>
      </c>
      <c r="B314" s="2" t="s">
        <v>275</v>
      </c>
      <c r="C314" s="2" t="s">
        <v>125</v>
      </c>
      <c r="D314" s="2" t="s">
        <v>100</v>
      </c>
      <c r="E314" s="3">
        <v>44164</v>
      </c>
      <c r="F314" s="2" t="s">
        <v>1093</v>
      </c>
      <c r="G314" s="2" t="s">
        <v>57</v>
      </c>
      <c r="H314" s="2" t="s">
        <v>89</v>
      </c>
      <c r="I314" s="2" t="s">
        <v>65</v>
      </c>
      <c r="J314" s="2" t="s">
        <v>1094</v>
      </c>
      <c r="K314" s="2" t="s">
        <v>79</v>
      </c>
      <c r="L314" s="2" t="s">
        <v>39</v>
      </c>
    </row>
    <row r="315" spans="1:12" ht="14.25" customHeight="1" x14ac:dyDescent="0.5">
      <c r="A315" s="2" t="s">
        <v>1095</v>
      </c>
      <c r="B315" s="2" t="s">
        <v>437</v>
      </c>
      <c r="C315" s="2" t="s">
        <v>235</v>
      </c>
      <c r="D315" s="2" t="s">
        <v>69</v>
      </c>
      <c r="E315" s="3">
        <v>44052</v>
      </c>
      <c r="F315" s="2" t="s">
        <v>1096</v>
      </c>
      <c r="G315" s="2" t="s">
        <v>83</v>
      </c>
      <c r="H315" s="2" t="s">
        <v>45</v>
      </c>
      <c r="I315" s="2" t="s">
        <v>28</v>
      </c>
      <c r="J315" s="2" t="s">
        <v>1097</v>
      </c>
      <c r="K315" s="2" t="s">
        <v>47</v>
      </c>
      <c r="L315" s="2" t="s">
        <v>85</v>
      </c>
    </row>
    <row r="316" spans="1:12" ht="14.25" customHeight="1" x14ac:dyDescent="0.5">
      <c r="A316" s="2" t="s">
        <v>1098</v>
      </c>
      <c r="B316" s="2" t="s">
        <v>81</v>
      </c>
      <c r="C316" s="2" t="s">
        <v>33</v>
      </c>
      <c r="D316" s="2" t="s">
        <v>15</v>
      </c>
      <c r="E316" s="3">
        <v>43871</v>
      </c>
      <c r="F316" s="2" t="s">
        <v>1099</v>
      </c>
      <c r="G316" s="2" t="s">
        <v>83</v>
      </c>
      <c r="H316" s="2" t="s">
        <v>89</v>
      </c>
      <c r="I316" s="2" t="s">
        <v>77</v>
      </c>
      <c r="J316" s="2" t="s">
        <v>1100</v>
      </c>
      <c r="K316" s="2" t="s">
        <v>96</v>
      </c>
      <c r="L316" s="2" t="s">
        <v>30</v>
      </c>
    </row>
    <row r="317" spans="1:12" ht="14.25" customHeight="1" x14ac:dyDescent="0.5">
      <c r="A317" s="2" t="s">
        <v>1101</v>
      </c>
      <c r="B317" s="2" t="s">
        <v>762</v>
      </c>
      <c r="C317" s="2" t="s">
        <v>125</v>
      </c>
      <c r="D317" s="2" t="s">
        <v>34</v>
      </c>
      <c r="E317" s="3">
        <v>43898</v>
      </c>
      <c r="F317" s="2" t="s">
        <v>1102</v>
      </c>
      <c r="G317" s="2" t="s">
        <v>36</v>
      </c>
      <c r="H317" s="2" t="s">
        <v>58</v>
      </c>
      <c r="I317" s="2" t="s">
        <v>65</v>
      </c>
      <c r="J317" s="2" t="s">
        <v>1103</v>
      </c>
      <c r="K317" s="2" t="s">
        <v>21</v>
      </c>
      <c r="L317" s="2" t="s">
        <v>22</v>
      </c>
    </row>
    <row r="318" spans="1:12" ht="14.25" customHeight="1" x14ac:dyDescent="0.5">
      <c r="A318" s="2" t="s">
        <v>1104</v>
      </c>
      <c r="B318" s="2" t="s">
        <v>137</v>
      </c>
      <c r="C318" s="2" t="s">
        <v>105</v>
      </c>
      <c r="D318" s="2" t="s">
        <v>75</v>
      </c>
      <c r="E318" s="3">
        <v>44818</v>
      </c>
      <c r="F318" s="2" t="s">
        <v>1105</v>
      </c>
      <c r="G318" s="2" t="s">
        <v>83</v>
      </c>
      <c r="H318" s="2" t="s">
        <v>58</v>
      </c>
      <c r="I318" s="2" t="s">
        <v>19</v>
      </c>
      <c r="J318" s="2" t="s">
        <v>1106</v>
      </c>
      <c r="K318" s="2" t="s">
        <v>47</v>
      </c>
      <c r="L318" s="2" t="s">
        <v>30</v>
      </c>
    </row>
    <row r="319" spans="1:12" ht="14.25" customHeight="1" x14ac:dyDescent="0.5">
      <c r="A319" s="2" t="s">
        <v>1107</v>
      </c>
      <c r="B319" s="2" t="s">
        <v>353</v>
      </c>
      <c r="C319" s="2" t="s">
        <v>235</v>
      </c>
      <c r="D319" s="2" t="s">
        <v>69</v>
      </c>
      <c r="E319" s="3">
        <v>44344</v>
      </c>
      <c r="F319" s="2" t="s">
        <v>1108</v>
      </c>
      <c r="G319" s="2" t="s">
        <v>57</v>
      </c>
      <c r="H319" s="2" t="s">
        <v>58</v>
      </c>
      <c r="I319" s="2" t="s">
        <v>65</v>
      </c>
      <c r="J319" s="2" t="s">
        <v>1109</v>
      </c>
      <c r="K319" s="2" t="s">
        <v>79</v>
      </c>
      <c r="L319" s="2" t="s">
        <v>39</v>
      </c>
    </row>
    <row r="320" spans="1:12" ht="14.25" customHeight="1" x14ac:dyDescent="0.5">
      <c r="A320" s="2" t="s">
        <v>1110</v>
      </c>
      <c r="B320" s="2" t="s">
        <v>198</v>
      </c>
      <c r="C320" s="2" t="s">
        <v>74</v>
      </c>
      <c r="D320" s="2" t="s">
        <v>75</v>
      </c>
      <c r="E320" s="3">
        <v>44981</v>
      </c>
      <c r="F320" s="2" t="s">
        <v>1111</v>
      </c>
      <c r="G320" s="2" t="s">
        <v>36</v>
      </c>
      <c r="H320" s="2" t="s">
        <v>89</v>
      </c>
      <c r="I320" s="2" t="s">
        <v>107</v>
      </c>
      <c r="J320" s="2" t="s">
        <v>1112</v>
      </c>
      <c r="K320" s="2" t="s">
        <v>60</v>
      </c>
      <c r="L320" s="2" t="s">
        <v>39</v>
      </c>
    </row>
    <row r="321" spans="1:12" ht="14.25" customHeight="1" x14ac:dyDescent="0.5">
      <c r="A321" s="2" t="s">
        <v>1113</v>
      </c>
      <c r="B321" s="2" t="s">
        <v>152</v>
      </c>
      <c r="C321" s="2" t="s">
        <v>125</v>
      </c>
      <c r="D321" s="2" t="s">
        <v>34</v>
      </c>
      <c r="E321" s="3">
        <v>45109</v>
      </c>
      <c r="F321" s="2" t="s">
        <v>1114</v>
      </c>
      <c r="G321" s="2" t="s">
        <v>44</v>
      </c>
      <c r="H321" s="2" t="s">
        <v>112</v>
      </c>
      <c r="I321" s="2" t="s">
        <v>65</v>
      </c>
      <c r="J321" s="2" t="s">
        <v>1115</v>
      </c>
      <c r="K321" s="2" t="s">
        <v>21</v>
      </c>
      <c r="L321" s="2" t="s">
        <v>85</v>
      </c>
    </row>
    <row r="322" spans="1:12" ht="14.25" customHeight="1" x14ac:dyDescent="0.5">
      <c r="A322" s="2" t="s">
        <v>1116</v>
      </c>
      <c r="B322" s="2" t="s">
        <v>1029</v>
      </c>
      <c r="C322" s="2" t="s">
        <v>14</v>
      </c>
      <c r="D322" s="2" t="s">
        <v>15</v>
      </c>
      <c r="E322" s="3">
        <v>44525</v>
      </c>
      <c r="F322" s="2" t="s">
        <v>1117</v>
      </c>
      <c r="G322" s="2" t="s">
        <v>83</v>
      </c>
      <c r="H322" s="2" t="s">
        <v>27</v>
      </c>
      <c r="I322" s="2" t="s">
        <v>28</v>
      </c>
      <c r="J322" s="2" t="s">
        <v>1118</v>
      </c>
      <c r="K322" s="2" t="s">
        <v>60</v>
      </c>
      <c r="L322" s="2" t="s">
        <v>39</v>
      </c>
    </row>
    <row r="323" spans="1:12" ht="14.25" customHeight="1" x14ac:dyDescent="0.5">
      <c r="A323" s="2" t="s">
        <v>1119</v>
      </c>
      <c r="B323" s="2" t="s">
        <v>385</v>
      </c>
      <c r="C323" s="2" t="s">
        <v>25</v>
      </c>
      <c r="D323" s="2" t="s">
        <v>100</v>
      </c>
      <c r="E323" s="3">
        <v>44870</v>
      </c>
      <c r="F323" s="2" t="s">
        <v>1120</v>
      </c>
      <c r="G323" s="2" t="s">
        <v>17</v>
      </c>
      <c r="H323" s="2" t="s">
        <v>64</v>
      </c>
      <c r="I323" s="2" t="s">
        <v>19</v>
      </c>
      <c r="J323" s="2" t="s">
        <v>1121</v>
      </c>
      <c r="K323" s="2" t="s">
        <v>38</v>
      </c>
      <c r="L323" s="2" t="s">
        <v>30</v>
      </c>
    </row>
    <row r="324" spans="1:12" ht="14.25" customHeight="1" x14ac:dyDescent="0.5">
      <c r="A324" s="2" t="s">
        <v>1122</v>
      </c>
      <c r="B324" s="2" t="s">
        <v>275</v>
      </c>
      <c r="C324" s="2" t="s">
        <v>105</v>
      </c>
      <c r="D324" s="2" t="s">
        <v>15</v>
      </c>
      <c r="E324" s="3">
        <v>44307</v>
      </c>
      <c r="F324" s="2" t="s">
        <v>1123</v>
      </c>
      <c r="G324" s="2" t="s">
        <v>83</v>
      </c>
      <c r="H324" s="2" t="s">
        <v>64</v>
      </c>
      <c r="I324" s="2" t="s">
        <v>28</v>
      </c>
      <c r="J324" s="2" t="s">
        <v>1124</v>
      </c>
      <c r="K324" s="2" t="s">
        <v>159</v>
      </c>
      <c r="L324" s="2" t="s">
        <v>30</v>
      </c>
    </row>
    <row r="325" spans="1:12" ht="14.25" customHeight="1" x14ac:dyDescent="0.5">
      <c r="A325" s="2" t="s">
        <v>1125</v>
      </c>
      <c r="B325" s="2" t="s">
        <v>141</v>
      </c>
      <c r="C325" s="2" t="s">
        <v>235</v>
      </c>
      <c r="D325" s="2" t="s">
        <v>100</v>
      </c>
      <c r="E325" s="3">
        <v>44916</v>
      </c>
      <c r="F325" s="2" t="s">
        <v>1126</v>
      </c>
      <c r="G325" s="2" t="s">
        <v>44</v>
      </c>
      <c r="H325" s="2" t="s">
        <v>64</v>
      </c>
      <c r="I325" s="2" t="s">
        <v>77</v>
      </c>
      <c r="J325" s="2" t="s">
        <v>1127</v>
      </c>
      <c r="K325" s="2" t="s">
        <v>38</v>
      </c>
      <c r="L325" s="2" t="s">
        <v>30</v>
      </c>
    </row>
    <row r="326" spans="1:12" ht="14.25" customHeight="1" x14ac:dyDescent="0.5">
      <c r="A326" s="2" t="s">
        <v>1128</v>
      </c>
      <c r="B326" s="2" t="s">
        <v>425</v>
      </c>
      <c r="C326" s="2" t="s">
        <v>105</v>
      </c>
      <c r="D326" s="2" t="s">
        <v>34</v>
      </c>
      <c r="E326" s="3">
        <v>44711</v>
      </c>
      <c r="F326" s="2" t="s">
        <v>1129</v>
      </c>
      <c r="G326" s="2" t="s">
        <v>36</v>
      </c>
      <c r="H326" s="2" t="s">
        <v>112</v>
      </c>
      <c r="I326" s="2" t="s">
        <v>107</v>
      </c>
      <c r="J326" s="2" t="s">
        <v>1130</v>
      </c>
      <c r="K326" s="2" t="s">
        <v>38</v>
      </c>
      <c r="L326" s="2" t="s">
        <v>30</v>
      </c>
    </row>
    <row r="327" spans="1:12" ht="14.25" customHeight="1" x14ac:dyDescent="0.5">
      <c r="A327" s="2" t="s">
        <v>1131</v>
      </c>
      <c r="B327" s="2" t="s">
        <v>385</v>
      </c>
      <c r="C327" s="2" t="s">
        <v>49</v>
      </c>
      <c r="D327" s="2" t="s">
        <v>15</v>
      </c>
      <c r="E327" s="3">
        <v>44262</v>
      </c>
      <c r="F327" s="2" t="s">
        <v>1132</v>
      </c>
      <c r="G327" s="2" t="s">
        <v>44</v>
      </c>
      <c r="H327" s="2" t="s">
        <v>18</v>
      </c>
      <c r="I327" s="2" t="s">
        <v>77</v>
      </c>
      <c r="J327" s="2" t="s">
        <v>1133</v>
      </c>
      <c r="K327" s="2" t="s">
        <v>159</v>
      </c>
      <c r="L327" s="2" t="s">
        <v>85</v>
      </c>
    </row>
    <row r="328" spans="1:12" ht="14.25" customHeight="1" x14ac:dyDescent="0.5">
      <c r="A328" s="2" t="s">
        <v>1134</v>
      </c>
      <c r="B328" s="2" t="s">
        <v>115</v>
      </c>
      <c r="C328" s="2" t="s">
        <v>25</v>
      </c>
      <c r="D328" s="2" t="s">
        <v>69</v>
      </c>
      <c r="E328" s="3">
        <v>44098</v>
      </c>
      <c r="F328" s="2" t="s">
        <v>1135</v>
      </c>
      <c r="G328" s="2" t="s">
        <v>17</v>
      </c>
      <c r="H328" s="2" t="s">
        <v>121</v>
      </c>
      <c r="I328" s="2" t="s">
        <v>28</v>
      </c>
      <c r="J328" s="2" t="s">
        <v>1136</v>
      </c>
      <c r="K328" s="2" t="s">
        <v>96</v>
      </c>
      <c r="L328" s="2" t="s">
        <v>22</v>
      </c>
    </row>
    <row r="329" spans="1:12" ht="14.25" customHeight="1" x14ac:dyDescent="0.5">
      <c r="A329" s="2" t="s">
        <v>1137</v>
      </c>
      <c r="B329" s="2" t="s">
        <v>275</v>
      </c>
      <c r="C329" s="2" t="s">
        <v>74</v>
      </c>
      <c r="D329" s="2" t="s">
        <v>50</v>
      </c>
      <c r="E329" s="3">
        <v>44889</v>
      </c>
      <c r="F329" s="2" t="s">
        <v>1138</v>
      </c>
      <c r="G329" s="2" t="s">
        <v>57</v>
      </c>
      <c r="H329" s="2" t="s">
        <v>45</v>
      </c>
      <c r="I329" s="2" t="s">
        <v>28</v>
      </c>
      <c r="J329" s="2" t="s">
        <v>1139</v>
      </c>
      <c r="K329" s="2" t="s">
        <v>79</v>
      </c>
      <c r="L329" s="2" t="s">
        <v>22</v>
      </c>
    </row>
    <row r="330" spans="1:12" ht="14.25" customHeight="1" x14ac:dyDescent="0.5">
      <c r="A330" s="2" t="s">
        <v>1140</v>
      </c>
      <c r="B330" s="2" t="s">
        <v>669</v>
      </c>
      <c r="C330" s="2" t="s">
        <v>125</v>
      </c>
      <c r="D330" s="2" t="s">
        <v>69</v>
      </c>
      <c r="E330" s="3">
        <v>44609</v>
      </c>
      <c r="F330" s="2" t="s">
        <v>1141</v>
      </c>
      <c r="G330" s="2" t="s">
        <v>83</v>
      </c>
      <c r="H330" s="2" t="s">
        <v>45</v>
      </c>
      <c r="I330" s="2" t="s">
        <v>28</v>
      </c>
      <c r="J330" s="2" t="s">
        <v>1142</v>
      </c>
      <c r="K330" s="2" t="s">
        <v>60</v>
      </c>
      <c r="L330" s="2" t="s">
        <v>85</v>
      </c>
    </row>
    <row r="331" spans="1:12" ht="14.25" customHeight="1" x14ac:dyDescent="0.5">
      <c r="A331" s="2" t="s">
        <v>1143</v>
      </c>
      <c r="B331" s="2" t="s">
        <v>275</v>
      </c>
      <c r="C331" s="2" t="s">
        <v>125</v>
      </c>
      <c r="D331" s="2" t="s">
        <v>75</v>
      </c>
      <c r="E331" s="3">
        <v>44324</v>
      </c>
      <c r="F331" s="2" t="s">
        <v>1144</v>
      </c>
      <c r="G331" s="2" t="s">
        <v>36</v>
      </c>
      <c r="H331" s="2" t="s">
        <v>58</v>
      </c>
      <c r="J331" s="2" t="s">
        <v>1145</v>
      </c>
      <c r="K331" s="2" t="s">
        <v>38</v>
      </c>
      <c r="L331" s="2" t="s">
        <v>39</v>
      </c>
    </row>
    <row r="332" spans="1:12" ht="14.25" customHeight="1" x14ac:dyDescent="0.5">
      <c r="A332" s="2" t="s">
        <v>1146</v>
      </c>
      <c r="B332" s="2" t="s">
        <v>580</v>
      </c>
      <c r="C332" s="2" t="s">
        <v>125</v>
      </c>
      <c r="D332" s="2" t="s">
        <v>69</v>
      </c>
      <c r="E332" s="3">
        <v>45323</v>
      </c>
      <c r="F332" s="2" t="s">
        <v>1147</v>
      </c>
      <c r="G332" s="2" t="s">
        <v>57</v>
      </c>
      <c r="H332" s="2" t="s">
        <v>58</v>
      </c>
      <c r="I332" s="2" t="s">
        <v>107</v>
      </c>
      <c r="J332" s="2" t="s">
        <v>1148</v>
      </c>
      <c r="K332" s="2" t="s">
        <v>159</v>
      </c>
      <c r="L332" s="2" t="s">
        <v>22</v>
      </c>
    </row>
    <row r="333" spans="1:12" ht="14.25" customHeight="1" x14ac:dyDescent="0.5">
      <c r="A333" s="2" t="s">
        <v>1149</v>
      </c>
      <c r="B333" s="2" t="s">
        <v>762</v>
      </c>
      <c r="C333" s="2" t="s">
        <v>25</v>
      </c>
      <c r="D333" s="2" t="s">
        <v>34</v>
      </c>
      <c r="E333" s="3">
        <v>44491</v>
      </c>
      <c r="F333" s="2" t="s">
        <v>1150</v>
      </c>
      <c r="G333" s="2" t="s">
        <v>44</v>
      </c>
      <c r="H333" s="2" t="s">
        <v>89</v>
      </c>
      <c r="I333" s="2" t="s">
        <v>28</v>
      </c>
      <c r="J333" s="2" t="s">
        <v>1151</v>
      </c>
      <c r="K333" s="2" t="s">
        <v>47</v>
      </c>
      <c r="L333" s="2" t="s">
        <v>39</v>
      </c>
    </row>
    <row r="334" spans="1:12" ht="14.25" customHeight="1" x14ac:dyDescent="0.5">
      <c r="A334" s="2" t="s">
        <v>1152</v>
      </c>
      <c r="B334" s="2" t="s">
        <v>124</v>
      </c>
      <c r="C334" s="2" t="s">
        <v>14</v>
      </c>
      <c r="D334" s="2" t="s">
        <v>42</v>
      </c>
      <c r="E334" s="3">
        <v>45179</v>
      </c>
      <c r="F334" s="2" t="s">
        <v>1153</v>
      </c>
      <c r="G334" s="2" t="s">
        <v>36</v>
      </c>
      <c r="H334" s="2" t="s">
        <v>64</v>
      </c>
      <c r="I334" s="2" t="s">
        <v>28</v>
      </c>
      <c r="J334" s="2" t="s">
        <v>1154</v>
      </c>
      <c r="K334" s="2" t="s">
        <v>38</v>
      </c>
      <c r="L334" s="2" t="s">
        <v>22</v>
      </c>
    </row>
    <row r="335" spans="1:12" ht="14.25" customHeight="1" x14ac:dyDescent="0.5">
      <c r="A335" s="2" t="s">
        <v>1155</v>
      </c>
      <c r="B335" s="2" t="s">
        <v>482</v>
      </c>
      <c r="C335" s="2" t="s">
        <v>33</v>
      </c>
      <c r="D335" s="2" t="s">
        <v>75</v>
      </c>
      <c r="E335" s="3">
        <v>45158</v>
      </c>
      <c r="F335" s="2" t="s">
        <v>1156</v>
      </c>
      <c r="G335" s="2" t="s">
        <v>57</v>
      </c>
      <c r="H335" s="2" t="s">
        <v>89</v>
      </c>
      <c r="I335" s="2" t="s">
        <v>77</v>
      </c>
      <c r="J335" s="2" t="s">
        <v>1157</v>
      </c>
      <c r="K335" s="2" t="s">
        <v>60</v>
      </c>
      <c r="L335" s="2" t="s">
        <v>39</v>
      </c>
    </row>
    <row r="336" spans="1:12" ht="14.25" customHeight="1" x14ac:dyDescent="0.5">
      <c r="A336" s="2" t="s">
        <v>1158</v>
      </c>
      <c r="B336" s="2" t="s">
        <v>286</v>
      </c>
      <c r="C336" s="2" t="s">
        <v>99</v>
      </c>
      <c r="D336" s="2" t="s">
        <v>15</v>
      </c>
      <c r="E336" s="3">
        <v>45130</v>
      </c>
      <c r="F336" s="2" t="s">
        <v>1159</v>
      </c>
      <c r="G336" s="2" t="s">
        <v>36</v>
      </c>
      <c r="H336" s="2" t="s">
        <v>121</v>
      </c>
      <c r="I336" s="2" t="s">
        <v>77</v>
      </c>
      <c r="J336" s="2" t="s">
        <v>1160</v>
      </c>
      <c r="K336" s="2" t="s">
        <v>79</v>
      </c>
      <c r="L336" s="2" t="s">
        <v>85</v>
      </c>
    </row>
    <row r="337" spans="1:12" ht="14.25" customHeight="1" x14ac:dyDescent="0.5">
      <c r="A337" s="2" t="s">
        <v>1161</v>
      </c>
      <c r="B337" s="2" t="s">
        <v>156</v>
      </c>
      <c r="C337" s="2" t="s">
        <v>93</v>
      </c>
      <c r="D337" s="2" t="s">
        <v>75</v>
      </c>
      <c r="E337" s="3">
        <v>44843</v>
      </c>
      <c r="F337" s="2" t="s">
        <v>1162</v>
      </c>
      <c r="G337" s="2" t="s">
        <v>17</v>
      </c>
      <c r="H337" s="2" t="s">
        <v>64</v>
      </c>
      <c r="I337" s="2" t="s">
        <v>28</v>
      </c>
      <c r="J337" s="2" t="s">
        <v>1163</v>
      </c>
      <c r="K337" s="2" t="s">
        <v>38</v>
      </c>
      <c r="L337" s="2" t="s">
        <v>30</v>
      </c>
    </row>
    <row r="338" spans="1:12" ht="14.25" customHeight="1" x14ac:dyDescent="0.5">
      <c r="A338" s="2" t="s">
        <v>1164</v>
      </c>
      <c r="B338" s="2" t="s">
        <v>870</v>
      </c>
      <c r="C338" s="2" t="s">
        <v>235</v>
      </c>
      <c r="D338" s="2" t="s">
        <v>50</v>
      </c>
      <c r="E338" s="3">
        <v>45055</v>
      </c>
      <c r="F338" s="2" t="s">
        <v>1165</v>
      </c>
      <c r="G338" s="2" t="s">
        <v>17</v>
      </c>
      <c r="H338" s="2" t="s">
        <v>58</v>
      </c>
      <c r="I338" s="2" t="s">
        <v>19</v>
      </c>
      <c r="J338" s="2" t="s">
        <v>1166</v>
      </c>
      <c r="K338" s="2" t="s">
        <v>38</v>
      </c>
      <c r="L338" s="2" t="s">
        <v>39</v>
      </c>
    </row>
    <row r="339" spans="1:12" ht="14.25" customHeight="1" x14ac:dyDescent="0.5">
      <c r="A339" s="2" t="s">
        <v>1167</v>
      </c>
      <c r="B339" s="2" t="s">
        <v>268</v>
      </c>
      <c r="C339" s="2" t="s">
        <v>14</v>
      </c>
      <c r="D339" s="2" t="s">
        <v>100</v>
      </c>
      <c r="E339" s="3">
        <v>45299</v>
      </c>
      <c r="F339" s="2" t="s">
        <v>1168</v>
      </c>
      <c r="G339" s="2" t="s">
        <v>83</v>
      </c>
      <c r="H339" s="2" t="s">
        <v>27</v>
      </c>
      <c r="J339" s="2" t="s">
        <v>1169</v>
      </c>
      <c r="K339" s="2" t="s">
        <v>96</v>
      </c>
      <c r="L339" s="2" t="s">
        <v>30</v>
      </c>
    </row>
    <row r="340" spans="1:12" ht="14.25" customHeight="1" x14ac:dyDescent="0.5">
      <c r="A340" s="2" t="s">
        <v>1170</v>
      </c>
      <c r="B340" s="2" t="s">
        <v>475</v>
      </c>
      <c r="C340" s="2" t="s">
        <v>74</v>
      </c>
      <c r="D340" s="2" t="s">
        <v>15</v>
      </c>
      <c r="E340" s="3">
        <v>45178</v>
      </c>
      <c r="F340" s="2" t="s">
        <v>1171</v>
      </c>
      <c r="G340" s="2" t="s">
        <v>83</v>
      </c>
      <c r="H340" s="2" t="s">
        <v>18</v>
      </c>
      <c r="I340" s="2" t="s">
        <v>77</v>
      </c>
      <c r="J340" s="2" t="s">
        <v>1172</v>
      </c>
      <c r="K340" s="2" t="s">
        <v>53</v>
      </c>
      <c r="L340" s="2" t="s">
        <v>39</v>
      </c>
    </row>
    <row r="341" spans="1:12" ht="14.25" customHeight="1" x14ac:dyDescent="0.5">
      <c r="A341" s="2" t="s">
        <v>1173</v>
      </c>
      <c r="B341" s="2" t="s">
        <v>502</v>
      </c>
      <c r="C341" s="2" t="s">
        <v>235</v>
      </c>
      <c r="D341" s="2" t="s">
        <v>75</v>
      </c>
      <c r="E341" s="3">
        <v>44889</v>
      </c>
      <c r="F341" s="2" t="s">
        <v>1174</v>
      </c>
      <c r="G341" s="2" t="s">
        <v>17</v>
      </c>
      <c r="H341" s="2" t="s">
        <v>89</v>
      </c>
      <c r="I341" s="2" t="s">
        <v>19</v>
      </c>
      <c r="J341" s="2" t="s">
        <v>1175</v>
      </c>
      <c r="K341" s="2" t="s">
        <v>159</v>
      </c>
      <c r="L341" s="2" t="s">
        <v>39</v>
      </c>
    </row>
    <row r="342" spans="1:12" ht="14.25" customHeight="1" x14ac:dyDescent="0.5">
      <c r="A342" s="2" t="s">
        <v>1176</v>
      </c>
      <c r="B342" s="2" t="s">
        <v>73</v>
      </c>
      <c r="C342" s="2" t="s">
        <v>125</v>
      </c>
      <c r="D342" s="2" t="s">
        <v>15</v>
      </c>
      <c r="E342" s="3">
        <v>44807</v>
      </c>
      <c r="F342" s="2" t="s">
        <v>1177</v>
      </c>
      <c r="G342" s="2" t="s">
        <v>36</v>
      </c>
      <c r="H342" s="2" t="s">
        <v>18</v>
      </c>
      <c r="J342" s="2" t="s">
        <v>1178</v>
      </c>
      <c r="K342" s="2" t="s">
        <v>47</v>
      </c>
      <c r="L342" s="2" t="s">
        <v>39</v>
      </c>
    </row>
    <row r="343" spans="1:12" ht="14.25" customHeight="1" x14ac:dyDescent="0.5">
      <c r="A343" s="2" t="s">
        <v>1179</v>
      </c>
      <c r="B343" s="2" t="s">
        <v>32</v>
      </c>
      <c r="C343" s="2" t="s">
        <v>105</v>
      </c>
      <c r="D343" s="2" t="s">
        <v>15</v>
      </c>
      <c r="E343" s="3">
        <v>44312</v>
      </c>
      <c r="F343" s="2" t="s">
        <v>1180</v>
      </c>
      <c r="G343" s="2" t="s">
        <v>17</v>
      </c>
      <c r="H343" s="2" t="s">
        <v>18</v>
      </c>
      <c r="I343" s="2" t="s">
        <v>28</v>
      </c>
      <c r="J343" s="2" t="s">
        <v>1181</v>
      </c>
      <c r="K343" s="2" t="s">
        <v>47</v>
      </c>
      <c r="L343" s="2" t="s">
        <v>39</v>
      </c>
    </row>
    <row r="344" spans="1:12" ht="14.25" customHeight="1" x14ac:dyDescent="0.5">
      <c r="A344" s="2" t="s">
        <v>1182</v>
      </c>
      <c r="B344" s="2" t="s">
        <v>852</v>
      </c>
      <c r="C344" s="2" t="s">
        <v>74</v>
      </c>
      <c r="D344" s="2" t="s">
        <v>15</v>
      </c>
      <c r="E344" s="3">
        <v>44558</v>
      </c>
      <c r="F344" s="2" t="s">
        <v>1183</v>
      </c>
      <c r="G344" s="2" t="s">
        <v>83</v>
      </c>
      <c r="H344" s="2" t="s">
        <v>18</v>
      </c>
      <c r="I344" s="2" t="s">
        <v>107</v>
      </c>
      <c r="J344" s="2" t="s">
        <v>1184</v>
      </c>
      <c r="K344" s="2" t="s">
        <v>21</v>
      </c>
      <c r="L344" s="2" t="s">
        <v>39</v>
      </c>
    </row>
    <row r="345" spans="1:12" ht="14.25" customHeight="1" x14ac:dyDescent="0.5">
      <c r="A345" s="2" t="s">
        <v>1185</v>
      </c>
      <c r="B345" s="2" t="s">
        <v>555</v>
      </c>
      <c r="C345" s="2" t="s">
        <v>235</v>
      </c>
      <c r="D345" s="2" t="s">
        <v>100</v>
      </c>
      <c r="E345" s="3">
        <v>44310</v>
      </c>
      <c r="F345" s="2" t="s">
        <v>1186</v>
      </c>
      <c r="G345" s="2" t="s">
        <v>17</v>
      </c>
      <c r="H345" s="2" t="s">
        <v>58</v>
      </c>
      <c r="I345" s="2" t="s">
        <v>65</v>
      </c>
      <c r="J345" s="2" t="s">
        <v>1187</v>
      </c>
      <c r="K345" s="2" t="s">
        <v>79</v>
      </c>
      <c r="L345" s="2" t="s">
        <v>30</v>
      </c>
    </row>
    <row r="346" spans="1:12" ht="14.25" customHeight="1" x14ac:dyDescent="0.5">
      <c r="A346" s="2" t="s">
        <v>1188</v>
      </c>
      <c r="B346" s="2" t="s">
        <v>398</v>
      </c>
      <c r="C346" s="2" t="s">
        <v>125</v>
      </c>
      <c r="D346" s="2" t="s">
        <v>34</v>
      </c>
      <c r="E346" s="3">
        <v>44919</v>
      </c>
      <c r="F346" s="2" t="s">
        <v>1189</v>
      </c>
      <c r="G346" s="2" t="s">
        <v>17</v>
      </c>
      <c r="H346" s="2" t="s">
        <v>45</v>
      </c>
      <c r="I346" s="2" t="s">
        <v>65</v>
      </c>
      <c r="J346" s="2" t="s">
        <v>1190</v>
      </c>
      <c r="K346" s="2" t="s">
        <v>21</v>
      </c>
      <c r="L346" s="2" t="s">
        <v>39</v>
      </c>
    </row>
    <row r="347" spans="1:12" ht="14.25" customHeight="1" x14ac:dyDescent="0.5">
      <c r="A347" s="2" t="s">
        <v>1191</v>
      </c>
      <c r="B347" s="2" t="s">
        <v>1029</v>
      </c>
      <c r="C347" s="2" t="s">
        <v>235</v>
      </c>
      <c r="D347" s="2" t="s">
        <v>69</v>
      </c>
      <c r="E347" s="3">
        <v>44862</v>
      </c>
      <c r="F347" s="2" t="s">
        <v>1192</v>
      </c>
      <c r="G347" s="2" t="s">
        <v>36</v>
      </c>
      <c r="H347" s="2" t="s">
        <v>58</v>
      </c>
      <c r="I347" s="2" t="s">
        <v>28</v>
      </c>
      <c r="J347" s="2" t="s">
        <v>1193</v>
      </c>
      <c r="K347" s="2" t="s">
        <v>60</v>
      </c>
      <c r="L347" s="2" t="s">
        <v>30</v>
      </c>
    </row>
    <row r="348" spans="1:12" ht="14.25" customHeight="1" x14ac:dyDescent="0.5">
      <c r="A348" s="2" t="s">
        <v>1194</v>
      </c>
      <c r="B348" s="2" t="s">
        <v>870</v>
      </c>
      <c r="C348" s="2" t="s">
        <v>105</v>
      </c>
      <c r="D348" s="2" t="s">
        <v>15</v>
      </c>
      <c r="E348" s="3">
        <v>45155</v>
      </c>
      <c r="F348" s="2" t="s">
        <v>1195</v>
      </c>
      <c r="G348" s="2" t="s">
        <v>57</v>
      </c>
      <c r="H348" s="2" t="s">
        <v>18</v>
      </c>
      <c r="I348" s="2" t="s">
        <v>77</v>
      </c>
      <c r="J348" s="2" t="s">
        <v>1196</v>
      </c>
      <c r="K348" s="2" t="s">
        <v>79</v>
      </c>
      <c r="L348" s="2" t="s">
        <v>85</v>
      </c>
    </row>
    <row r="349" spans="1:12" ht="14.25" customHeight="1" x14ac:dyDescent="0.5">
      <c r="A349" s="2" t="s">
        <v>1197</v>
      </c>
      <c r="B349" s="2" t="s">
        <v>889</v>
      </c>
      <c r="C349" s="2" t="s">
        <v>125</v>
      </c>
      <c r="D349" s="2" t="s">
        <v>42</v>
      </c>
      <c r="E349" s="3">
        <v>44173</v>
      </c>
      <c r="F349" s="2" t="s">
        <v>1198</v>
      </c>
      <c r="G349" s="2" t="s">
        <v>83</v>
      </c>
      <c r="H349" s="2" t="s">
        <v>58</v>
      </c>
      <c r="I349" s="2" t="s">
        <v>19</v>
      </c>
      <c r="J349" s="2" t="s">
        <v>1199</v>
      </c>
      <c r="K349" s="2" t="s">
        <v>38</v>
      </c>
      <c r="L349" s="2" t="s">
        <v>22</v>
      </c>
    </row>
    <row r="350" spans="1:12" ht="14.25" customHeight="1" x14ac:dyDescent="0.5">
      <c r="A350" s="2" t="s">
        <v>1200</v>
      </c>
      <c r="B350" s="2" t="s">
        <v>482</v>
      </c>
      <c r="C350" s="2" t="s">
        <v>33</v>
      </c>
      <c r="D350" s="2" t="s">
        <v>34</v>
      </c>
      <c r="E350" s="3">
        <v>45285</v>
      </c>
      <c r="F350" s="2" t="s">
        <v>1201</v>
      </c>
      <c r="G350" s="2" t="s">
        <v>36</v>
      </c>
      <c r="H350" s="2" t="s">
        <v>18</v>
      </c>
      <c r="I350" s="2" t="s">
        <v>107</v>
      </c>
      <c r="J350" s="2" t="s">
        <v>1202</v>
      </c>
      <c r="K350" s="2" t="s">
        <v>53</v>
      </c>
      <c r="L350" s="2" t="s">
        <v>39</v>
      </c>
    </row>
    <row r="351" spans="1:12" ht="14.25" customHeight="1" x14ac:dyDescent="0.5">
      <c r="A351" s="2" t="s">
        <v>1203</v>
      </c>
      <c r="B351" s="2" t="s">
        <v>836</v>
      </c>
      <c r="C351" s="2" t="s">
        <v>14</v>
      </c>
      <c r="D351" s="2" t="s">
        <v>50</v>
      </c>
      <c r="E351" s="3">
        <v>45278</v>
      </c>
      <c r="F351" s="2" t="s">
        <v>1204</v>
      </c>
      <c r="G351" s="2" t="s">
        <v>17</v>
      </c>
      <c r="H351" s="2" t="s">
        <v>112</v>
      </c>
      <c r="J351" s="2" t="s">
        <v>1205</v>
      </c>
      <c r="K351" s="2" t="s">
        <v>38</v>
      </c>
      <c r="L351" s="2" t="s">
        <v>22</v>
      </c>
    </row>
    <row r="352" spans="1:12" ht="14.25" customHeight="1" x14ac:dyDescent="0.5">
      <c r="A352" s="2" t="s">
        <v>1206</v>
      </c>
      <c r="B352" s="2" t="s">
        <v>669</v>
      </c>
      <c r="C352" s="2" t="s">
        <v>49</v>
      </c>
      <c r="D352" s="2" t="s">
        <v>100</v>
      </c>
      <c r="E352" s="3">
        <v>44162</v>
      </c>
      <c r="F352" s="2" t="s">
        <v>1207</v>
      </c>
      <c r="G352" s="2" t="s">
        <v>17</v>
      </c>
      <c r="H352" s="2" t="s">
        <v>64</v>
      </c>
      <c r="I352" s="2" t="s">
        <v>28</v>
      </c>
      <c r="J352" s="2" t="s">
        <v>1208</v>
      </c>
      <c r="K352" s="2" t="s">
        <v>47</v>
      </c>
      <c r="L352" s="2" t="s">
        <v>30</v>
      </c>
    </row>
    <row r="353" spans="1:12" ht="14.25" customHeight="1" x14ac:dyDescent="0.5">
      <c r="A353" s="2" t="s">
        <v>1209</v>
      </c>
      <c r="B353" s="2" t="s">
        <v>169</v>
      </c>
      <c r="C353" s="2" t="s">
        <v>93</v>
      </c>
      <c r="D353" s="2" t="s">
        <v>75</v>
      </c>
      <c r="E353" s="3">
        <v>44268</v>
      </c>
      <c r="F353" s="2" t="s">
        <v>1210</v>
      </c>
      <c r="G353" s="2" t="s">
        <v>57</v>
      </c>
      <c r="H353" s="2" t="s">
        <v>45</v>
      </c>
      <c r="I353" s="2" t="s">
        <v>107</v>
      </c>
      <c r="J353" s="2" t="s">
        <v>1211</v>
      </c>
      <c r="K353" s="2" t="s">
        <v>60</v>
      </c>
      <c r="L353" s="2" t="s">
        <v>85</v>
      </c>
    </row>
    <row r="354" spans="1:12" ht="14.25" customHeight="1" x14ac:dyDescent="0.5">
      <c r="A354" s="2" t="s">
        <v>1212</v>
      </c>
      <c r="B354" s="2" t="s">
        <v>524</v>
      </c>
      <c r="C354" s="2" t="s">
        <v>25</v>
      </c>
      <c r="D354" s="2" t="s">
        <v>100</v>
      </c>
      <c r="E354" s="3">
        <v>44004</v>
      </c>
      <c r="F354" s="2" t="s">
        <v>1213</v>
      </c>
      <c r="G354" s="2" t="s">
        <v>83</v>
      </c>
      <c r="H354" s="2" t="s">
        <v>112</v>
      </c>
      <c r="I354" s="2" t="s">
        <v>107</v>
      </c>
      <c r="J354" s="2" t="s">
        <v>1214</v>
      </c>
      <c r="K354" s="2" t="s">
        <v>159</v>
      </c>
      <c r="L354" s="2" t="s">
        <v>85</v>
      </c>
    </row>
    <row r="355" spans="1:12" ht="14.25" customHeight="1" x14ac:dyDescent="0.5">
      <c r="A355" s="2" t="s">
        <v>1215</v>
      </c>
      <c r="B355" s="2" t="s">
        <v>836</v>
      </c>
      <c r="C355" s="2" t="s">
        <v>93</v>
      </c>
      <c r="D355" s="2" t="s">
        <v>75</v>
      </c>
      <c r="E355" s="3">
        <v>44389</v>
      </c>
      <c r="F355" s="2" t="s">
        <v>1216</v>
      </c>
      <c r="G355" s="2" t="s">
        <v>83</v>
      </c>
      <c r="H355" s="2" t="s">
        <v>27</v>
      </c>
      <c r="I355" s="2" t="s">
        <v>77</v>
      </c>
      <c r="J355" s="2" t="s">
        <v>1217</v>
      </c>
      <c r="K355" s="2" t="s">
        <v>60</v>
      </c>
      <c r="L355" s="2" t="s">
        <v>85</v>
      </c>
    </row>
    <row r="356" spans="1:12" ht="14.25" customHeight="1" x14ac:dyDescent="0.5">
      <c r="A356" s="2" t="s">
        <v>1218</v>
      </c>
      <c r="B356" s="2" t="s">
        <v>133</v>
      </c>
      <c r="C356" s="2" t="s">
        <v>74</v>
      </c>
      <c r="D356" s="2" t="s">
        <v>100</v>
      </c>
      <c r="E356" s="3">
        <v>44357</v>
      </c>
      <c r="F356" s="2" t="s">
        <v>1219</v>
      </c>
      <c r="G356" s="2" t="s">
        <v>44</v>
      </c>
      <c r="H356" s="2" t="s">
        <v>58</v>
      </c>
      <c r="J356" s="2" t="s">
        <v>1220</v>
      </c>
      <c r="K356" s="2" t="s">
        <v>38</v>
      </c>
      <c r="L356" s="2" t="s">
        <v>22</v>
      </c>
    </row>
    <row r="357" spans="1:12" ht="14.25" customHeight="1" x14ac:dyDescent="0.5">
      <c r="A357" s="2" t="s">
        <v>1221</v>
      </c>
      <c r="B357" s="2" t="s">
        <v>429</v>
      </c>
      <c r="C357" s="2" t="s">
        <v>93</v>
      </c>
      <c r="D357" s="2" t="s">
        <v>75</v>
      </c>
      <c r="E357" s="3">
        <v>44489</v>
      </c>
      <c r="F357" s="2" t="s">
        <v>1222</v>
      </c>
      <c r="G357" s="2" t="s">
        <v>83</v>
      </c>
      <c r="H357" s="2" t="s">
        <v>27</v>
      </c>
      <c r="I357" s="2" t="s">
        <v>107</v>
      </c>
      <c r="J357" s="2" t="s">
        <v>1223</v>
      </c>
      <c r="K357" s="2" t="s">
        <v>159</v>
      </c>
      <c r="L357" s="2" t="s">
        <v>30</v>
      </c>
    </row>
    <row r="358" spans="1:12" ht="14.25" customHeight="1" x14ac:dyDescent="0.5">
      <c r="A358" s="2" t="s">
        <v>1224</v>
      </c>
      <c r="B358" s="2" t="s">
        <v>502</v>
      </c>
      <c r="C358" s="2" t="s">
        <v>125</v>
      </c>
      <c r="D358" s="2" t="s">
        <v>15</v>
      </c>
      <c r="E358" s="3">
        <v>43856</v>
      </c>
      <c r="F358" s="2" t="s">
        <v>1225</v>
      </c>
      <c r="G358" s="2" t="s">
        <v>57</v>
      </c>
      <c r="H358" s="2" t="s">
        <v>89</v>
      </c>
      <c r="I358" s="2" t="s">
        <v>77</v>
      </c>
      <c r="J358" s="2" t="s">
        <v>1226</v>
      </c>
      <c r="K358" s="2" t="s">
        <v>60</v>
      </c>
      <c r="L358" s="2" t="s">
        <v>39</v>
      </c>
    </row>
    <row r="359" spans="1:12" ht="14.25" customHeight="1" x14ac:dyDescent="0.5">
      <c r="A359" s="2" t="s">
        <v>1227</v>
      </c>
      <c r="B359" s="2" t="s">
        <v>32</v>
      </c>
      <c r="C359" s="2" t="s">
        <v>33</v>
      </c>
      <c r="D359" s="2" t="s">
        <v>69</v>
      </c>
      <c r="E359" s="3">
        <v>44650</v>
      </c>
      <c r="F359" s="2" t="s">
        <v>1228</v>
      </c>
      <c r="G359" s="2" t="s">
        <v>44</v>
      </c>
      <c r="H359" s="2" t="s">
        <v>58</v>
      </c>
      <c r="I359" s="2" t="s">
        <v>19</v>
      </c>
      <c r="J359" s="2" t="s">
        <v>1229</v>
      </c>
      <c r="K359" s="2" t="s">
        <v>53</v>
      </c>
      <c r="L359" s="2" t="s">
        <v>39</v>
      </c>
    </row>
    <row r="360" spans="1:12" ht="14.25" customHeight="1" x14ac:dyDescent="0.5">
      <c r="A360" s="2" t="s">
        <v>1230</v>
      </c>
      <c r="B360" s="2" t="s">
        <v>156</v>
      </c>
      <c r="C360" s="2" t="s">
        <v>49</v>
      </c>
      <c r="D360" s="2" t="s">
        <v>75</v>
      </c>
      <c r="E360" s="3">
        <v>44435</v>
      </c>
      <c r="F360" s="2" t="s">
        <v>1231</v>
      </c>
      <c r="G360" s="2" t="s">
        <v>44</v>
      </c>
      <c r="H360" s="2" t="s">
        <v>121</v>
      </c>
      <c r="I360" s="2" t="s">
        <v>77</v>
      </c>
      <c r="J360" s="2" t="s">
        <v>1232</v>
      </c>
      <c r="K360" s="2" t="s">
        <v>53</v>
      </c>
      <c r="L360" s="2" t="s">
        <v>30</v>
      </c>
    </row>
    <row r="361" spans="1:12" ht="14.25" customHeight="1" x14ac:dyDescent="0.5">
      <c r="A361" s="2" t="s">
        <v>1233</v>
      </c>
      <c r="B361" s="2" t="s">
        <v>418</v>
      </c>
      <c r="C361" s="2" t="s">
        <v>14</v>
      </c>
      <c r="D361" s="2" t="s">
        <v>75</v>
      </c>
      <c r="E361" s="3">
        <v>44236</v>
      </c>
      <c r="F361" s="2" t="s">
        <v>1234</v>
      </c>
      <c r="G361" s="2" t="s">
        <v>17</v>
      </c>
      <c r="H361" s="2" t="s">
        <v>121</v>
      </c>
      <c r="I361" s="2" t="s">
        <v>19</v>
      </c>
      <c r="J361" s="2" t="s">
        <v>1235</v>
      </c>
      <c r="K361" s="2" t="s">
        <v>60</v>
      </c>
      <c r="L361" s="2" t="s">
        <v>22</v>
      </c>
    </row>
    <row r="362" spans="1:12" ht="14.25" customHeight="1" x14ac:dyDescent="0.5">
      <c r="A362" s="2" t="s">
        <v>1236</v>
      </c>
      <c r="B362" s="2" t="s">
        <v>353</v>
      </c>
      <c r="C362" s="2" t="s">
        <v>14</v>
      </c>
      <c r="D362" s="2" t="s">
        <v>42</v>
      </c>
      <c r="E362" s="3">
        <v>44062</v>
      </c>
      <c r="F362" s="2" t="s">
        <v>1237</v>
      </c>
      <c r="G362" s="2" t="s">
        <v>17</v>
      </c>
      <c r="H362" s="2" t="s">
        <v>64</v>
      </c>
      <c r="I362" s="2" t="s">
        <v>19</v>
      </c>
      <c r="J362" s="2" t="s">
        <v>1238</v>
      </c>
      <c r="K362" s="2" t="s">
        <v>159</v>
      </c>
      <c r="L362" s="2" t="s">
        <v>39</v>
      </c>
    </row>
    <row r="363" spans="1:12" ht="14.25" customHeight="1" x14ac:dyDescent="0.5">
      <c r="A363" s="2" t="s">
        <v>1239</v>
      </c>
      <c r="B363" s="2" t="s">
        <v>736</v>
      </c>
      <c r="C363" s="2" t="s">
        <v>105</v>
      </c>
      <c r="D363" s="2" t="s">
        <v>75</v>
      </c>
      <c r="E363" s="3">
        <v>44363</v>
      </c>
      <c r="F363" s="2" t="s">
        <v>1240</v>
      </c>
      <c r="G363" s="2" t="s">
        <v>83</v>
      </c>
      <c r="H363" s="2" t="s">
        <v>112</v>
      </c>
      <c r="I363" s="2" t="s">
        <v>107</v>
      </c>
      <c r="J363" s="2" t="s">
        <v>1241</v>
      </c>
      <c r="K363" s="2" t="s">
        <v>38</v>
      </c>
      <c r="L363" s="2" t="s">
        <v>30</v>
      </c>
    </row>
    <row r="364" spans="1:12" ht="14.25" customHeight="1" x14ac:dyDescent="0.5">
      <c r="A364" s="2" t="s">
        <v>1242</v>
      </c>
      <c r="B364" s="2" t="s">
        <v>293</v>
      </c>
      <c r="C364" s="2" t="s">
        <v>25</v>
      </c>
      <c r="D364" s="2" t="s">
        <v>42</v>
      </c>
      <c r="E364" s="3">
        <v>44335</v>
      </c>
      <c r="F364" s="2" t="s">
        <v>1243</v>
      </c>
      <c r="G364" s="2" t="s">
        <v>44</v>
      </c>
      <c r="H364" s="2" t="s">
        <v>64</v>
      </c>
      <c r="I364" s="2" t="s">
        <v>77</v>
      </c>
      <c r="J364" s="2" t="s">
        <v>1244</v>
      </c>
      <c r="K364" s="2" t="s">
        <v>60</v>
      </c>
      <c r="L364" s="2" t="s">
        <v>39</v>
      </c>
    </row>
    <row r="365" spans="1:12" ht="14.25" customHeight="1" x14ac:dyDescent="0.5">
      <c r="A365" s="2" t="s">
        <v>1245</v>
      </c>
      <c r="B365" s="2" t="s">
        <v>24</v>
      </c>
      <c r="C365" s="2" t="s">
        <v>235</v>
      </c>
      <c r="D365" s="2" t="s">
        <v>50</v>
      </c>
      <c r="E365" s="3">
        <v>44009</v>
      </c>
      <c r="F365" s="2" t="s">
        <v>1246</v>
      </c>
      <c r="G365" s="2" t="s">
        <v>17</v>
      </c>
      <c r="H365" s="2" t="s">
        <v>89</v>
      </c>
      <c r="I365" s="2" t="s">
        <v>19</v>
      </c>
      <c r="J365" s="2" t="s">
        <v>1247</v>
      </c>
      <c r="K365" s="2" t="s">
        <v>159</v>
      </c>
      <c r="L365" s="2" t="s">
        <v>85</v>
      </c>
    </row>
    <row r="366" spans="1:12" ht="14.25" customHeight="1" x14ac:dyDescent="0.5">
      <c r="A366" s="2" t="s">
        <v>1248</v>
      </c>
      <c r="B366" s="2" t="s">
        <v>169</v>
      </c>
      <c r="C366" s="2" t="s">
        <v>33</v>
      </c>
      <c r="D366" s="2" t="s">
        <v>15</v>
      </c>
      <c r="E366" s="3">
        <v>43962</v>
      </c>
      <c r="F366" s="2" t="s">
        <v>1249</v>
      </c>
      <c r="G366" s="2" t="s">
        <v>57</v>
      </c>
      <c r="H366" s="2" t="s">
        <v>18</v>
      </c>
      <c r="J366" s="2" t="s">
        <v>1250</v>
      </c>
      <c r="K366" s="2" t="s">
        <v>96</v>
      </c>
      <c r="L366" s="2" t="s">
        <v>39</v>
      </c>
    </row>
    <row r="367" spans="1:12" ht="14.25" customHeight="1" x14ac:dyDescent="0.5">
      <c r="A367" s="2" t="s">
        <v>1251</v>
      </c>
      <c r="B367" s="2" t="s">
        <v>1252</v>
      </c>
      <c r="C367" s="2" t="s">
        <v>235</v>
      </c>
      <c r="D367" s="2" t="s">
        <v>42</v>
      </c>
      <c r="E367" s="3">
        <v>45309</v>
      </c>
      <c r="F367" s="2" t="s">
        <v>1253</v>
      </c>
      <c r="G367" s="2" t="s">
        <v>17</v>
      </c>
      <c r="H367" s="2" t="s">
        <v>64</v>
      </c>
      <c r="I367" s="2" t="s">
        <v>107</v>
      </c>
      <c r="J367" s="2" t="s">
        <v>1254</v>
      </c>
      <c r="K367" s="2" t="s">
        <v>53</v>
      </c>
      <c r="L367" s="2" t="s">
        <v>22</v>
      </c>
    </row>
    <row r="368" spans="1:12" ht="14.25" customHeight="1" x14ac:dyDescent="0.5">
      <c r="A368" s="2" t="s">
        <v>1255</v>
      </c>
      <c r="B368" s="2" t="s">
        <v>584</v>
      </c>
      <c r="C368" s="2" t="s">
        <v>49</v>
      </c>
      <c r="D368" s="2" t="s">
        <v>69</v>
      </c>
      <c r="E368" s="3">
        <v>44178</v>
      </c>
      <c r="F368" s="2" t="s">
        <v>1256</v>
      </c>
      <c r="G368" s="2" t="s">
        <v>17</v>
      </c>
      <c r="H368" s="2" t="s">
        <v>64</v>
      </c>
      <c r="I368" s="2" t="s">
        <v>77</v>
      </c>
      <c r="J368" s="2" t="s">
        <v>1257</v>
      </c>
      <c r="K368" s="2" t="s">
        <v>96</v>
      </c>
      <c r="L368" s="2" t="s">
        <v>30</v>
      </c>
    </row>
    <row r="369" spans="1:12" ht="14.25" customHeight="1" x14ac:dyDescent="0.5">
      <c r="A369" s="2" t="s">
        <v>1258</v>
      </c>
      <c r="B369" s="2" t="s">
        <v>253</v>
      </c>
      <c r="C369" s="2" t="s">
        <v>93</v>
      </c>
      <c r="D369" s="2" t="s">
        <v>34</v>
      </c>
      <c r="E369" s="3">
        <v>44370</v>
      </c>
      <c r="F369" s="2" t="s">
        <v>1259</v>
      </c>
      <c r="G369" s="2" t="s">
        <v>44</v>
      </c>
      <c r="H369" s="2" t="s">
        <v>121</v>
      </c>
      <c r="I369" s="2" t="s">
        <v>77</v>
      </c>
      <c r="J369" s="2" t="s">
        <v>1260</v>
      </c>
      <c r="K369" s="2" t="s">
        <v>38</v>
      </c>
      <c r="L369" s="2" t="s">
        <v>22</v>
      </c>
    </row>
    <row r="370" spans="1:12" ht="14.25" customHeight="1" x14ac:dyDescent="0.5">
      <c r="A370" s="2" t="s">
        <v>1261</v>
      </c>
      <c r="B370" s="2" t="s">
        <v>343</v>
      </c>
      <c r="C370" s="2" t="s">
        <v>14</v>
      </c>
      <c r="D370" s="2" t="s">
        <v>15</v>
      </c>
      <c r="E370" s="3">
        <v>44602</v>
      </c>
      <c r="F370" s="2" t="s">
        <v>1262</v>
      </c>
      <c r="G370" s="2" t="s">
        <v>44</v>
      </c>
      <c r="H370" s="2" t="s">
        <v>18</v>
      </c>
      <c r="I370" s="2" t="s">
        <v>65</v>
      </c>
      <c r="J370" s="2" t="s">
        <v>1263</v>
      </c>
      <c r="K370" s="2" t="s">
        <v>159</v>
      </c>
      <c r="L370" s="2" t="s">
        <v>30</v>
      </c>
    </row>
    <row r="371" spans="1:12" ht="14.25" customHeight="1" x14ac:dyDescent="0.5">
      <c r="A371" s="2" t="s">
        <v>1264</v>
      </c>
      <c r="B371" s="2" t="s">
        <v>55</v>
      </c>
      <c r="C371" s="2" t="s">
        <v>49</v>
      </c>
      <c r="D371" s="2" t="s">
        <v>42</v>
      </c>
      <c r="E371" s="3">
        <v>45260</v>
      </c>
      <c r="F371" s="2" t="s">
        <v>1265</v>
      </c>
      <c r="G371" s="2" t="s">
        <v>36</v>
      </c>
      <c r="H371" s="2" t="s">
        <v>121</v>
      </c>
      <c r="I371" s="2" t="s">
        <v>77</v>
      </c>
      <c r="J371" s="2" t="s">
        <v>1266</v>
      </c>
      <c r="K371" s="2" t="s">
        <v>96</v>
      </c>
      <c r="L371" s="2" t="s">
        <v>85</v>
      </c>
    </row>
    <row r="372" spans="1:12" ht="14.25" customHeight="1" x14ac:dyDescent="0.5">
      <c r="A372" s="2" t="s">
        <v>1267</v>
      </c>
      <c r="B372" s="2" t="s">
        <v>55</v>
      </c>
      <c r="C372" s="2" t="s">
        <v>93</v>
      </c>
      <c r="D372" s="2" t="s">
        <v>15</v>
      </c>
      <c r="E372" s="3">
        <v>43906</v>
      </c>
      <c r="F372" s="2" t="s">
        <v>1268</v>
      </c>
      <c r="G372" s="2" t="s">
        <v>57</v>
      </c>
      <c r="H372" s="2" t="s">
        <v>58</v>
      </c>
      <c r="I372" s="2" t="s">
        <v>107</v>
      </c>
      <c r="J372" s="2" t="s">
        <v>1269</v>
      </c>
      <c r="K372" s="2" t="s">
        <v>159</v>
      </c>
      <c r="L372" s="2" t="s">
        <v>30</v>
      </c>
    </row>
    <row r="373" spans="1:12" ht="14.25" customHeight="1" x14ac:dyDescent="0.5">
      <c r="A373" s="2" t="s">
        <v>1270</v>
      </c>
      <c r="B373" s="2" t="s">
        <v>115</v>
      </c>
      <c r="C373" s="2" t="s">
        <v>14</v>
      </c>
      <c r="D373" s="2" t="s">
        <v>15</v>
      </c>
      <c r="E373" s="3">
        <v>44409</v>
      </c>
      <c r="F373" s="2" t="s">
        <v>1271</v>
      </c>
      <c r="G373" s="2" t="s">
        <v>44</v>
      </c>
      <c r="H373" s="2" t="s">
        <v>18</v>
      </c>
      <c r="J373" s="2" t="s">
        <v>1272</v>
      </c>
      <c r="K373" s="2" t="s">
        <v>60</v>
      </c>
      <c r="L373" s="2" t="s">
        <v>39</v>
      </c>
    </row>
    <row r="374" spans="1:12" ht="14.25" customHeight="1" x14ac:dyDescent="0.5">
      <c r="A374" s="2" t="s">
        <v>1273</v>
      </c>
      <c r="B374" s="2" t="s">
        <v>398</v>
      </c>
      <c r="C374" s="2" t="s">
        <v>93</v>
      </c>
      <c r="D374" s="2" t="s">
        <v>15</v>
      </c>
      <c r="E374" s="3">
        <v>44684</v>
      </c>
      <c r="F374" s="2" t="s">
        <v>1274</v>
      </c>
      <c r="G374" s="2" t="s">
        <v>83</v>
      </c>
      <c r="H374" s="2" t="s">
        <v>112</v>
      </c>
      <c r="I374" s="2" t="s">
        <v>77</v>
      </c>
      <c r="J374" s="2" t="s">
        <v>1275</v>
      </c>
      <c r="K374" s="2" t="s">
        <v>38</v>
      </c>
      <c r="L374" s="2" t="s">
        <v>39</v>
      </c>
    </row>
    <row r="375" spans="1:12" ht="14.25" customHeight="1" x14ac:dyDescent="0.5">
      <c r="A375" s="2" t="s">
        <v>1276</v>
      </c>
      <c r="B375" s="2" t="s">
        <v>104</v>
      </c>
      <c r="C375" s="2" t="s">
        <v>25</v>
      </c>
      <c r="D375" s="2" t="s">
        <v>50</v>
      </c>
      <c r="E375" s="3">
        <v>44024</v>
      </c>
      <c r="F375" s="2" t="s">
        <v>1277</v>
      </c>
      <c r="G375" s="2" t="s">
        <v>57</v>
      </c>
      <c r="H375" s="2" t="s">
        <v>64</v>
      </c>
      <c r="I375" s="2" t="s">
        <v>65</v>
      </c>
      <c r="J375" s="2" t="s">
        <v>1278</v>
      </c>
      <c r="K375" s="2" t="s">
        <v>96</v>
      </c>
      <c r="L375" s="2" t="s">
        <v>85</v>
      </c>
    </row>
    <row r="376" spans="1:12" ht="14.25" customHeight="1" x14ac:dyDescent="0.5">
      <c r="A376" s="2" t="s">
        <v>1279</v>
      </c>
      <c r="B376" s="2" t="s">
        <v>762</v>
      </c>
      <c r="C376" s="2" t="s">
        <v>33</v>
      </c>
      <c r="D376" s="2" t="s">
        <v>69</v>
      </c>
      <c r="E376" s="3">
        <v>45016</v>
      </c>
      <c r="F376" s="2" t="s">
        <v>1280</v>
      </c>
      <c r="G376" s="2" t="s">
        <v>57</v>
      </c>
      <c r="H376" s="2" t="s">
        <v>121</v>
      </c>
      <c r="I376" s="2" t="s">
        <v>107</v>
      </c>
      <c r="J376" s="2" t="s">
        <v>1281</v>
      </c>
      <c r="K376" s="2" t="s">
        <v>21</v>
      </c>
      <c r="L376" s="2" t="s">
        <v>30</v>
      </c>
    </row>
    <row r="377" spans="1:12" ht="14.25" customHeight="1" x14ac:dyDescent="0.5">
      <c r="A377" s="2" t="s">
        <v>1282</v>
      </c>
      <c r="B377" s="2" t="s">
        <v>1252</v>
      </c>
      <c r="C377" s="2" t="s">
        <v>74</v>
      </c>
      <c r="D377" s="2" t="s">
        <v>100</v>
      </c>
      <c r="E377" s="3">
        <v>44177</v>
      </c>
      <c r="F377" s="2" t="s">
        <v>1283</v>
      </c>
      <c r="G377" s="2" t="s">
        <v>44</v>
      </c>
      <c r="H377" s="2" t="s">
        <v>18</v>
      </c>
      <c r="I377" s="2" t="s">
        <v>19</v>
      </c>
      <c r="J377" s="2" t="s">
        <v>1284</v>
      </c>
      <c r="K377" s="2" t="s">
        <v>60</v>
      </c>
      <c r="L377" s="2" t="s">
        <v>85</v>
      </c>
    </row>
    <row r="378" spans="1:12" ht="14.25" customHeight="1" x14ac:dyDescent="0.5">
      <c r="A378" s="2" t="s">
        <v>1285</v>
      </c>
      <c r="B378" s="2" t="s">
        <v>92</v>
      </c>
      <c r="C378" s="2" t="s">
        <v>49</v>
      </c>
      <c r="D378" s="2" t="s">
        <v>100</v>
      </c>
      <c r="E378" s="3">
        <v>44781</v>
      </c>
      <c r="F378" s="2" t="s">
        <v>1286</v>
      </c>
      <c r="G378" s="2" t="s">
        <v>57</v>
      </c>
      <c r="H378" s="2" t="s">
        <v>89</v>
      </c>
      <c r="I378" s="2" t="s">
        <v>28</v>
      </c>
      <c r="J378" s="2" t="s">
        <v>1287</v>
      </c>
      <c r="K378" s="2" t="s">
        <v>53</v>
      </c>
      <c r="L378" s="2" t="s">
        <v>39</v>
      </c>
    </row>
    <row r="379" spans="1:12" ht="14.25" customHeight="1" x14ac:dyDescent="0.5">
      <c r="A379" s="2" t="s">
        <v>1288</v>
      </c>
      <c r="B379" s="2" t="s">
        <v>580</v>
      </c>
      <c r="C379" s="2" t="s">
        <v>49</v>
      </c>
      <c r="D379" s="2" t="s">
        <v>42</v>
      </c>
      <c r="E379" s="3">
        <v>45215</v>
      </c>
      <c r="F379" s="2" t="s">
        <v>1289</v>
      </c>
      <c r="G379" s="2" t="s">
        <v>44</v>
      </c>
      <c r="H379" s="2" t="s">
        <v>89</v>
      </c>
      <c r="I379" s="2" t="s">
        <v>28</v>
      </c>
      <c r="J379" s="2" t="s">
        <v>1290</v>
      </c>
      <c r="K379" s="2" t="s">
        <v>21</v>
      </c>
      <c r="L379" s="2" t="s">
        <v>22</v>
      </c>
    </row>
    <row r="380" spans="1:12" ht="14.25" customHeight="1" x14ac:dyDescent="0.5">
      <c r="A380" s="2" t="s">
        <v>1291</v>
      </c>
      <c r="B380" s="2" t="s">
        <v>275</v>
      </c>
      <c r="C380" s="2" t="s">
        <v>99</v>
      </c>
      <c r="D380" s="2" t="s">
        <v>15</v>
      </c>
      <c r="E380" s="3">
        <v>44941</v>
      </c>
      <c r="F380" s="2" t="s">
        <v>1292</v>
      </c>
      <c r="G380" s="2" t="s">
        <v>17</v>
      </c>
      <c r="H380" s="2" t="s">
        <v>64</v>
      </c>
      <c r="I380" s="2" t="s">
        <v>19</v>
      </c>
      <c r="J380" s="2" t="s">
        <v>1293</v>
      </c>
      <c r="K380" s="2" t="s">
        <v>21</v>
      </c>
      <c r="L380" s="2" t="s">
        <v>85</v>
      </c>
    </row>
    <row r="381" spans="1:12" ht="14.25" customHeight="1" x14ac:dyDescent="0.5">
      <c r="A381" s="2" t="s">
        <v>1294</v>
      </c>
      <c r="B381" s="2" t="s">
        <v>608</v>
      </c>
      <c r="C381" s="2" t="s">
        <v>125</v>
      </c>
      <c r="D381" s="2" t="s">
        <v>42</v>
      </c>
      <c r="E381" s="3">
        <v>45116</v>
      </c>
      <c r="F381" s="2" t="s">
        <v>1295</v>
      </c>
      <c r="G381" s="2" t="s">
        <v>36</v>
      </c>
      <c r="H381" s="2" t="s">
        <v>112</v>
      </c>
      <c r="I381" s="2" t="s">
        <v>77</v>
      </c>
      <c r="J381" s="2" t="s">
        <v>1296</v>
      </c>
      <c r="K381" s="2" t="s">
        <v>79</v>
      </c>
      <c r="L381" s="2" t="s">
        <v>22</v>
      </c>
    </row>
    <row r="382" spans="1:12" ht="14.25" customHeight="1" x14ac:dyDescent="0.5">
      <c r="A382" s="2" t="s">
        <v>1297</v>
      </c>
      <c r="B382" s="2" t="s">
        <v>249</v>
      </c>
      <c r="C382" s="2" t="s">
        <v>25</v>
      </c>
      <c r="D382" s="2" t="s">
        <v>50</v>
      </c>
      <c r="E382" s="3">
        <v>44044</v>
      </c>
      <c r="F382" s="2" t="s">
        <v>1298</v>
      </c>
      <c r="G382" s="2" t="s">
        <v>17</v>
      </c>
      <c r="H382" s="2" t="s">
        <v>27</v>
      </c>
      <c r="I382" s="2" t="s">
        <v>28</v>
      </c>
      <c r="J382" s="2" t="s">
        <v>1299</v>
      </c>
      <c r="K382" s="2" t="s">
        <v>79</v>
      </c>
      <c r="L382" s="2" t="s">
        <v>22</v>
      </c>
    </row>
    <row r="383" spans="1:12" ht="14.25" customHeight="1" x14ac:dyDescent="0.5">
      <c r="A383" s="2" t="s">
        <v>1300</v>
      </c>
      <c r="B383" s="2" t="s">
        <v>141</v>
      </c>
      <c r="C383" s="2" t="s">
        <v>25</v>
      </c>
      <c r="D383" s="2" t="s">
        <v>50</v>
      </c>
      <c r="E383" s="3">
        <v>44403</v>
      </c>
      <c r="F383" s="2" t="s">
        <v>1301</v>
      </c>
      <c r="G383" s="2" t="s">
        <v>44</v>
      </c>
      <c r="H383" s="2" t="s">
        <v>121</v>
      </c>
      <c r="I383" s="2" t="s">
        <v>28</v>
      </c>
      <c r="J383" s="2" t="s">
        <v>1302</v>
      </c>
      <c r="K383" s="2" t="s">
        <v>38</v>
      </c>
      <c r="L383" s="2" t="s">
        <v>30</v>
      </c>
    </row>
    <row r="384" spans="1:12" ht="14.25" customHeight="1" x14ac:dyDescent="0.5">
      <c r="A384" s="2" t="s">
        <v>1303</v>
      </c>
      <c r="B384" s="2" t="s">
        <v>141</v>
      </c>
      <c r="C384" s="2" t="s">
        <v>235</v>
      </c>
      <c r="D384" s="2" t="s">
        <v>75</v>
      </c>
      <c r="E384" s="3">
        <v>44610</v>
      </c>
      <c r="F384" s="2" t="s">
        <v>1304</v>
      </c>
      <c r="G384" s="2" t="s">
        <v>44</v>
      </c>
      <c r="H384" s="2" t="s">
        <v>112</v>
      </c>
      <c r="I384" s="2" t="s">
        <v>19</v>
      </c>
      <c r="J384" s="2" t="s">
        <v>1305</v>
      </c>
      <c r="K384" s="2" t="s">
        <v>96</v>
      </c>
      <c r="L384" s="2" t="s">
        <v>85</v>
      </c>
    </row>
    <row r="385" spans="1:12" ht="14.25" customHeight="1" x14ac:dyDescent="0.5">
      <c r="A385" s="2" t="s">
        <v>1306</v>
      </c>
      <c r="B385" s="2" t="s">
        <v>429</v>
      </c>
      <c r="C385" s="2" t="s">
        <v>93</v>
      </c>
      <c r="D385" s="2" t="s">
        <v>50</v>
      </c>
      <c r="E385" s="3">
        <v>44092</v>
      </c>
      <c r="F385" s="2" t="s">
        <v>1307</v>
      </c>
      <c r="G385" s="2" t="s">
        <v>17</v>
      </c>
      <c r="H385" s="2" t="s">
        <v>45</v>
      </c>
      <c r="I385" s="2" t="s">
        <v>77</v>
      </c>
      <c r="J385" s="2" t="s">
        <v>1308</v>
      </c>
      <c r="K385" s="2" t="s">
        <v>96</v>
      </c>
      <c r="L385" s="2" t="s">
        <v>22</v>
      </c>
    </row>
    <row r="386" spans="1:12" ht="14.25" customHeight="1" x14ac:dyDescent="0.5">
      <c r="A386" s="2" t="s">
        <v>1309</v>
      </c>
      <c r="B386" s="2" t="s">
        <v>217</v>
      </c>
      <c r="C386" s="2" t="s">
        <v>125</v>
      </c>
      <c r="D386" s="2" t="s">
        <v>75</v>
      </c>
      <c r="E386" s="3">
        <v>44560</v>
      </c>
      <c r="F386" s="2" t="s">
        <v>1310</v>
      </c>
      <c r="G386" s="2" t="s">
        <v>83</v>
      </c>
      <c r="H386" s="2" t="s">
        <v>45</v>
      </c>
      <c r="I386" s="2" t="s">
        <v>77</v>
      </c>
      <c r="J386" s="2" t="s">
        <v>1311</v>
      </c>
      <c r="K386" s="2" t="s">
        <v>96</v>
      </c>
      <c r="L386" s="2" t="s">
        <v>22</v>
      </c>
    </row>
    <row r="387" spans="1:12" ht="14.25" customHeight="1" x14ac:dyDescent="0.5">
      <c r="A387" s="2" t="s">
        <v>1312</v>
      </c>
      <c r="B387" s="2" t="s">
        <v>367</v>
      </c>
      <c r="C387" s="2" t="s">
        <v>33</v>
      </c>
      <c r="D387" s="2" t="s">
        <v>69</v>
      </c>
      <c r="E387" s="3">
        <v>44113</v>
      </c>
      <c r="F387" s="2" t="s">
        <v>1313</v>
      </c>
      <c r="G387" s="2" t="s">
        <v>83</v>
      </c>
      <c r="H387" s="2" t="s">
        <v>45</v>
      </c>
      <c r="I387" s="2" t="s">
        <v>19</v>
      </c>
      <c r="J387" s="2" t="s">
        <v>1314</v>
      </c>
      <c r="K387" s="2" t="s">
        <v>159</v>
      </c>
      <c r="L387" s="2" t="s">
        <v>30</v>
      </c>
    </row>
    <row r="388" spans="1:12" ht="14.25" customHeight="1" x14ac:dyDescent="0.5">
      <c r="A388" s="2" t="s">
        <v>1315</v>
      </c>
      <c r="B388" s="2" t="s">
        <v>502</v>
      </c>
      <c r="C388" s="2" t="s">
        <v>33</v>
      </c>
      <c r="D388" s="2" t="s">
        <v>42</v>
      </c>
      <c r="E388" s="3">
        <v>45321</v>
      </c>
      <c r="F388" s="2" t="s">
        <v>1316</v>
      </c>
      <c r="G388" s="2" t="s">
        <v>83</v>
      </c>
      <c r="H388" s="2" t="s">
        <v>64</v>
      </c>
      <c r="I388" s="2" t="s">
        <v>77</v>
      </c>
      <c r="J388" s="2" t="s">
        <v>1317</v>
      </c>
      <c r="K388" s="2" t="s">
        <v>60</v>
      </c>
      <c r="L388" s="2" t="s">
        <v>30</v>
      </c>
    </row>
    <row r="389" spans="1:12" ht="14.25" customHeight="1" x14ac:dyDescent="0.5">
      <c r="A389" s="2" t="s">
        <v>1318</v>
      </c>
      <c r="B389" s="2" t="s">
        <v>268</v>
      </c>
      <c r="C389" s="2" t="s">
        <v>25</v>
      </c>
      <c r="D389" s="2" t="s">
        <v>34</v>
      </c>
      <c r="E389" s="3">
        <v>45234</v>
      </c>
      <c r="F389" s="2" t="s">
        <v>1319</v>
      </c>
      <c r="G389" s="2" t="s">
        <v>44</v>
      </c>
      <c r="H389" s="2" t="s">
        <v>89</v>
      </c>
      <c r="I389" s="2" t="s">
        <v>77</v>
      </c>
      <c r="J389" s="2" t="s">
        <v>1320</v>
      </c>
      <c r="K389" s="2" t="s">
        <v>96</v>
      </c>
      <c r="L389" s="2" t="s">
        <v>39</v>
      </c>
    </row>
    <row r="390" spans="1:12" ht="14.25" customHeight="1" x14ac:dyDescent="0.5">
      <c r="A390" s="2" t="s">
        <v>1321</v>
      </c>
      <c r="B390" s="2" t="s">
        <v>55</v>
      </c>
      <c r="C390" s="2" t="s">
        <v>33</v>
      </c>
      <c r="D390" s="2" t="s">
        <v>69</v>
      </c>
      <c r="E390" s="3">
        <v>44192</v>
      </c>
      <c r="F390" s="2" t="s">
        <v>1322</v>
      </c>
      <c r="G390" s="2" t="s">
        <v>57</v>
      </c>
      <c r="H390" s="2" t="s">
        <v>58</v>
      </c>
      <c r="I390" s="2" t="s">
        <v>107</v>
      </c>
      <c r="J390" s="2" t="s">
        <v>1323</v>
      </c>
      <c r="K390" s="2" t="s">
        <v>60</v>
      </c>
      <c r="L390" s="2" t="s">
        <v>22</v>
      </c>
    </row>
    <row r="391" spans="1:12" ht="14.25" customHeight="1" x14ac:dyDescent="0.5">
      <c r="A391" s="2" t="s">
        <v>1324</v>
      </c>
      <c r="B391" s="2" t="s">
        <v>173</v>
      </c>
      <c r="C391" s="2" t="s">
        <v>99</v>
      </c>
      <c r="D391" s="2" t="s">
        <v>50</v>
      </c>
      <c r="E391" s="3">
        <v>45303</v>
      </c>
      <c r="F391" s="2" t="s">
        <v>1325</v>
      </c>
      <c r="G391" s="2" t="s">
        <v>44</v>
      </c>
      <c r="H391" s="2" t="s">
        <v>121</v>
      </c>
      <c r="I391" s="2" t="s">
        <v>107</v>
      </c>
      <c r="J391" s="2" t="s">
        <v>1326</v>
      </c>
      <c r="K391" s="2" t="s">
        <v>38</v>
      </c>
      <c r="L391" s="2" t="s">
        <v>39</v>
      </c>
    </row>
    <row r="392" spans="1:12" ht="14.25" customHeight="1" x14ac:dyDescent="0.5">
      <c r="A392" s="2" t="s">
        <v>1327</v>
      </c>
      <c r="B392" s="2" t="s">
        <v>152</v>
      </c>
      <c r="C392" s="2" t="s">
        <v>49</v>
      </c>
      <c r="D392" s="2" t="s">
        <v>69</v>
      </c>
      <c r="E392" s="3">
        <v>44271</v>
      </c>
      <c r="F392" s="2" t="s">
        <v>1328</v>
      </c>
      <c r="G392" s="2" t="s">
        <v>57</v>
      </c>
      <c r="H392" s="2" t="s">
        <v>89</v>
      </c>
      <c r="I392" s="2" t="s">
        <v>19</v>
      </c>
      <c r="J392" s="2" t="s">
        <v>1329</v>
      </c>
      <c r="K392" s="2" t="s">
        <v>21</v>
      </c>
      <c r="L392" s="2" t="s">
        <v>22</v>
      </c>
    </row>
    <row r="393" spans="1:12" ht="14.25" customHeight="1" x14ac:dyDescent="0.5">
      <c r="A393" s="2" t="s">
        <v>1330</v>
      </c>
      <c r="B393" s="2" t="s">
        <v>181</v>
      </c>
      <c r="C393" s="2" t="s">
        <v>105</v>
      </c>
      <c r="D393" s="2" t="s">
        <v>69</v>
      </c>
      <c r="E393" s="3">
        <v>43923</v>
      </c>
      <c r="F393" s="2" t="s">
        <v>1331</v>
      </c>
      <c r="G393" s="2" t="s">
        <v>17</v>
      </c>
      <c r="H393" s="2" t="s">
        <v>58</v>
      </c>
      <c r="J393" s="2" t="s">
        <v>1332</v>
      </c>
      <c r="K393" s="2" t="s">
        <v>96</v>
      </c>
      <c r="L393" s="2" t="s">
        <v>39</v>
      </c>
    </row>
    <row r="394" spans="1:12" ht="14.25" customHeight="1" x14ac:dyDescent="0.5">
      <c r="A394" s="2" t="s">
        <v>1333</v>
      </c>
      <c r="B394" s="2" t="s">
        <v>62</v>
      </c>
      <c r="C394" s="2" t="s">
        <v>74</v>
      </c>
      <c r="D394" s="2" t="s">
        <v>69</v>
      </c>
      <c r="E394" s="3">
        <v>44583</v>
      </c>
      <c r="F394" s="2" t="s">
        <v>1334</v>
      </c>
      <c r="G394" s="2" t="s">
        <v>36</v>
      </c>
      <c r="H394" s="2" t="s">
        <v>58</v>
      </c>
      <c r="I394" s="2" t="s">
        <v>28</v>
      </c>
      <c r="J394" s="2" t="s">
        <v>1335</v>
      </c>
      <c r="K394" s="2" t="s">
        <v>38</v>
      </c>
      <c r="L394" s="2" t="s">
        <v>30</v>
      </c>
    </row>
    <row r="395" spans="1:12" ht="14.25" customHeight="1" x14ac:dyDescent="0.5">
      <c r="A395" s="2" t="s">
        <v>1336</v>
      </c>
      <c r="B395" s="2" t="s">
        <v>1007</v>
      </c>
      <c r="C395" s="2" t="s">
        <v>235</v>
      </c>
      <c r="D395" s="2" t="s">
        <v>50</v>
      </c>
      <c r="E395" s="3">
        <v>44697</v>
      </c>
      <c r="F395" s="2" t="s">
        <v>1337</v>
      </c>
      <c r="G395" s="2" t="s">
        <v>57</v>
      </c>
      <c r="H395" s="2" t="s">
        <v>89</v>
      </c>
      <c r="I395" s="2" t="s">
        <v>107</v>
      </c>
      <c r="J395" s="2" t="s">
        <v>1338</v>
      </c>
      <c r="K395" s="2" t="s">
        <v>96</v>
      </c>
      <c r="L395" s="2" t="s">
        <v>85</v>
      </c>
    </row>
    <row r="396" spans="1:12" ht="14.25" customHeight="1" x14ac:dyDescent="0.5">
      <c r="A396" s="2" t="s">
        <v>1339</v>
      </c>
      <c r="B396" s="2" t="s">
        <v>371</v>
      </c>
      <c r="C396" s="2" t="s">
        <v>93</v>
      </c>
      <c r="D396" s="2" t="s">
        <v>34</v>
      </c>
      <c r="E396" s="3">
        <v>45278</v>
      </c>
      <c r="F396" s="2" t="s">
        <v>1340</v>
      </c>
      <c r="G396" s="2" t="s">
        <v>83</v>
      </c>
      <c r="H396" s="2" t="s">
        <v>121</v>
      </c>
      <c r="I396" s="2" t="s">
        <v>28</v>
      </c>
      <c r="J396" s="2" t="s">
        <v>1341</v>
      </c>
      <c r="K396" s="2" t="s">
        <v>79</v>
      </c>
      <c r="L396" s="2" t="s">
        <v>30</v>
      </c>
    </row>
    <row r="397" spans="1:12" ht="14.25" customHeight="1" x14ac:dyDescent="0.5">
      <c r="A397" s="2" t="s">
        <v>1342</v>
      </c>
      <c r="B397" s="2" t="s">
        <v>92</v>
      </c>
      <c r="C397" s="2" t="s">
        <v>74</v>
      </c>
      <c r="D397" s="2" t="s">
        <v>15</v>
      </c>
      <c r="E397" s="3">
        <v>43972</v>
      </c>
      <c r="F397" s="2" t="s">
        <v>1343</v>
      </c>
      <c r="G397" s="2" t="s">
        <v>44</v>
      </c>
      <c r="H397" s="2" t="s">
        <v>64</v>
      </c>
      <c r="I397" s="2" t="s">
        <v>65</v>
      </c>
      <c r="J397" s="2" t="s">
        <v>1344</v>
      </c>
      <c r="K397" s="2" t="s">
        <v>47</v>
      </c>
      <c r="L397" s="2" t="s">
        <v>39</v>
      </c>
    </row>
    <row r="398" spans="1:12" ht="14.25" customHeight="1" x14ac:dyDescent="0.5">
      <c r="A398" s="2" t="s">
        <v>1345</v>
      </c>
      <c r="B398" s="2" t="s">
        <v>492</v>
      </c>
      <c r="C398" s="2" t="s">
        <v>93</v>
      </c>
      <c r="D398" s="2" t="s">
        <v>69</v>
      </c>
      <c r="E398" s="3">
        <v>45145</v>
      </c>
      <c r="F398" s="2" t="s">
        <v>692</v>
      </c>
      <c r="G398" s="2" t="s">
        <v>17</v>
      </c>
      <c r="H398" s="2" t="s">
        <v>112</v>
      </c>
      <c r="I398" s="2" t="s">
        <v>19</v>
      </c>
      <c r="J398" s="2" t="s">
        <v>1346</v>
      </c>
      <c r="K398" s="2" t="s">
        <v>38</v>
      </c>
      <c r="L398" s="2" t="s">
        <v>39</v>
      </c>
    </row>
    <row r="399" spans="1:12" ht="14.25" customHeight="1" x14ac:dyDescent="0.5">
      <c r="A399" s="2" t="s">
        <v>1347</v>
      </c>
      <c r="B399" s="2" t="s">
        <v>129</v>
      </c>
      <c r="C399" s="2" t="s">
        <v>14</v>
      </c>
      <c r="D399" s="2" t="s">
        <v>75</v>
      </c>
      <c r="E399" s="3">
        <v>45286</v>
      </c>
      <c r="F399" s="2" t="s">
        <v>1348</v>
      </c>
      <c r="G399" s="2" t="s">
        <v>83</v>
      </c>
      <c r="H399" s="2" t="s">
        <v>58</v>
      </c>
      <c r="J399" s="2" t="s">
        <v>1349</v>
      </c>
      <c r="K399" s="2" t="s">
        <v>96</v>
      </c>
      <c r="L399" s="2" t="s">
        <v>85</v>
      </c>
    </row>
    <row r="400" spans="1:12" ht="14.25" customHeight="1" x14ac:dyDescent="0.5">
      <c r="A400" s="2" t="s">
        <v>1350</v>
      </c>
      <c r="B400" s="2" t="s">
        <v>234</v>
      </c>
      <c r="C400" s="2" t="s">
        <v>74</v>
      </c>
      <c r="D400" s="2" t="s">
        <v>50</v>
      </c>
      <c r="E400" s="3">
        <v>44579</v>
      </c>
      <c r="F400" s="2" t="s">
        <v>1351</v>
      </c>
      <c r="G400" s="2" t="s">
        <v>17</v>
      </c>
      <c r="H400" s="2" t="s">
        <v>27</v>
      </c>
      <c r="I400" s="2" t="s">
        <v>65</v>
      </c>
      <c r="J400" s="2" t="s">
        <v>1352</v>
      </c>
      <c r="K400" s="2" t="s">
        <v>53</v>
      </c>
      <c r="L400" s="2" t="s">
        <v>22</v>
      </c>
    </row>
    <row r="401" spans="1:12" ht="14.25" customHeight="1" x14ac:dyDescent="0.5">
      <c r="A401" s="2" t="s">
        <v>1353</v>
      </c>
      <c r="B401" s="2" t="s">
        <v>191</v>
      </c>
      <c r="C401" s="2" t="s">
        <v>105</v>
      </c>
      <c r="D401" s="2" t="s">
        <v>69</v>
      </c>
      <c r="E401" s="3">
        <v>44483</v>
      </c>
      <c r="F401" s="2" t="s">
        <v>1354</v>
      </c>
      <c r="G401" s="2" t="s">
        <v>36</v>
      </c>
      <c r="H401" s="2" t="s">
        <v>89</v>
      </c>
      <c r="I401" s="2" t="s">
        <v>65</v>
      </c>
      <c r="J401" s="2" t="s">
        <v>1355</v>
      </c>
      <c r="K401" s="2" t="s">
        <v>47</v>
      </c>
      <c r="L401" s="2" t="s">
        <v>39</v>
      </c>
    </row>
    <row r="402" spans="1:12" ht="14.25" customHeight="1" x14ac:dyDescent="0.5">
      <c r="A402" s="2" t="s">
        <v>1356</v>
      </c>
      <c r="B402" s="2" t="s">
        <v>889</v>
      </c>
      <c r="C402" s="2" t="s">
        <v>25</v>
      </c>
      <c r="D402" s="2" t="s">
        <v>34</v>
      </c>
      <c r="E402" s="3">
        <v>44531</v>
      </c>
      <c r="F402" s="2" t="s">
        <v>1357</v>
      </c>
      <c r="G402" s="2" t="s">
        <v>44</v>
      </c>
      <c r="H402" s="2" t="s">
        <v>89</v>
      </c>
      <c r="I402" s="2" t="s">
        <v>77</v>
      </c>
      <c r="J402" s="2" t="s">
        <v>1358</v>
      </c>
      <c r="K402" s="2" t="s">
        <v>38</v>
      </c>
      <c r="L402" s="2" t="s">
        <v>39</v>
      </c>
    </row>
    <row r="403" spans="1:12" ht="14.25" customHeight="1" x14ac:dyDescent="0.5">
      <c r="A403" s="2" t="s">
        <v>1359</v>
      </c>
      <c r="B403" s="2" t="s">
        <v>173</v>
      </c>
      <c r="C403" s="2" t="s">
        <v>99</v>
      </c>
      <c r="D403" s="2" t="s">
        <v>15</v>
      </c>
      <c r="E403" s="3">
        <v>44828</v>
      </c>
      <c r="F403" s="2" t="s">
        <v>1360</v>
      </c>
      <c r="G403" s="2" t="s">
        <v>44</v>
      </c>
      <c r="H403" s="2" t="s">
        <v>45</v>
      </c>
      <c r="I403" s="2" t="s">
        <v>65</v>
      </c>
      <c r="J403" s="2" t="s">
        <v>1361</v>
      </c>
      <c r="K403" s="2" t="s">
        <v>53</v>
      </c>
      <c r="L403" s="2" t="s">
        <v>39</v>
      </c>
    </row>
    <row r="404" spans="1:12" ht="14.25" customHeight="1" x14ac:dyDescent="0.5">
      <c r="A404" s="2" t="s">
        <v>1362</v>
      </c>
      <c r="B404" s="2" t="s">
        <v>98</v>
      </c>
      <c r="C404" s="2" t="s">
        <v>49</v>
      </c>
      <c r="D404" s="2" t="s">
        <v>50</v>
      </c>
      <c r="E404" s="3">
        <v>43879</v>
      </c>
      <c r="F404" s="2" t="s">
        <v>1363</v>
      </c>
      <c r="G404" s="2" t="s">
        <v>36</v>
      </c>
      <c r="H404" s="2" t="s">
        <v>112</v>
      </c>
      <c r="I404" s="2" t="s">
        <v>19</v>
      </c>
      <c r="J404" s="2" t="s">
        <v>1364</v>
      </c>
      <c r="K404" s="2" t="s">
        <v>53</v>
      </c>
      <c r="L404" s="2" t="s">
        <v>85</v>
      </c>
    </row>
    <row r="405" spans="1:12" ht="14.25" customHeight="1" x14ac:dyDescent="0.5">
      <c r="A405" s="2" t="s">
        <v>1365</v>
      </c>
      <c r="B405" s="2" t="s">
        <v>336</v>
      </c>
      <c r="C405" s="2" t="s">
        <v>49</v>
      </c>
      <c r="D405" s="2" t="s">
        <v>100</v>
      </c>
      <c r="E405" s="3">
        <v>45156</v>
      </c>
      <c r="F405" s="2" t="s">
        <v>1366</v>
      </c>
      <c r="G405" s="2" t="s">
        <v>44</v>
      </c>
      <c r="H405" s="2" t="s">
        <v>45</v>
      </c>
      <c r="I405" s="2" t="s">
        <v>107</v>
      </c>
      <c r="J405" s="2" t="s">
        <v>1367</v>
      </c>
      <c r="K405" s="2" t="s">
        <v>159</v>
      </c>
      <c r="L405" s="2" t="s">
        <v>30</v>
      </c>
    </row>
    <row r="406" spans="1:12" ht="14.25" customHeight="1" x14ac:dyDescent="0.5">
      <c r="A406" s="2" t="s">
        <v>1368</v>
      </c>
      <c r="B406" s="2" t="s">
        <v>685</v>
      </c>
      <c r="C406" s="2" t="s">
        <v>99</v>
      </c>
      <c r="D406" s="2" t="s">
        <v>15</v>
      </c>
      <c r="E406" s="3">
        <v>44711</v>
      </c>
      <c r="F406" s="2" t="s">
        <v>1369</v>
      </c>
      <c r="G406" s="2" t="s">
        <v>57</v>
      </c>
      <c r="H406" s="2" t="s">
        <v>89</v>
      </c>
      <c r="I406" s="2" t="s">
        <v>19</v>
      </c>
      <c r="J406" s="2" t="s">
        <v>1370</v>
      </c>
      <c r="K406" s="2" t="s">
        <v>53</v>
      </c>
      <c r="L406" s="2" t="s">
        <v>39</v>
      </c>
    </row>
    <row r="407" spans="1:12" ht="14.25" customHeight="1" x14ac:dyDescent="0.5">
      <c r="A407" s="2" t="s">
        <v>1371</v>
      </c>
      <c r="B407" s="2" t="s">
        <v>584</v>
      </c>
      <c r="C407" s="2" t="s">
        <v>125</v>
      </c>
      <c r="D407" s="2" t="s">
        <v>75</v>
      </c>
      <c r="E407" s="3">
        <v>45044</v>
      </c>
      <c r="F407" s="2" t="s">
        <v>1372</v>
      </c>
      <c r="G407" s="2" t="s">
        <v>17</v>
      </c>
      <c r="H407" s="2" t="s">
        <v>89</v>
      </c>
      <c r="I407" s="2" t="s">
        <v>107</v>
      </c>
      <c r="J407" s="2" t="s">
        <v>1373</v>
      </c>
      <c r="K407" s="2" t="s">
        <v>96</v>
      </c>
      <c r="L407" s="2" t="s">
        <v>85</v>
      </c>
    </row>
    <row r="408" spans="1:12" ht="14.25" customHeight="1" x14ac:dyDescent="0.5">
      <c r="A408" s="2" t="s">
        <v>1374</v>
      </c>
      <c r="B408" s="2" t="s">
        <v>133</v>
      </c>
      <c r="C408" s="2" t="s">
        <v>14</v>
      </c>
      <c r="D408" s="2" t="s">
        <v>69</v>
      </c>
      <c r="E408" s="3">
        <v>44990</v>
      </c>
      <c r="F408" s="2" t="s">
        <v>1375</v>
      </c>
      <c r="G408" s="2" t="s">
        <v>83</v>
      </c>
      <c r="H408" s="2" t="s">
        <v>58</v>
      </c>
      <c r="I408" s="2" t="s">
        <v>65</v>
      </c>
      <c r="J408" s="2" t="s">
        <v>1376</v>
      </c>
      <c r="K408" s="2" t="s">
        <v>159</v>
      </c>
      <c r="L408" s="2" t="s">
        <v>39</v>
      </c>
    </row>
    <row r="409" spans="1:12" ht="14.25" customHeight="1" x14ac:dyDescent="0.5">
      <c r="A409" s="2" t="s">
        <v>1377</v>
      </c>
      <c r="B409" s="2" t="s">
        <v>81</v>
      </c>
      <c r="C409" s="2" t="s">
        <v>93</v>
      </c>
      <c r="D409" s="2" t="s">
        <v>34</v>
      </c>
      <c r="E409" s="3">
        <v>44385</v>
      </c>
      <c r="F409" s="2" t="s">
        <v>1378</v>
      </c>
      <c r="G409" s="2" t="s">
        <v>36</v>
      </c>
      <c r="H409" s="2" t="s">
        <v>112</v>
      </c>
      <c r="I409" s="2" t="s">
        <v>65</v>
      </c>
      <c r="J409" s="2" t="s">
        <v>1379</v>
      </c>
      <c r="K409" s="2" t="s">
        <v>79</v>
      </c>
      <c r="L409" s="2" t="s">
        <v>22</v>
      </c>
    </row>
    <row r="410" spans="1:12" ht="14.25" customHeight="1" x14ac:dyDescent="0.5">
      <c r="A410" s="2" t="s">
        <v>1380</v>
      </c>
      <c r="B410" s="2" t="s">
        <v>221</v>
      </c>
      <c r="C410" s="2" t="s">
        <v>105</v>
      </c>
      <c r="D410" s="2" t="s">
        <v>100</v>
      </c>
      <c r="E410" s="3">
        <v>44234</v>
      </c>
      <c r="F410" s="2" t="s">
        <v>1381</v>
      </c>
      <c r="G410" s="2" t="s">
        <v>57</v>
      </c>
      <c r="H410" s="2" t="s">
        <v>18</v>
      </c>
      <c r="J410" s="2" t="s">
        <v>1382</v>
      </c>
      <c r="K410" s="2" t="s">
        <v>96</v>
      </c>
      <c r="L410" s="2" t="s">
        <v>85</v>
      </c>
    </row>
    <row r="411" spans="1:12" ht="14.25" customHeight="1" x14ac:dyDescent="0.5">
      <c r="A411" s="2" t="s">
        <v>1383</v>
      </c>
      <c r="B411" s="2" t="s">
        <v>268</v>
      </c>
      <c r="C411" s="2" t="s">
        <v>33</v>
      </c>
      <c r="D411" s="2" t="s">
        <v>34</v>
      </c>
      <c r="E411" s="3">
        <v>44722</v>
      </c>
      <c r="F411" s="2" t="s">
        <v>1384</v>
      </c>
      <c r="G411" s="2" t="s">
        <v>83</v>
      </c>
      <c r="H411" s="2" t="s">
        <v>27</v>
      </c>
      <c r="I411" s="2" t="s">
        <v>107</v>
      </c>
      <c r="J411" s="2" t="s">
        <v>1385</v>
      </c>
      <c r="K411" s="2" t="s">
        <v>21</v>
      </c>
      <c r="L411" s="2" t="s">
        <v>39</v>
      </c>
    </row>
    <row r="412" spans="1:12" ht="14.25" customHeight="1" x14ac:dyDescent="0.5">
      <c r="A412" s="2" t="s">
        <v>1386</v>
      </c>
      <c r="B412" s="2" t="s">
        <v>141</v>
      </c>
      <c r="C412" s="2" t="s">
        <v>74</v>
      </c>
      <c r="D412" s="2" t="s">
        <v>100</v>
      </c>
      <c r="E412" s="3">
        <v>44695</v>
      </c>
      <c r="F412" s="2" t="s">
        <v>1387</v>
      </c>
      <c r="G412" s="2" t="s">
        <v>83</v>
      </c>
      <c r="H412" s="2" t="s">
        <v>121</v>
      </c>
      <c r="I412" s="2" t="s">
        <v>65</v>
      </c>
      <c r="J412" s="2" t="s">
        <v>1388</v>
      </c>
      <c r="K412" s="2" t="s">
        <v>53</v>
      </c>
      <c r="L412" s="2" t="s">
        <v>85</v>
      </c>
    </row>
    <row r="413" spans="1:12" ht="14.25" customHeight="1" x14ac:dyDescent="0.5">
      <c r="A413" s="2" t="s">
        <v>1389</v>
      </c>
      <c r="B413" s="2" t="s">
        <v>580</v>
      </c>
      <c r="C413" s="2" t="s">
        <v>14</v>
      </c>
      <c r="D413" s="2" t="s">
        <v>50</v>
      </c>
      <c r="E413" s="3">
        <v>44432</v>
      </c>
      <c r="F413" s="2" t="s">
        <v>1390</v>
      </c>
      <c r="G413" s="2" t="s">
        <v>36</v>
      </c>
      <c r="H413" s="2" t="s">
        <v>58</v>
      </c>
      <c r="I413" s="2" t="s">
        <v>77</v>
      </c>
      <c r="J413" s="2" t="s">
        <v>1391</v>
      </c>
      <c r="K413" s="2" t="s">
        <v>79</v>
      </c>
      <c r="L413" s="2" t="s">
        <v>39</v>
      </c>
    </row>
    <row r="414" spans="1:12" ht="14.25" customHeight="1" x14ac:dyDescent="0.5">
      <c r="A414" s="2" t="s">
        <v>1392</v>
      </c>
      <c r="B414" s="2" t="s">
        <v>685</v>
      </c>
      <c r="C414" s="2" t="s">
        <v>74</v>
      </c>
      <c r="D414" s="2" t="s">
        <v>100</v>
      </c>
      <c r="E414" s="3">
        <v>44171</v>
      </c>
      <c r="F414" s="2" t="s">
        <v>1393</v>
      </c>
      <c r="G414" s="2" t="s">
        <v>57</v>
      </c>
      <c r="H414" s="2" t="s">
        <v>89</v>
      </c>
      <c r="I414" s="2" t="s">
        <v>28</v>
      </c>
      <c r="J414" s="2" t="s">
        <v>1394</v>
      </c>
      <c r="K414" s="2" t="s">
        <v>47</v>
      </c>
      <c r="L414" s="2" t="s">
        <v>30</v>
      </c>
    </row>
    <row r="415" spans="1:12" ht="14.25" customHeight="1" x14ac:dyDescent="0.5">
      <c r="A415" s="2" t="s">
        <v>1395</v>
      </c>
      <c r="B415" s="2" t="s">
        <v>73</v>
      </c>
      <c r="C415" s="2" t="s">
        <v>105</v>
      </c>
      <c r="D415" s="2" t="s">
        <v>75</v>
      </c>
      <c r="E415" s="3">
        <v>44534</v>
      </c>
      <c r="F415" s="2" t="s">
        <v>1396</v>
      </c>
      <c r="G415" s="2" t="s">
        <v>83</v>
      </c>
      <c r="H415" s="2" t="s">
        <v>121</v>
      </c>
      <c r="J415" s="2" t="s">
        <v>1397</v>
      </c>
      <c r="K415" s="2" t="s">
        <v>38</v>
      </c>
      <c r="L415" s="2" t="s">
        <v>39</v>
      </c>
    </row>
    <row r="416" spans="1:12" ht="14.25" customHeight="1" x14ac:dyDescent="0.5">
      <c r="A416" s="2" t="s">
        <v>1398</v>
      </c>
      <c r="B416" s="2" t="s">
        <v>68</v>
      </c>
      <c r="C416" s="2" t="s">
        <v>235</v>
      </c>
      <c r="D416" s="2" t="s">
        <v>75</v>
      </c>
      <c r="E416" s="3">
        <v>44148</v>
      </c>
      <c r="F416" s="2" t="s">
        <v>1399</v>
      </c>
      <c r="G416" s="2" t="s">
        <v>83</v>
      </c>
      <c r="H416" s="2" t="s">
        <v>58</v>
      </c>
      <c r="I416" s="2" t="s">
        <v>19</v>
      </c>
      <c r="J416" s="2" t="s">
        <v>1400</v>
      </c>
      <c r="K416" s="2" t="s">
        <v>53</v>
      </c>
      <c r="L416" s="2" t="s">
        <v>85</v>
      </c>
    </row>
    <row r="417" spans="1:12" ht="14.25" customHeight="1" x14ac:dyDescent="0.5">
      <c r="A417" s="2" t="s">
        <v>1401</v>
      </c>
      <c r="B417" s="2" t="s">
        <v>98</v>
      </c>
      <c r="C417" s="2" t="s">
        <v>235</v>
      </c>
      <c r="D417" s="2" t="s">
        <v>42</v>
      </c>
      <c r="E417" s="3">
        <v>44448</v>
      </c>
      <c r="F417" s="2" t="s">
        <v>1402</v>
      </c>
      <c r="G417" s="2" t="s">
        <v>57</v>
      </c>
      <c r="H417" s="2" t="s">
        <v>27</v>
      </c>
      <c r="J417" s="2" t="s">
        <v>1403</v>
      </c>
      <c r="K417" s="2" t="s">
        <v>60</v>
      </c>
      <c r="L417" s="2" t="s">
        <v>22</v>
      </c>
    </row>
    <row r="418" spans="1:12" ht="14.25" customHeight="1" x14ac:dyDescent="0.5">
      <c r="A418" s="2" t="s">
        <v>1404</v>
      </c>
      <c r="B418" s="2" t="s">
        <v>580</v>
      </c>
      <c r="C418" s="2" t="s">
        <v>14</v>
      </c>
      <c r="D418" s="2" t="s">
        <v>75</v>
      </c>
      <c r="E418" s="3">
        <v>45217</v>
      </c>
      <c r="F418" s="2" t="s">
        <v>1405</v>
      </c>
      <c r="G418" s="2" t="s">
        <v>44</v>
      </c>
      <c r="H418" s="2" t="s">
        <v>89</v>
      </c>
      <c r="I418" s="2" t="s">
        <v>28</v>
      </c>
      <c r="J418" s="2" t="s">
        <v>1406</v>
      </c>
      <c r="K418" s="2" t="s">
        <v>79</v>
      </c>
      <c r="L418" s="2" t="s">
        <v>22</v>
      </c>
    </row>
    <row r="419" spans="1:12" ht="14.25" customHeight="1" x14ac:dyDescent="0.5">
      <c r="A419" s="2" t="s">
        <v>1407</v>
      </c>
      <c r="B419" s="2" t="s">
        <v>580</v>
      </c>
      <c r="C419" s="2" t="s">
        <v>25</v>
      </c>
      <c r="D419" s="2" t="s">
        <v>15</v>
      </c>
      <c r="E419" s="3">
        <v>44212</v>
      </c>
      <c r="F419" s="2" t="s">
        <v>1408</v>
      </c>
      <c r="G419" s="2" t="s">
        <v>83</v>
      </c>
      <c r="H419" s="2" t="s">
        <v>27</v>
      </c>
      <c r="I419" s="2" t="s">
        <v>107</v>
      </c>
      <c r="J419" s="2" t="s">
        <v>1409</v>
      </c>
      <c r="K419" s="2" t="s">
        <v>60</v>
      </c>
      <c r="L419" s="2" t="s">
        <v>22</v>
      </c>
    </row>
    <row r="420" spans="1:12" ht="14.25" customHeight="1" x14ac:dyDescent="0.5">
      <c r="A420" s="2" t="s">
        <v>1410</v>
      </c>
      <c r="B420" s="2" t="s">
        <v>405</v>
      </c>
      <c r="C420" s="2" t="s">
        <v>105</v>
      </c>
      <c r="D420" s="2" t="s">
        <v>100</v>
      </c>
      <c r="E420" s="3">
        <v>44063</v>
      </c>
      <c r="F420" s="2" t="s">
        <v>1411</v>
      </c>
      <c r="G420" s="2" t="s">
        <v>17</v>
      </c>
      <c r="H420" s="2" t="s">
        <v>121</v>
      </c>
      <c r="I420" s="2" t="s">
        <v>19</v>
      </c>
      <c r="J420" s="2" t="s">
        <v>1412</v>
      </c>
      <c r="K420" s="2" t="s">
        <v>53</v>
      </c>
      <c r="L420" s="2" t="s">
        <v>39</v>
      </c>
    </row>
    <row r="421" spans="1:12" ht="14.25" customHeight="1" x14ac:dyDescent="0.5">
      <c r="A421" s="2" t="s">
        <v>1413</v>
      </c>
      <c r="B421" s="2" t="s">
        <v>55</v>
      </c>
      <c r="C421" s="2" t="s">
        <v>105</v>
      </c>
      <c r="D421" s="2" t="s">
        <v>75</v>
      </c>
      <c r="E421" s="3">
        <v>45198</v>
      </c>
      <c r="F421" s="2" t="s">
        <v>1414</v>
      </c>
      <c r="G421" s="2" t="s">
        <v>57</v>
      </c>
      <c r="H421" s="2" t="s">
        <v>18</v>
      </c>
      <c r="I421" s="2" t="s">
        <v>19</v>
      </c>
      <c r="J421" s="2" t="s">
        <v>1415</v>
      </c>
      <c r="K421" s="2" t="s">
        <v>60</v>
      </c>
      <c r="L421" s="2" t="s">
        <v>30</v>
      </c>
    </row>
    <row r="422" spans="1:12" ht="14.25" customHeight="1" x14ac:dyDescent="0.5">
      <c r="A422" s="2" t="s">
        <v>1416</v>
      </c>
      <c r="B422" s="2" t="s">
        <v>191</v>
      </c>
      <c r="C422" s="2" t="s">
        <v>99</v>
      </c>
      <c r="D422" s="2" t="s">
        <v>50</v>
      </c>
      <c r="E422" s="3">
        <v>44647</v>
      </c>
      <c r="F422" s="2" t="s">
        <v>1417</v>
      </c>
      <c r="G422" s="2" t="s">
        <v>83</v>
      </c>
      <c r="H422" s="2" t="s">
        <v>58</v>
      </c>
      <c r="I422" s="2" t="s">
        <v>107</v>
      </c>
      <c r="J422" s="2" t="s">
        <v>1418</v>
      </c>
      <c r="K422" s="2" t="s">
        <v>53</v>
      </c>
      <c r="L422" s="2" t="s">
        <v>39</v>
      </c>
    </row>
    <row r="423" spans="1:12" ht="14.25" customHeight="1" x14ac:dyDescent="0.5">
      <c r="A423" s="2" t="s">
        <v>1419</v>
      </c>
      <c r="B423" s="2" t="s">
        <v>1007</v>
      </c>
      <c r="C423" s="2" t="s">
        <v>25</v>
      </c>
      <c r="D423" s="2" t="s">
        <v>34</v>
      </c>
      <c r="E423" s="3">
        <v>44383</v>
      </c>
      <c r="F423" s="2" t="s">
        <v>1420</v>
      </c>
      <c r="G423" s="2" t="s">
        <v>36</v>
      </c>
      <c r="H423" s="2" t="s">
        <v>64</v>
      </c>
      <c r="J423" s="2" t="s">
        <v>1421</v>
      </c>
      <c r="K423" s="2" t="s">
        <v>38</v>
      </c>
      <c r="L423" s="2" t="s">
        <v>22</v>
      </c>
    </row>
    <row r="424" spans="1:12" ht="14.25" customHeight="1" x14ac:dyDescent="0.5">
      <c r="A424" s="2" t="s">
        <v>1422</v>
      </c>
      <c r="B424" s="2" t="s">
        <v>260</v>
      </c>
      <c r="C424" s="2" t="s">
        <v>93</v>
      </c>
      <c r="D424" s="2" t="s">
        <v>34</v>
      </c>
      <c r="E424" s="3">
        <v>44686</v>
      </c>
      <c r="F424" s="2" t="s">
        <v>1423</v>
      </c>
      <c r="G424" s="2" t="s">
        <v>17</v>
      </c>
      <c r="H424" s="2" t="s">
        <v>58</v>
      </c>
      <c r="I424" s="2" t="s">
        <v>65</v>
      </c>
      <c r="J424" s="2" t="s">
        <v>1424</v>
      </c>
      <c r="K424" s="2" t="s">
        <v>47</v>
      </c>
      <c r="L424" s="2" t="s">
        <v>85</v>
      </c>
    </row>
    <row r="425" spans="1:12" ht="14.25" customHeight="1" x14ac:dyDescent="0.5">
      <c r="A425" s="2" t="s">
        <v>1425</v>
      </c>
      <c r="B425" s="2" t="s">
        <v>418</v>
      </c>
      <c r="C425" s="2" t="s">
        <v>93</v>
      </c>
      <c r="D425" s="2" t="s">
        <v>42</v>
      </c>
      <c r="E425" s="3">
        <v>44649</v>
      </c>
      <c r="F425" s="2" t="s">
        <v>1426</v>
      </c>
      <c r="G425" s="2" t="s">
        <v>83</v>
      </c>
      <c r="H425" s="2" t="s">
        <v>45</v>
      </c>
      <c r="J425" s="2" t="s">
        <v>1427</v>
      </c>
      <c r="K425" s="2" t="s">
        <v>38</v>
      </c>
      <c r="L425" s="2" t="s">
        <v>22</v>
      </c>
    </row>
    <row r="426" spans="1:12" ht="14.25" customHeight="1" x14ac:dyDescent="0.5">
      <c r="A426" s="2" t="s">
        <v>1428</v>
      </c>
      <c r="B426" s="2" t="s">
        <v>1429</v>
      </c>
      <c r="C426" s="2" t="s">
        <v>33</v>
      </c>
      <c r="D426" s="2" t="s">
        <v>34</v>
      </c>
      <c r="E426" s="3">
        <v>44013</v>
      </c>
      <c r="F426" s="2" t="s">
        <v>1430</v>
      </c>
      <c r="G426" s="2" t="s">
        <v>17</v>
      </c>
      <c r="H426" s="2" t="s">
        <v>112</v>
      </c>
      <c r="I426" s="2" t="s">
        <v>28</v>
      </c>
      <c r="J426" s="2" t="s">
        <v>1431</v>
      </c>
      <c r="K426" s="2" t="s">
        <v>96</v>
      </c>
      <c r="L426" s="2" t="s">
        <v>85</v>
      </c>
    </row>
    <row r="427" spans="1:12" ht="14.25" customHeight="1" x14ac:dyDescent="0.5">
      <c r="A427" s="2" t="s">
        <v>1432</v>
      </c>
      <c r="B427" s="2" t="s">
        <v>133</v>
      </c>
      <c r="C427" s="2" t="s">
        <v>49</v>
      </c>
      <c r="D427" s="2" t="s">
        <v>100</v>
      </c>
      <c r="E427" s="3">
        <v>44895</v>
      </c>
      <c r="F427" s="2" t="s">
        <v>1433</v>
      </c>
      <c r="G427" s="2" t="s">
        <v>17</v>
      </c>
      <c r="H427" s="2" t="s">
        <v>112</v>
      </c>
      <c r="I427" s="2" t="s">
        <v>77</v>
      </c>
      <c r="J427" s="2" t="s">
        <v>1434</v>
      </c>
      <c r="K427" s="2" t="s">
        <v>79</v>
      </c>
      <c r="L427" s="2" t="s">
        <v>30</v>
      </c>
    </row>
    <row r="428" spans="1:12" ht="14.25" customHeight="1" x14ac:dyDescent="0.5">
      <c r="A428" s="2" t="s">
        <v>1435</v>
      </c>
      <c r="B428" s="2" t="s">
        <v>177</v>
      </c>
      <c r="C428" s="2" t="s">
        <v>235</v>
      </c>
      <c r="D428" s="2" t="s">
        <v>42</v>
      </c>
      <c r="E428" s="3">
        <v>44227</v>
      </c>
      <c r="F428" s="2" t="s">
        <v>1436</v>
      </c>
      <c r="G428" s="2" t="s">
        <v>44</v>
      </c>
      <c r="H428" s="2" t="s">
        <v>45</v>
      </c>
      <c r="I428" s="2" t="s">
        <v>65</v>
      </c>
      <c r="J428" s="2" t="s">
        <v>1437</v>
      </c>
      <c r="K428" s="2" t="s">
        <v>60</v>
      </c>
      <c r="L428" s="2" t="s">
        <v>85</v>
      </c>
    </row>
    <row r="429" spans="1:12" ht="14.25" customHeight="1" x14ac:dyDescent="0.5">
      <c r="A429" s="2" t="s">
        <v>1438</v>
      </c>
      <c r="B429" s="2" t="s">
        <v>425</v>
      </c>
      <c r="C429" s="2" t="s">
        <v>93</v>
      </c>
      <c r="D429" s="2" t="s">
        <v>100</v>
      </c>
      <c r="E429" s="3">
        <v>44609</v>
      </c>
      <c r="F429" s="2" t="s">
        <v>1439</v>
      </c>
      <c r="G429" s="2" t="s">
        <v>17</v>
      </c>
      <c r="H429" s="2" t="s">
        <v>89</v>
      </c>
      <c r="J429" s="2" t="s">
        <v>1440</v>
      </c>
      <c r="K429" s="2" t="s">
        <v>38</v>
      </c>
      <c r="L429" s="2" t="s">
        <v>39</v>
      </c>
    </row>
    <row r="430" spans="1:12" ht="14.25" customHeight="1" x14ac:dyDescent="0.5">
      <c r="A430" s="2" t="s">
        <v>1441</v>
      </c>
      <c r="B430" s="2" t="s">
        <v>1429</v>
      </c>
      <c r="C430" s="2" t="s">
        <v>25</v>
      </c>
      <c r="D430" s="2" t="s">
        <v>50</v>
      </c>
      <c r="E430" s="3">
        <v>44737</v>
      </c>
      <c r="F430" s="2" t="s">
        <v>1442</v>
      </c>
      <c r="G430" s="2" t="s">
        <v>44</v>
      </c>
      <c r="H430" s="2" t="s">
        <v>112</v>
      </c>
      <c r="I430" s="2" t="s">
        <v>77</v>
      </c>
      <c r="J430" s="2" t="s">
        <v>1443</v>
      </c>
      <c r="K430" s="2" t="s">
        <v>53</v>
      </c>
      <c r="L430" s="2" t="s">
        <v>39</v>
      </c>
    </row>
    <row r="431" spans="1:12" ht="14.25" customHeight="1" x14ac:dyDescent="0.5">
      <c r="A431" s="2" t="s">
        <v>1444</v>
      </c>
      <c r="B431" s="2" t="s">
        <v>584</v>
      </c>
      <c r="C431" s="2" t="s">
        <v>105</v>
      </c>
      <c r="D431" s="2" t="s">
        <v>42</v>
      </c>
      <c r="E431" s="3">
        <v>45187</v>
      </c>
      <c r="F431" s="2" t="s">
        <v>1445</v>
      </c>
      <c r="G431" s="2" t="s">
        <v>57</v>
      </c>
      <c r="H431" s="2" t="s">
        <v>27</v>
      </c>
      <c r="I431" s="2" t="s">
        <v>77</v>
      </c>
      <c r="J431" s="2" t="s">
        <v>1446</v>
      </c>
      <c r="K431" s="2" t="s">
        <v>38</v>
      </c>
      <c r="L431" s="2" t="s">
        <v>39</v>
      </c>
    </row>
    <row r="432" spans="1:12" ht="14.25" customHeight="1" x14ac:dyDescent="0.5">
      <c r="A432" s="2" t="s">
        <v>1447</v>
      </c>
      <c r="B432" s="2" t="s">
        <v>73</v>
      </c>
      <c r="C432" s="2" t="s">
        <v>93</v>
      </c>
      <c r="D432" s="2" t="s">
        <v>69</v>
      </c>
      <c r="E432" s="3">
        <v>43957</v>
      </c>
      <c r="F432" s="2" t="s">
        <v>1448</v>
      </c>
      <c r="G432" s="2" t="s">
        <v>44</v>
      </c>
      <c r="H432" s="2" t="s">
        <v>121</v>
      </c>
      <c r="I432" s="2" t="s">
        <v>107</v>
      </c>
      <c r="J432" s="2" t="s">
        <v>1449</v>
      </c>
      <c r="K432" s="2" t="s">
        <v>38</v>
      </c>
      <c r="L432" s="2" t="s">
        <v>85</v>
      </c>
    </row>
    <row r="433" spans="1:12" ht="14.25" customHeight="1" x14ac:dyDescent="0.5">
      <c r="A433" s="2" t="s">
        <v>1450</v>
      </c>
      <c r="B433" s="2" t="s">
        <v>104</v>
      </c>
      <c r="C433" s="2" t="s">
        <v>105</v>
      </c>
      <c r="D433" s="2" t="s">
        <v>15</v>
      </c>
      <c r="E433" s="3">
        <v>43831</v>
      </c>
      <c r="F433" s="2" t="s">
        <v>1451</v>
      </c>
      <c r="G433" s="2" t="s">
        <v>36</v>
      </c>
      <c r="H433" s="2" t="s">
        <v>121</v>
      </c>
      <c r="I433" s="2" t="s">
        <v>28</v>
      </c>
      <c r="J433" s="2" t="s">
        <v>1452</v>
      </c>
      <c r="K433" s="2" t="s">
        <v>79</v>
      </c>
      <c r="L433" s="2" t="s">
        <v>39</v>
      </c>
    </row>
    <row r="434" spans="1:12" ht="14.25" customHeight="1" x14ac:dyDescent="0.5">
      <c r="A434" s="2" t="s">
        <v>1453</v>
      </c>
      <c r="B434" s="2" t="s">
        <v>580</v>
      </c>
      <c r="C434" s="2" t="s">
        <v>93</v>
      </c>
      <c r="D434" s="2" t="s">
        <v>15</v>
      </c>
      <c r="E434" s="3">
        <v>45022</v>
      </c>
      <c r="F434" s="2" t="s">
        <v>1454</v>
      </c>
      <c r="G434" s="2" t="s">
        <v>83</v>
      </c>
      <c r="H434" s="2" t="s">
        <v>112</v>
      </c>
      <c r="I434" s="2" t="s">
        <v>28</v>
      </c>
      <c r="J434" s="2" t="s">
        <v>1455</v>
      </c>
      <c r="K434" s="2" t="s">
        <v>47</v>
      </c>
      <c r="L434" s="2" t="s">
        <v>39</v>
      </c>
    </row>
    <row r="435" spans="1:12" ht="14.25" customHeight="1" x14ac:dyDescent="0.5">
      <c r="A435" s="2" t="s">
        <v>1456</v>
      </c>
      <c r="B435" s="2" t="s">
        <v>92</v>
      </c>
      <c r="C435" s="2" t="s">
        <v>235</v>
      </c>
      <c r="D435" s="2" t="s">
        <v>100</v>
      </c>
      <c r="E435" s="3">
        <v>43849</v>
      </c>
      <c r="F435" s="2" t="s">
        <v>1457</v>
      </c>
      <c r="G435" s="2" t="s">
        <v>57</v>
      </c>
      <c r="H435" s="2" t="s">
        <v>112</v>
      </c>
      <c r="I435" s="2" t="s">
        <v>28</v>
      </c>
      <c r="J435" s="2" t="s">
        <v>1458</v>
      </c>
      <c r="K435" s="2" t="s">
        <v>21</v>
      </c>
      <c r="L435" s="2" t="s">
        <v>39</v>
      </c>
    </row>
    <row r="436" spans="1:12" ht="14.25" customHeight="1" x14ac:dyDescent="0.5">
      <c r="A436" s="2" t="s">
        <v>1459</v>
      </c>
      <c r="B436" s="2" t="s">
        <v>437</v>
      </c>
      <c r="C436" s="2" t="s">
        <v>74</v>
      </c>
      <c r="D436" s="2" t="s">
        <v>34</v>
      </c>
      <c r="E436" s="3">
        <v>45186</v>
      </c>
      <c r="F436" s="2" t="s">
        <v>1460</v>
      </c>
      <c r="G436" s="2" t="s">
        <v>57</v>
      </c>
      <c r="H436" s="2" t="s">
        <v>45</v>
      </c>
      <c r="I436" s="2" t="s">
        <v>65</v>
      </c>
      <c r="J436" s="2" t="s">
        <v>1461</v>
      </c>
      <c r="K436" s="2" t="s">
        <v>38</v>
      </c>
      <c r="L436" s="2" t="s">
        <v>30</v>
      </c>
    </row>
    <row r="437" spans="1:12" ht="14.25" customHeight="1" x14ac:dyDescent="0.5">
      <c r="A437" s="2" t="s">
        <v>1462</v>
      </c>
      <c r="B437" s="2" t="s">
        <v>475</v>
      </c>
      <c r="C437" s="2" t="s">
        <v>93</v>
      </c>
      <c r="D437" s="2" t="s">
        <v>69</v>
      </c>
      <c r="E437" s="3">
        <v>44414</v>
      </c>
      <c r="F437" s="2" t="s">
        <v>1463</v>
      </c>
      <c r="G437" s="2" t="s">
        <v>36</v>
      </c>
      <c r="H437" s="2" t="s">
        <v>89</v>
      </c>
      <c r="I437" s="2" t="s">
        <v>19</v>
      </c>
      <c r="J437" s="2" t="s">
        <v>1464</v>
      </c>
      <c r="K437" s="2" t="s">
        <v>79</v>
      </c>
      <c r="L437" s="2" t="s">
        <v>85</v>
      </c>
    </row>
    <row r="438" spans="1:12" ht="14.25" customHeight="1" x14ac:dyDescent="0.5">
      <c r="A438" s="2" t="s">
        <v>1465</v>
      </c>
      <c r="B438" s="2" t="s">
        <v>475</v>
      </c>
      <c r="C438" s="2" t="s">
        <v>25</v>
      </c>
      <c r="D438" s="2" t="s">
        <v>42</v>
      </c>
      <c r="E438" s="3">
        <v>44286</v>
      </c>
      <c r="F438" s="2" t="s">
        <v>1466</v>
      </c>
      <c r="G438" s="2" t="s">
        <v>44</v>
      </c>
      <c r="H438" s="2" t="s">
        <v>18</v>
      </c>
      <c r="I438" s="2" t="s">
        <v>65</v>
      </c>
      <c r="J438" s="2" t="s">
        <v>1467</v>
      </c>
      <c r="K438" s="2" t="s">
        <v>60</v>
      </c>
      <c r="L438" s="2" t="s">
        <v>85</v>
      </c>
    </row>
    <row r="439" spans="1:12" ht="14.25" customHeight="1" x14ac:dyDescent="0.5">
      <c r="A439" s="2" t="s">
        <v>1468</v>
      </c>
      <c r="B439" s="2" t="s">
        <v>736</v>
      </c>
      <c r="C439" s="2" t="s">
        <v>93</v>
      </c>
      <c r="D439" s="2" t="s">
        <v>69</v>
      </c>
      <c r="E439" s="3">
        <v>44787</v>
      </c>
      <c r="F439" s="2" t="s">
        <v>1469</v>
      </c>
      <c r="G439" s="2" t="s">
        <v>83</v>
      </c>
      <c r="H439" s="2" t="s">
        <v>112</v>
      </c>
      <c r="J439" s="2" t="s">
        <v>1470</v>
      </c>
      <c r="K439" s="2" t="s">
        <v>53</v>
      </c>
      <c r="L439" s="2" t="s">
        <v>22</v>
      </c>
    </row>
    <row r="440" spans="1:12" ht="14.25" customHeight="1" x14ac:dyDescent="0.5">
      <c r="A440" s="2" t="s">
        <v>1471</v>
      </c>
      <c r="B440" s="2" t="s">
        <v>68</v>
      </c>
      <c r="C440" s="2" t="s">
        <v>49</v>
      </c>
      <c r="D440" s="2" t="s">
        <v>69</v>
      </c>
      <c r="E440" s="3">
        <v>44963</v>
      </c>
      <c r="F440" s="2" t="s">
        <v>1472</v>
      </c>
      <c r="G440" s="2" t="s">
        <v>44</v>
      </c>
      <c r="H440" s="2" t="s">
        <v>64</v>
      </c>
      <c r="I440" s="2" t="s">
        <v>77</v>
      </c>
      <c r="J440" s="2" t="s">
        <v>1473</v>
      </c>
      <c r="K440" s="2" t="s">
        <v>96</v>
      </c>
      <c r="L440" s="2" t="s">
        <v>85</v>
      </c>
    </row>
    <row r="441" spans="1:12" ht="14.25" customHeight="1" x14ac:dyDescent="0.5">
      <c r="A441" s="2" t="s">
        <v>1474</v>
      </c>
      <c r="B441" s="2" t="s">
        <v>437</v>
      </c>
      <c r="C441" s="2" t="s">
        <v>235</v>
      </c>
      <c r="D441" s="2" t="s">
        <v>34</v>
      </c>
      <c r="E441" s="3">
        <v>45122</v>
      </c>
      <c r="F441" s="2" t="s">
        <v>1475</v>
      </c>
      <c r="G441" s="2" t="s">
        <v>17</v>
      </c>
      <c r="H441" s="2" t="s">
        <v>112</v>
      </c>
      <c r="I441" s="2" t="s">
        <v>77</v>
      </c>
      <c r="J441" s="2" t="s">
        <v>1476</v>
      </c>
      <c r="K441" s="2" t="s">
        <v>21</v>
      </c>
      <c r="L441" s="2" t="s">
        <v>30</v>
      </c>
    </row>
    <row r="442" spans="1:12" ht="14.25" customHeight="1" x14ac:dyDescent="0.5">
      <c r="A442" s="2" t="s">
        <v>1477</v>
      </c>
      <c r="B442" s="2" t="s">
        <v>1029</v>
      </c>
      <c r="C442" s="2" t="s">
        <v>25</v>
      </c>
      <c r="D442" s="2" t="s">
        <v>42</v>
      </c>
      <c r="E442" s="3">
        <v>44275</v>
      </c>
      <c r="F442" s="2" t="s">
        <v>1478</v>
      </c>
      <c r="G442" s="2" t="s">
        <v>44</v>
      </c>
      <c r="H442" s="2" t="s">
        <v>18</v>
      </c>
      <c r="I442" s="2" t="s">
        <v>19</v>
      </c>
      <c r="J442" s="2" t="s">
        <v>1479</v>
      </c>
      <c r="K442" s="2" t="s">
        <v>159</v>
      </c>
      <c r="L442" s="2" t="s">
        <v>85</v>
      </c>
    </row>
    <row r="443" spans="1:12" ht="14.25" customHeight="1" x14ac:dyDescent="0.5">
      <c r="A443" s="2" t="s">
        <v>1480</v>
      </c>
      <c r="B443" s="2" t="s">
        <v>73</v>
      </c>
      <c r="C443" s="2" t="s">
        <v>99</v>
      </c>
      <c r="D443" s="2" t="s">
        <v>50</v>
      </c>
      <c r="E443" s="3">
        <v>45094</v>
      </c>
      <c r="F443" s="2" t="s">
        <v>1481</v>
      </c>
      <c r="G443" s="2" t="s">
        <v>57</v>
      </c>
      <c r="H443" s="2" t="s">
        <v>45</v>
      </c>
      <c r="J443" s="2" t="s">
        <v>1482</v>
      </c>
      <c r="K443" s="2" t="s">
        <v>21</v>
      </c>
      <c r="L443" s="2" t="s">
        <v>30</v>
      </c>
    </row>
    <row r="444" spans="1:12" ht="14.25" customHeight="1" x14ac:dyDescent="0.5">
      <c r="A444" s="2" t="s">
        <v>1483</v>
      </c>
      <c r="B444" s="2" t="s">
        <v>145</v>
      </c>
      <c r="C444" s="2" t="s">
        <v>25</v>
      </c>
      <c r="D444" s="2" t="s">
        <v>34</v>
      </c>
      <c r="E444" s="3">
        <v>45155</v>
      </c>
      <c r="F444" s="2" t="s">
        <v>1484</v>
      </c>
      <c r="G444" s="2" t="s">
        <v>83</v>
      </c>
      <c r="H444" s="2" t="s">
        <v>18</v>
      </c>
      <c r="I444" s="2" t="s">
        <v>19</v>
      </c>
      <c r="J444" s="2" t="s">
        <v>1485</v>
      </c>
      <c r="K444" s="2" t="s">
        <v>53</v>
      </c>
      <c r="L444" s="2" t="s">
        <v>30</v>
      </c>
    </row>
    <row r="445" spans="1:12" ht="14.25" customHeight="1" x14ac:dyDescent="0.5">
      <c r="A445" s="2" t="s">
        <v>1486</v>
      </c>
      <c r="B445" s="2" t="s">
        <v>32</v>
      </c>
      <c r="C445" s="2" t="s">
        <v>49</v>
      </c>
      <c r="D445" s="2" t="s">
        <v>69</v>
      </c>
      <c r="E445" s="3">
        <v>44432</v>
      </c>
      <c r="F445" s="2" t="s">
        <v>1487</v>
      </c>
      <c r="G445" s="2" t="s">
        <v>44</v>
      </c>
      <c r="H445" s="2" t="s">
        <v>45</v>
      </c>
      <c r="I445" s="2" t="s">
        <v>77</v>
      </c>
      <c r="J445" s="2" t="s">
        <v>1488</v>
      </c>
      <c r="K445" s="2" t="s">
        <v>21</v>
      </c>
      <c r="L445" s="2" t="s">
        <v>85</v>
      </c>
    </row>
    <row r="446" spans="1:12" ht="14.25" customHeight="1" x14ac:dyDescent="0.5">
      <c r="A446" s="2" t="s">
        <v>1489</v>
      </c>
      <c r="B446" s="2" t="s">
        <v>73</v>
      </c>
      <c r="C446" s="2" t="s">
        <v>74</v>
      </c>
      <c r="D446" s="2" t="s">
        <v>69</v>
      </c>
      <c r="E446" s="3">
        <v>43933</v>
      </c>
      <c r="F446" s="2" t="s">
        <v>1490</v>
      </c>
      <c r="G446" s="2" t="s">
        <v>83</v>
      </c>
      <c r="H446" s="2" t="s">
        <v>27</v>
      </c>
      <c r="I446" s="2" t="s">
        <v>65</v>
      </c>
      <c r="J446" s="2" t="s">
        <v>1491</v>
      </c>
      <c r="K446" s="2" t="s">
        <v>53</v>
      </c>
      <c r="L446" s="2" t="s">
        <v>22</v>
      </c>
    </row>
    <row r="447" spans="1:12" ht="14.25" customHeight="1" x14ac:dyDescent="0.5">
      <c r="A447" s="2" t="s">
        <v>1492</v>
      </c>
      <c r="B447" s="2" t="s">
        <v>133</v>
      </c>
      <c r="C447" s="2" t="s">
        <v>235</v>
      </c>
      <c r="D447" s="2" t="s">
        <v>50</v>
      </c>
      <c r="E447" s="3">
        <v>44818</v>
      </c>
      <c r="F447" s="2" t="s">
        <v>1493</v>
      </c>
      <c r="G447" s="2" t="s">
        <v>83</v>
      </c>
      <c r="H447" s="2" t="s">
        <v>45</v>
      </c>
      <c r="I447" s="2" t="s">
        <v>28</v>
      </c>
      <c r="J447" s="2" t="s">
        <v>1494</v>
      </c>
      <c r="K447" s="2" t="s">
        <v>79</v>
      </c>
      <c r="L447" s="2" t="s">
        <v>39</v>
      </c>
    </row>
    <row r="448" spans="1:12" ht="14.25" customHeight="1" x14ac:dyDescent="0.5">
      <c r="A448" s="2" t="s">
        <v>1495</v>
      </c>
      <c r="B448" s="2" t="s">
        <v>275</v>
      </c>
      <c r="C448" s="2" t="s">
        <v>99</v>
      </c>
      <c r="D448" s="2" t="s">
        <v>69</v>
      </c>
      <c r="E448" s="3">
        <v>45104</v>
      </c>
      <c r="F448" s="2" t="s">
        <v>1496</v>
      </c>
      <c r="G448" s="2" t="s">
        <v>17</v>
      </c>
      <c r="H448" s="2" t="s">
        <v>27</v>
      </c>
      <c r="I448" s="2" t="s">
        <v>77</v>
      </c>
      <c r="J448" s="2" t="s">
        <v>1497</v>
      </c>
      <c r="K448" s="2" t="s">
        <v>159</v>
      </c>
      <c r="L448" s="2" t="s">
        <v>39</v>
      </c>
    </row>
    <row r="449" spans="1:12" ht="14.25" customHeight="1" x14ac:dyDescent="0.5">
      <c r="A449" s="2" t="s">
        <v>1498</v>
      </c>
      <c r="B449" s="2" t="s">
        <v>98</v>
      </c>
      <c r="C449" s="2" t="s">
        <v>49</v>
      </c>
      <c r="D449" s="2" t="s">
        <v>69</v>
      </c>
      <c r="E449" s="3">
        <v>45307</v>
      </c>
      <c r="F449" s="2" t="s">
        <v>1499</v>
      </c>
      <c r="G449" s="2" t="s">
        <v>17</v>
      </c>
      <c r="H449" s="2" t="s">
        <v>27</v>
      </c>
      <c r="I449" s="2" t="s">
        <v>107</v>
      </c>
      <c r="J449" s="2" t="s">
        <v>1500</v>
      </c>
      <c r="K449" s="2" t="s">
        <v>38</v>
      </c>
      <c r="L449" s="2" t="s">
        <v>85</v>
      </c>
    </row>
    <row r="450" spans="1:12" ht="14.25" customHeight="1" x14ac:dyDescent="0.5">
      <c r="A450" s="2" t="s">
        <v>1501</v>
      </c>
      <c r="B450" s="2" t="s">
        <v>245</v>
      </c>
      <c r="C450" s="2" t="s">
        <v>49</v>
      </c>
      <c r="D450" s="2" t="s">
        <v>69</v>
      </c>
      <c r="E450" s="3">
        <v>44350</v>
      </c>
      <c r="F450" s="2" t="s">
        <v>1502</v>
      </c>
      <c r="G450" s="2" t="s">
        <v>57</v>
      </c>
      <c r="H450" s="2" t="s">
        <v>45</v>
      </c>
      <c r="I450" s="2" t="s">
        <v>28</v>
      </c>
      <c r="J450" s="2" t="s">
        <v>1503</v>
      </c>
      <c r="K450" s="2" t="s">
        <v>38</v>
      </c>
      <c r="L450" s="2" t="s">
        <v>85</v>
      </c>
    </row>
    <row r="451" spans="1:12" ht="14.25" customHeight="1" x14ac:dyDescent="0.5">
      <c r="A451" s="2" t="s">
        <v>1504</v>
      </c>
      <c r="B451" s="2" t="s">
        <v>405</v>
      </c>
      <c r="C451" s="2" t="s">
        <v>14</v>
      </c>
      <c r="D451" s="2" t="s">
        <v>15</v>
      </c>
      <c r="E451" s="3">
        <v>45007</v>
      </c>
      <c r="F451" s="2" t="s">
        <v>1505</v>
      </c>
      <c r="G451" s="2" t="s">
        <v>36</v>
      </c>
      <c r="H451" s="2" t="s">
        <v>64</v>
      </c>
      <c r="I451" s="2" t="s">
        <v>77</v>
      </c>
      <c r="J451" s="2" t="s">
        <v>1506</v>
      </c>
      <c r="K451" s="2" t="s">
        <v>21</v>
      </c>
      <c r="L451" s="2" t="s">
        <v>30</v>
      </c>
    </row>
    <row r="452" spans="1:12" ht="14.25" customHeight="1" x14ac:dyDescent="0.5">
      <c r="A452" s="2" t="s">
        <v>1507</v>
      </c>
      <c r="B452" s="2" t="s">
        <v>156</v>
      </c>
      <c r="C452" s="2" t="s">
        <v>235</v>
      </c>
      <c r="D452" s="2" t="s">
        <v>34</v>
      </c>
      <c r="E452" s="3">
        <v>44689</v>
      </c>
      <c r="F452" s="2" t="s">
        <v>1508</v>
      </c>
      <c r="G452" s="2" t="s">
        <v>83</v>
      </c>
      <c r="H452" s="2" t="s">
        <v>58</v>
      </c>
      <c r="I452" s="2" t="s">
        <v>65</v>
      </c>
      <c r="J452" s="2" t="s">
        <v>1509</v>
      </c>
      <c r="K452" s="2" t="s">
        <v>79</v>
      </c>
      <c r="L452" s="2" t="s">
        <v>85</v>
      </c>
    </row>
    <row r="453" spans="1:12" ht="14.25" customHeight="1" x14ac:dyDescent="0.5">
      <c r="A453" s="2" t="s">
        <v>1510</v>
      </c>
      <c r="B453" s="2" t="s">
        <v>1252</v>
      </c>
      <c r="C453" s="2" t="s">
        <v>25</v>
      </c>
      <c r="D453" s="2" t="s">
        <v>75</v>
      </c>
      <c r="E453" s="3">
        <v>44004</v>
      </c>
      <c r="F453" s="2" t="s">
        <v>1511</v>
      </c>
      <c r="G453" s="2" t="s">
        <v>36</v>
      </c>
      <c r="H453" s="2" t="s">
        <v>45</v>
      </c>
      <c r="I453" s="2" t="s">
        <v>19</v>
      </c>
      <c r="J453" s="2" t="s">
        <v>1512</v>
      </c>
      <c r="K453" s="2" t="s">
        <v>159</v>
      </c>
      <c r="L453" s="2" t="s">
        <v>30</v>
      </c>
    </row>
    <row r="454" spans="1:12" ht="14.25" customHeight="1" x14ac:dyDescent="0.5">
      <c r="A454" s="2" t="s">
        <v>1513</v>
      </c>
      <c r="B454" s="2" t="s">
        <v>588</v>
      </c>
      <c r="C454" s="2" t="s">
        <v>105</v>
      </c>
      <c r="D454" s="2" t="s">
        <v>34</v>
      </c>
      <c r="E454" s="3">
        <v>45197</v>
      </c>
      <c r="F454" s="2" t="s">
        <v>1514</v>
      </c>
      <c r="G454" s="2" t="s">
        <v>57</v>
      </c>
      <c r="H454" s="2" t="s">
        <v>112</v>
      </c>
      <c r="I454" s="2" t="s">
        <v>28</v>
      </c>
      <c r="J454" s="2" t="s">
        <v>1515</v>
      </c>
      <c r="K454" s="2" t="s">
        <v>38</v>
      </c>
      <c r="L454" s="2" t="s">
        <v>22</v>
      </c>
    </row>
    <row r="455" spans="1:12" ht="14.25" customHeight="1" x14ac:dyDescent="0.5">
      <c r="A455" s="2" t="s">
        <v>1516</v>
      </c>
      <c r="B455" s="2" t="s">
        <v>137</v>
      </c>
      <c r="C455" s="2" t="s">
        <v>74</v>
      </c>
      <c r="D455" s="2" t="s">
        <v>50</v>
      </c>
      <c r="E455" s="3">
        <v>44835</v>
      </c>
      <c r="F455" s="2" t="s">
        <v>1517</v>
      </c>
      <c r="G455" s="2" t="s">
        <v>83</v>
      </c>
      <c r="H455" s="2" t="s">
        <v>64</v>
      </c>
      <c r="I455" s="2" t="s">
        <v>65</v>
      </c>
      <c r="J455" s="2" t="s">
        <v>1518</v>
      </c>
      <c r="K455" s="2" t="s">
        <v>60</v>
      </c>
      <c r="L455" s="2" t="s">
        <v>85</v>
      </c>
    </row>
    <row r="456" spans="1:12" ht="14.25" customHeight="1" x14ac:dyDescent="0.5">
      <c r="A456" s="2" t="s">
        <v>1519</v>
      </c>
      <c r="B456" s="2" t="s">
        <v>492</v>
      </c>
      <c r="C456" s="2" t="s">
        <v>105</v>
      </c>
      <c r="D456" s="2" t="s">
        <v>69</v>
      </c>
      <c r="E456" s="3">
        <v>44261</v>
      </c>
      <c r="F456" s="2" t="s">
        <v>1520</v>
      </c>
      <c r="G456" s="2" t="s">
        <v>83</v>
      </c>
      <c r="H456" s="2" t="s">
        <v>64</v>
      </c>
      <c r="J456" s="2" t="s">
        <v>1521</v>
      </c>
      <c r="K456" s="2" t="s">
        <v>47</v>
      </c>
      <c r="L456" s="2" t="s">
        <v>39</v>
      </c>
    </row>
    <row r="457" spans="1:12" ht="14.25" customHeight="1" x14ac:dyDescent="0.5">
      <c r="A457" s="2" t="s">
        <v>1522</v>
      </c>
      <c r="B457" s="2" t="s">
        <v>502</v>
      </c>
      <c r="C457" s="2" t="s">
        <v>25</v>
      </c>
      <c r="D457" s="2" t="s">
        <v>34</v>
      </c>
      <c r="E457" s="3">
        <v>44557</v>
      </c>
      <c r="F457" s="2" t="s">
        <v>1523</v>
      </c>
      <c r="G457" s="2" t="s">
        <v>36</v>
      </c>
      <c r="H457" s="2" t="s">
        <v>112</v>
      </c>
      <c r="I457" s="2" t="s">
        <v>107</v>
      </c>
      <c r="J457" s="2" t="s">
        <v>1524</v>
      </c>
      <c r="K457" s="2" t="s">
        <v>47</v>
      </c>
      <c r="L457" s="2" t="s">
        <v>39</v>
      </c>
    </row>
    <row r="458" spans="1:12" ht="14.25" customHeight="1" x14ac:dyDescent="0.5">
      <c r="A458" s="2" t="s">
        <v>1525</v>
      </c>
      <c r="B458" s="2" t="s">
        <v>343</v>
      </c>
      <c r="C458" s="2" t="s">
        <v>25</v>
      </c>
      <c r="D458" s="2" t="s">
        <v>15</v>
      </c>
      <c r="E458" s="3">
        <v>44680</v>
      </c>
      <c r="F458" s="2" t="s">
        <v>1526</v>
      </c>
      <c r="G458" s="2" t="s">
        <v>44</v>
      </c>
      <c r="H458" s="2" t="s">
        <v>58</v>
      </c>
      <c r="I458" s="2" t="s">
        <v>28</v>
      </c>
      <c r="J458" s="2" t="s">
        <v>1527</v>
      </c>
      <c r="K458" s="2" t="s">
        <v>38</v>
      </c>
      <c r="L458" s="2" t="s">
        <v>85</v>
      </c>
    </row>
    <row r="459" spans="1:12" ht="14.25" customHeight="1" x14ac:dyDescent="0.5">
      <c r="A459" s="2" t="s">
        <v>1528</v>
      </c>
      <c r="B459" s="2" t="s">
        <v>315</v>
      </c>
      <c r="C459" s="2" t="s">
        <v>235</v>
      </c>
      <c r="D459" s="2" t="s">
        <v>50</v>
      </c>
      <c r="E459" s="3">
        <v>45178</v>
      </c>
      <c r="F459" s="2" t="s">
        <v>1529</v>
      </c>
      <c r="G459" s="2" t="s">
        <v>17</v>
      </c>
      <c r="H459" s="2" t="s">
        <v>64</v>
      </c>
      <c r="I459" s="2" t="s">
        <v>19</v>
      </c>
      <c r="J459" s="2" t="s">
        <v>1530</v>
      </c>
      <c r="K459" s="2" t="s">
        <v>159</v>
      </c>
      <c r="L459" s="2" t="s">
        <v>30</v>
      </c>
    </row>
    <row r="460" spans="1:12" ht="14.25" customHeight="1" x14ac:dyDescent="0.5">
      <c r="A460" s="2" t="s">
        <v>1531</v>
      </c>
      <c r="B460" s="2" t="s">
        <v>762</v>
      </c>
      <c r="C460" s="2" t="s">
        <v>25</v>
      </c>
      <c r="D460" s="2" t="s">
        <v>100</v>
      </c>
      <c r="E460" s="3">
        <v>44820</v>
      </c>
      <c r="F460" s="2" t="s">
        <v>1532</v>
      </c>
      <c r="G460" s="2" t="s">
        <v>44</v>
      </c>
      <c r="H460" s="2" t="s">
        <v>27</v>
      </c>
      <c r="J460" s="2" t="s">
        <v>1533</v>
      </c>
      <c r="K460" s="2" t="s">
        <v>96</v>
      </c>
      <c r="L460" s="2" t="s">
        <v>39</v>
      </c>
    </row>
    <row r="461" spans="1:12" ht="14.25" customHeight="1" x14ac:dyDescent="0.5">
      <c r="A461" s="2" t="s">
        <v>1534</v>
      </c>
      <c r="B461" s="2" t="s">
        <v>482</v>
      </c>
      <c r="C461" s="2" t="s">
        <v>14</v>
      </c>
      <c r="D461" s="2" t="s">
        <v>34</v>
      </c>
      <c r="E461" s="3">
        <v>44469</v>
      </c>
      <c r="F461" s="2" t="s">
        <v>1535</v>
      </c>
      <c r="G461" s="2" t="s">
        <v>36</v>
      </c>
      <c r="H461" s="2" t="s">
        <v>121</v>
      </c>
      <c r="I461" s="2" t="s">
        <v>65</v>
      </c>
      <c r="J461" s="2" t="s">
        <v>1536</v>
      </c>
      <c r="K461" s="2" t="s">
        <v>38</v>
      </c>
      <c r="L461" s="2" t="s">
        <v>30</v>
      </c>
    </row>
    <row r="462" spans="1:12" ht="14.25" customHeight="1" x14ac:dyDescent="0.5">
      <c r="A462" s="2" t="s">
        <v>1537</v>
      </c>
      <c r="B462" s="2" t="s">
        <v>720</v>
      </c>
      <c r="C462" s="2" t="s">
        <v>99</v>
      </c>
      <c r="D462" s="2" t="s">
        <v>100</v>
      </c>
      <c r="E462" s="3">
        <v>44250</v>
      </c>
      <c r="F462" s="2" t="s">
        <v>1538</v>
      </c>
      <c r="G462" s="2" t="s">
        <v>17</v>
      </c>
      <c r="H462" s="2" t="s">
        <v>58</v>
      </c>
      <c r="I462" s="2" t="s">
        <v>107</v>
      </c>
      <c r="J462" s="2" t="s">
        <v>1539</v>
      </c>
      <c r="K462" s="2" t="s">
        <v>96</v>
      </c>
      <c r="L462" s="2" t="s">
        <v>85</v>
      </c>
    </row>
    <row r="463" spans="1:12" ht="14.25" customHeight="1" x14ac:dyDescent="0.5">
      <c r="A463" s="2" t="s">
        <v>1540</v>
      </c>
      <c r="B463" s="2" t="s">
        <v>336</v>
      </c>
      <c r="C463" s="2" t="s">
        <v>25</v>
      </c>
      <c r="D463" s="2" t="s">
        <v>69</v>
      </c>
      <c r="E463" s="3">
        <v>44424</v>
      </c>
      <c r="F463" s="2" t="s">
        <v>1541</v>
      </c>
      <c r="G463" s="2" t="s">
        <v>44</v>
      </c>
      <c r="H463" s="2" t="s">
        <v>89</v>
      </c>
      <c r="I463" s="2" t="s">
        <v>19</v>
      </c>
      <c r="J463" s="2" t="s">
        <v>1542</v>
      </c>
      <c r="K463" s="2" t="s">
        <v>96</v>
      </c>
      <c r="L463" s="2" t="s">
        <v>85</v>
      </c>
    </row>
    <row r="464" spans="1:12" ht="14.25" customHeight="1" x14ac:dyDescent="0.5">
      <c r="A464" s="2" t="s">
        <v>1543</v>
      </c>
      <c r="B464" s="2" t="s">
        <v>141</v>
      </c>
      <c r="C464" s="2" t="s">
        <v>105</v>
      </c>
      <c r="D464" s="2" t="s">
        <v>15</v>
      </c>
      <c r="E464" s="3">
        <v>44315</v>
      </c>
      <c r="F464" s="2" t="s">
        <v>1544</v>
      </c>
      <c r="G464" s="2" t="s">
        <v>17</v>
      </c>
      <c r="H464" s="2" t="s">
        <v>112</v>
      </c>
      <c r="I464" s="2" t="s">
        <v>65</v>
      </c>
      <c r="J464" s="2" t="s">
        <v>1545</v>
      </c>
      <c r="K464" s="2" t="s">
        <v>53</v>
      </c>
      <c r="L464" s="2" t="s">
        <v>39</v>
      </c>
    </row>
    <row r="465" spans="1:12" ht="14.25" customHeight="1" x14ac:dyDescent="0.5">
      <c r="A465" s="2" t="s">
        <v>1546</v>
      </c>
      <c r="B465" s="2" t="s">
        <v>73</v>
      </c>
      <c r="C465" s="2" t="s">
        <v>25</v>
      </c>
      <c r="D465" s="2" t="s">
        <v>15</v>
      </c>
      <c r="E465" s="3">
        <v>44242</v>
      </c>
      <c r="F465" s="2" t="s">
        <v>1547</v>
      </c>
      <c r="G465" s="2" t="s">
        <v>83</v>
      </c>
      <c r="H465" s="2" t="s">
        <v>58</v>
      </c>
      <c r="I465" s="2" t="s">
        <v>65</v>
      </c>
      <c r="J465" s="2" t="s">
        <v>1548</v>
      </c>
      <c r="K465" s="2" t="s">
        <v>53</v>
      </c>
      <c r="L465" s="2" t="s">
        <v>85</v>
      </c>
    </row>
    <row r="466" spans="1:12" ht="14.25" customHeight="1" x14ac:dyDescent="0.5">
      <c r="A466" s="2" t="s">
        <v>1549</v>
      </c>
      <c r="B466" s="2" t="s">
        <v>453</v>
      </c>
      <c r="C466" s="2" t="s">
        <v>14</v>
      </c>
      <c r="D466" s="2" t="s">
        <v>34</v>
      </c>
      <c r="E466" s="3">
        <v>44766</v>
      </c>
      <c r="F466" s="2" t="s">
        <v>1550</v>
      </c>
      <c r="G466" s="2" t="s">
        <v>44</v>
      </c>
      <c r="H466" s="2" t="s">
        <v>45</v>
      </c>
      <c r="I466" s="2" t="s">
        <v>28</v>
      </c>
      <c r="J466" s="2" t="s">
        <v>1551</v>
      </c>
      <c r="K466" s="2" t="s">
        <v>159</v>
      </c>
      <c r="L466" s="2" t="s">
        <v>22</v>
      </c>
    </row>
    <row r="467" spans="1:12" ht="14.25" customHeight="1" x14ac:dyDescent="0.5">
      <c r="A467" s="2" t="s">
        <v>1552</v>
      </c>
      <c r="B467" s="2" t="s">
        <v>62</v>
      </c>
      <c r="C467" s="2" t="s">
        <v>93</v>
      </c>
      <c r="D467" s="2" t="s">
        <v>50</v>
      </c>
      <c r="E467" s="3">
        <v>44938</v>
      </c>
      <c r="F467" s="2" t="s">
        <v>1553</v>
      </c>
      <c r="G467" s="2" t="s">
        <v>17</v>
      </c>
      <c r="H467" s="2" t="s">
        <v>121</v>
      </c>
      <c r="I467" s="2" t="s">
        <v>28</v>
      </c>
      <c r="J467" s="2" t="s">
        <v>1554</v>
      </c>
      <c r="K467" s="2" t="s">
        <v>96</v>
      </c>
      <c r="L467" s="2" t="s">
        <v>22</v>
      </c>
    </row>
    <row r="468" spans="1:12" ht="14.25" customHeight="1" x14ac:dyDescent="0.5">
      <c r="A468" s="2" t="s">
        <v>1555</v>
      </c>
      <c r="B468" s="2" t="s">
        <v>425</v>
      </c>
      <c r="C468" s="2" t="s">
        <v>93</v>
      </c>
      <c r="D468" s="2" t="s">
        <v>50</v>
      </c>
      <c r="E468" s="3">
        <v>44967</v>
      </c>
      <c r="F468" s="2" t="s">
        <v>1556</v>
      </c>
      <c r="G468" s="2" t="s">
        <v>17</v>
      </c>
      <c r="H468" s="2" t="s">
        <v>58</v>
      </c>
      <c r="I468" s="2" t="s">
        <v>19</v>
      </c>
      <c r="J468" s="2" t="s">
        <v>1557</v>
      </c>
      <c r="K468" s="2" t="s">
        <v>60</v>
      </c>
      <c r="L468" s="2" t="s">
        <v>39</v>
      </c>
    </row>
    <row r="469" spans="1:12" ht="14.25" customHeight="1" x14ac:dyDescent="0.5">
      <c r="A469" s="2" t="s">
        <v>1558</v>
      </c>
      <c r="B469" s="2" t="s">
        <v>601</v>
      </c>
      <c r="C469" s="2" t="s">
        <v>49</v>
      </c>
      <c r="D469" s="2" t="s">
        <v>15</v>
      </c>
      <c r="E469" s="3">
        <v>44162</v>
      </c>
      <c r="F469" s="2" t="s">
        <v>1559</v>
      </c>
      <c r="G469" s="2" t="s">
        <v>17</v>
      </c>
      <c r="H469" s="2" t="s">
        <v>27</v>
      </c>
      <c r="I469" s="2" t="s">
        <v>77</v>
      </c>
      <c r="J469" s="2" t="s">
        <v>1560</v>
      </c>
      <c r="K469" s="2" t="s">
        <v>159</v>
      </c>
      <c r="L469" s="2" t="s">
        <v>22</v>
      </c>
    </row>
    <row r="470" spans="1:12" ht="14.25" customHeight="1" x14ac:dyDescent="0.5">
      <c r="A470" s="2" t="s">
        <v>1561</v>
      </c>
      <c r="B470" s="2" t="s">
        <v>98</v>
      </c>
      <c r="C470" s="2" t="s">
        <v>74</v>
      </c>
      <c r="D470" s="2" t="s">
        <v>50</v>
      </c>
      <c r="E470" s="3">
        <v>45232</v>
      </c>
      <c r="F470" s="2" t="s">
        <v>1562</v>
      </c>
      <c r="G470" s="2" t="s">
        <v>44</v>
      </c>
      <c r="H470" s="2" t="s">
        <v>121</v>
      </c>
      <c r="I470" s="2" t="s">
        <v>77</v>
      </c>
      <c r="J470" s="2" t="s">
        <v>1563</v>
      </c>
      <c r="K470" s="2" t="s">
        <v>38</v>
      </c>
      <c r="L470" s="2" t="s">
        <v>30</v>
      </c>
    </row>
    <row r="471" spans="1:12" ht="14.25" customHeight="1" x14ac:dyDescent="0.5">
      <c r="A471" s="2" t="s">
        <v>1564</v>
      </c>
      <c r="B471" s="2" t="s">
        <v>889</v>
      </c>
      <c r="C471" s="2" t="s">
        <v>33</v>
      </c>
      <c r="D471" s="2" t="s">
        <v>15</v>
      </c>
      <c r="E471" s="3">
        <v>44485</v>
      </c>
      <c r="F471" s="2" t="s">
        <v>1565</v>
      </c>
      <c r="G471" s="2" t="s">
        <v>57</v>
      </c>
      <c r="H471" s="2" t="s">
        <v>45</v>
      </c>
      <c r="I471" s="2" t="s">
        <v>65</v>
      </c>
      <c r="J471" s="2" t="s">
        <v>1566</v>
      </c>
      <c r="K471" s="2" t="s">
        <v>21</v>
      </c>
      <c r="L471" s="2" t="s">
        <v>39</v>
      </c>
    </row>
    <row r="472" spans="1:12" ht="14.25" customHeight="1" x14ac:dyDescent="0.5">
      <c r="A472" s="2" t="s">
        <v>1567</v>
      </c>
      <c r="B472" s="2" t="s">
        <v>198</v>
      </c>
      <c r="C472" s="2" t="s">
        <v>99</v>
      </c>
      <c r="D472" s="2" t="s">
        <v>34</v>
      </c>
      <c r="E472" s="3">
        <v>43871</v>
      </c>
      <c r="F472" s="2" t="s">
        <v>1568</v>
      </c>
      <c r="G472" s="2" t="s">
        <v>44</v>
      </c>
      <c r="H472" s="2" t="s">
        <v>18</v>
      </c>
      <c r="I472" s="2" t="s">
        <v>28</v>
      </c>
      <c r="J472" s="2" t="s">
        <v>1569</v>
      </c>
      <c r="K472" s="2" t="s">
        <v>60</v>
      </c>
      <c r="L472" s="2" t="s">
        <v>39</v>
      </c>
    </row>
    <row r="473" spans="1:12" ht="14.25" customHeight="1" x14ac:dyDescent="0.5">
      <c r="A473" s="2" t="s">
        <v>1570</v>
      </c>
      <c r="B473" s="2" t="s">
        <v>221</v>
      </c>
      <c r="C473" s="2" t="s">
        <v>125</v>
      </c>
      <c r="D473" s="2" t="s">
        <v>75</v>
      </c>
      <c r="E473" s="3">
        <v>44789</v>
      </c>
      <c r="F473" s="2" t="s">
        <v>1571</v>
      </c>
      <c r="G473" s="2" t="s">
        <v>36</v>
      </c>
      <c r="H473" s="2" t="s">
        <v>112</v>
      </c>
      <c r="I473" s="2" t="s">
        <v>107</v>
      </c>
      <c r="J473" s="2" t="s">
        <v>1572</v>
      </c>
      <c r="K473" s="2" t="s">
        <v>79</v>
      </c>
      <c r="L473" s="2" t="s">
        <v>30</v>
      </c>
    </row>
    <row r="474" spans="1:12" ht="14.25" customHeight="1" x14ac:dyDescent="0.5">
      <c r="A474" s="2" t="s">
        <v>1573</v>
      </c>
      <c r="B474" s="2" t="s">
        <v>41</v>
      </c>
      <c r="C474" s="2" t="s">
        <v>49</v>
      </c>
      <c r="D474" s="2" t="s">
        <v>15</v>
      </c>
      <c r="E474" s="3">
        <v>43935</v>
      </c>
      <c r="F474" s="2" t="s">
        <v>1574</v>
      </c>
      <c r="G474" s="2" t="s">
        <v>44</v>
      </c>
      <c r="H474" s="2" t="s">
        <v>121</v>
      </c>
      <c r="I474" s="2" t="s">
        <v>107</v>
      </c>
      <c r="J474" s="2" t="s">
        <v>1575</v>
      </c>
      <c r="K474" s="2" t="s">
        <v>47</v>
      </c>
      <c r="L474" s="2" t="s">
        <v>22</v>
      </c>
    </row>
    <row r="475" spans="1:12" ht="14.25" customHeight="1" x14ac:dyDescent="0.5">
      <c r="A475" s="2" t="s">
        <v>1576</v>
      </c>
      <c r="B475" s="2" t="s">
        <v>308</v>
      </c>
      <c r="C475" s="2" t="s">
        <v>74</v>
      </c>
      <c r="D475" s="2" t="s">
        <v>100</v>
      </c>
      <c r="E475" s="3">
        <v>44032</v>
      </c>
      <c r="F475" s="2" t="s">
        <v>1577</v>
      </c>
      <c r="G475" s="2" t="s">
        <v>17</v>
      </c>
      <c r="H475" s="2" t="s">
        <v>112</v>
      </c>
      <c r="I475" s="2" t="s">
        <v>65</v>
      </c>
      <c r="J475" s="2" t="s">
        <v>1578</v>
      </c>
      <c r="K475" s="2" t="s">
        <v>38</v>
      </c>
      <c r="L475" s="2" t="s">
        <v>22</v>
      </c>
    </row>
    <row r="476" spans="1:12" ht="14.25" customHeight="1" x14ac:dyDescent="0.5">
      <c r="A476" s="2" t="s">
        <v>1579</v>
      </c>
      <c r="B476" s="2" t="s">
        <v>264</v>
      </c>
      <c r="C476" s="2" t="s">
        <v>93</v>
      </c>
      <c r="D476" s="2" t="s">
        <v>50</v>
      </c>
      <c r="E476" s="3">
        <v>44280</v>
      </c>
      <c r="F476" s="2" t="s">
        <v>1580</v>
      </c>
      <c r="G476" s="2" t="s">
        <v>83</v>
      </c>
      <c r="H476" s="2" t="s">
        <v>58</v>
      </c>
      <c r="I476" s="2" t="s">
        <v>28</v>
      </c>
      <c r="J476" s="2" t="s">
        <v>1581</v>
      </c>
      <c r="K476" s="2" t="s">
        <v>38</v>
      </c>
      <c r="L476" s="2" t="s">
        <v>22</v>
      </c>
    </row>
    <row r="477" spans="1:12" ht="14.25" customHeight="1" x14ac:dyDescent="0.5">
      <c r="A477" s="2" t="s">
        <v>1582</v>
      </c>
      <c r="B477" s="2" t="s">
        <v>1007</v>
      </c>
      <c r="C477" s="2" t="s">
        <v>105</v>
      </c>
      <c r="D477" s="2" t="s">
        <v>15</v>
      </c>
      <c r="E477" s="3">
        <v>45120</v>
      </c>
      <c r="F477" s="2" t="s">
        <v>1583</v>
      </c>
      <c r="G477" s="2" t="s">
        <v>44</v>
      </c>
      <c r="H477" s="2" t="s">
        <v>64</v>
      </c>
      <c r="I477" s="2" t="s">
        <v>19</v>
      </c>
      <c r="J477" s="2" t="s">
        <v>1584</v>
      </c>
      <c r="K477" s="2" t="s">
        <v>38</v>
      </c>
      <c r="L477" s="2" t="s">
        <v>39</v>
      </c>
    </row>
    <row r="478" spans="1:12" ht="14.25" customHeight="1" x14ac:dyDescent="0.5">
      <c r="A478" s="2" t="s">
        <v>1585</v>
      </c>
      <c r="B478" s="2" t="s">
        <v>202</v>
      </c>
      <c r="C478" s="2" t="s">
        <v>125</v>
      </c>
      <c r="D478" s="2" t="s">
        <v>15</v>
      </c>
      <c r="E478" s="3">
        <v>44740</v>
      </c>
      <c r="F478" s="2" t="s">
        <v>1586</v>
      </c>
      <c r="G478" s="2" t="s">
        <v>44</v>
      </c>
      <c r="H478" s="2" t="s">
        <v>45</v>
      </c>
      <c r="I478" s="2" t="s">
        <v>19</v>
      </c>
      <c r="J478" s="2" t="s">
        <v>1587</v>
      </c>
      <c r="K478" s="2" t="s">
        <v>60</v>
      </c>
      <c r="L478" s="2" t="s">
        <v>39</v>
      </c>
    </row>
    <row r="479" spans="1:12" ht="14.25" customHeight="1" x14ac:dyDescent="0.5">
      <c r="A479" s="2" t="s">
        <v>1588</v>
      </c>
      <c r="B479" s="2" t="s">
        <v>475</v>
      </c>
      <c r="C479" s="2" t="s">
        <v>74</v>
      </c>
      <c r="D479" s="2" t="s">
        <v>34</v>
      </c>
      <c r="E479" s="3">
        <v>44040</v>
      </c>
      <c r="F479" s="2" t="s">
        <v>1589</v>
      </c>
      <c r="G479" s="2" t="s">
        <v>17</v>
      </c>
      <c r="H479" s="2" t="s">
        <v>18</v>
      </c>
      <c r="I479" s="2" t="s">
        <v>19</v>
      </c>
      <c r="J479" s="2" t="s">
        <v>1590</v>
      </c>
      <c r="K479" s="2" t="s">
        <v>79</v>
      </c>
      <c r="L479" s="2" t="s">
        <v>22</v>
      </c>
    </row>
    <row r="480" spans="1:12" ht="14.25" customHeight="1" x14ac:dyDescent="0.5">
      <c r="A480" s="2" t="s">
        <v>1591</v>
      </c>
      <c r="B480" s="2" t="s">
        <v>304</v>
      </c>
      <c r="C480" s="2" t="s">
        <v>74</v>
      </c>
      <c r="D480" s="2" t="s">
        <v>50</v>
      </c>
      <c r="E480" s="3">
        <v>44393</v>
      </c>
      <c r="F480" s="2" t="s">
        <v>1592</v>
      </c>
      <c r="G480" s="2" t="s">
        <v>83</v>
      </c>
      <c r="H480" s="2" t="s">
        <v>45</v>
      </c>
      <c r="I480" s="2" t="s">
        <v>107</v>
      </c>
      <c r="J480" s="2" t="s">
        <v>1593</v>
      </c>
      <c r="K480" s="2" t="s">
        <v>21</v>
      </c>
      <c r="L480" s="2" t="s">
        <v>85</v>
      </c>
    </row>
    <row r="481" spans="1:12" ht="14.25" customHeight="1" x14ac:dyDescent="0.5">
      <c r="A481" s="2" t="s">
        <v>1594</v>
      </c>
      <c r="B481" s="2" t="s">
        <v>177</v>
      </c>
      <c r="C481" s="2" t="s">
        <v>49</v>
      </c>
      <c r="D481" s="2" t="s">
        <v>75</v>
      </c>
      <c r="E481" s="3">
        <v>44972</v>
      </c>
      <c r="F481" s="2" t="s">
        <v>1595</v>
      </c>
      <c r="G481" s="2" t="s">
        <v>83</v>
      </c>
      <c r="H481" s="2" t="s">
        <v>112</v>
      </c>
      <c r="I481" s="2" t="s">
        <v>28</v>
      </c>
      <c r="J481" s="2" t="s">
        <v>1596</v>
      </c>
      <c r="K481" s="2" t="s">
        <v>159</v>
      </c>
      <c r="L481" s="2" t="s">
        <v>22</v>
      </c>
    </row>
    <row r="482" spans="1:12" ht="14.25" customHeight="1" x14ac:dyDescent="0.5">
      <c r="A482" s="2" t="s">
        <v>1597</v>
      </c>
      <c r="B482" s="2" t="s">
        <v>98</v>
      </c>
      <c r="C482" s="2" t="s">
        <v>125</v>
      </c>
      <c r="D482" s="2" t="s">
        <v>34</v>
      </c>
      <c r="E482" s="3">
        <v>44543</v>
      </c>
      <c r="F482" s="2" t="s">
        <v>1598</v>
      </c>
      <c r="G482" s="2" t="s">
        <v>36</v>
      </c>
      <c r="H482" s="2" t="s">
        <v>45</v>
      </c>
      <c r="I482" s="2" t="s">
        <v>28</v>
      </c>
      <c r="J482" s="2" t="s">
        <v>1599</v>
      </c>
      <c r="K482" s="2" t="s">
        <v>53</v>
      </c>
      <c r="L482" s="2" t="s">
        <v>30</v>
      </c>
    </row>
    <row r="483" spans="1:12" ht="14.25" customHeight="1" x14ac:dyDescent="0.5">
      <c r="A483" s="2" t="s">
        <v>1600</v>
      </c>
      <c r="B483" s="2" t="s">
        <v>698</v>
      </c>
      <c r="C483" s="2" t="s">
        <v>235</v>
      </c>
      <c r="D483" s="2" t="s">
        <v>75</v>
      </c>
      <c r="E483" s="3">
        <v>45231</v>
      </c>
      <c r="F483" s="2" t="s">
        <v>1601</v>
      </c>
      <c r="G483" s="2" t="s">
        <v>44</v>
      </c>
      <c r="H483" s="2" t="s">
        <v>18</v>
      </c>
      <c r="I483" s="2" t="s">
        <v>107</v>
      </c>
      <c r="J483" s="2" t="s">
        <v>1602</v>
      </c>
      <c r="K483" s="2" t="s">
        <v>79</v>
      </c>
      <c r="L483" s="2" t="s">
        <v>39</v>
      </c>
    </row>
    <row r="484" spans="1:12" ht="14.25" customHeight="1" x14ac:dyDescent="0.5">
      <c r="A484" s="2" t="s">
        <v>1603</v>
      </c>
      <c r="B484" s="2" t="s">
        <v>293</v>
      </c>
      <c r="C484" s="2" t="s">
        <v>33</v>
      </c>
      <c r="D484" s="2" t="s">
        <v>34</v>
      </c>
      <c r="E484" s="3">
        <v>44601</v>
      </c>
      <c r="F484" s="2" t="s">
        <v>1604</v>
      </c>
      <c r="G484" s="2" t="s">
        <v>83</v>
      </c>
      <c r="H484" s="2" t="s">
        <v>64</v>
      </c>
      <c r="I484" s="2" t="s">
        <v>19</v>
      </c>
      <c r="J484" s="2" t="s">
        <v>1605</v>
      </c>
      <c r="K484" s="2" t="s">
        <v>60</v>
      </c>
      <c r="L484" s="2" t="s">
        <v>30</v>
      </c>
    </row>
    <row r="485" spans="1:12" ht="14.25" customHeight="1" x14ac:dyDescent="0.5">
      <c r="A485" s="2" t="s">
        <v>1606</v>
      </c>
      <c r="B485" s="2" t="s">
        <v>81</v>
      </c>
      <c r="C485" s="2" t="s">
        <v>235</v>
      </c>
      <c r="D485" s="2" t="s">
        <v>50</v>
      </c>
      <c r="E485" s="3">
        <v>44938</v>
      </c>
      <c r="F485" s="2" t="s">
        <v>1607</v>
      </c>
      <c r="G485" s="2" t="s">
        <v>83</v>
      </c>
      <c r="H485" s="2" t="s">
        <v>58</v>
      </c>
      <c r="I485" s="2" t="s">
        <v>19</v>
      </c>
      <c r="J485" s="2" t="s">
        <v>1608</v>
      </c>
      <c r="K485" s="2" t="s">
        <v>38</v>
      </c>
      <c r="L485" s="2" t="s">
        <v>30</v>
      </c>
    </row>
    <row r="486" spans="1:12" ht="14.25" customHeight="1" x14ac:dyDescent="0.5">
      <c r="A486" s="2" t="s">
        <v>1609</v>
      </c>
      <c r="B486" s="2" t="s">
        <v>145</v>
      </c>
      <c r="C486" s="2" t="s">
        <v>125</v>
      </c>
      <c r="D486" s="2" t="s">
        <v>42</v>
      </c>
      <c r="E486" s="3">
        <v>44284</v>
      </c>
      <c r="F486" s="2" t="s">
        <v>1610</v>
      </c>
      <c r="G486" s="2" t="s">
        <v>57</v>
      </c>
      <c r="H486" s="2" t="s">
        <v>27</v>
      </c>
      <c r="I486" s="2" t="s">
        <v>65</v>
      </c>
      <c r="J486" s="2" t="s">
        <v>1611</v>
      </c>
      <c r="K486" s="2" t="s">
        <v>47</v>
      </c>
      <c r="L486" s="2" t="s">
        <v>39</v>
      </c>
    </row>
    <row r="487" spans="1:12" ht="14.25" customHeight="1" x14ac:dyDescent="0.5">
      <c r="A487" s="2" t="s">
        <v>1612</v>
      </c>
      <c r="B487" s="2" t="s">
        <v>740</v>
      </c>
      <c r="C487" s="2" t="s">
        <v>235</v>
      </c>
      <c r="D487" s="2" t="s">
        <v>50</v>
      </c>
      <c r="E487" s="3">
        <v>44497</v>
      </c>
      <c r="F487" s="2" t="s">
        <v>1613</v>
      </c>
      <c r="G487" s="2" t="s">
        <v>57</v>
      </c>
      <c r="H487" s="2" t="s">
        <v>45</v>
      </c>
      <c r="I487" s="2" t="s">
        <v>77</v>
      </c>
      <c r="J487" s="2" t="s">
        <v>1614</v>
      </c>
      <c r="K487" s="2" t="s">
        <v>38</v>
      </c>
      <c r="L487" s="2" t="s">
        <v>85</v>
      </c>
    </row>
    <row r="488" spans="1:12" ht="14.25" customHeight="1" x14ac:dyDescent="0.5">
      <c r="A488" s="2" t="s">
        <v>1615</v>
      </c>
      <c r="B488" s="2" t="s">
        <v>555</v>
      </c>
      <c r="C488" s="2" t="s">
        <v>14</v>
      </c>
      <c r="D488" s="2" t="s">
        <v>50</v>
      </c>
      <c r="E488" s="3">
        <v>44459</v>
      </c>
      <c r="F488" s="2" t="s">
        <v>1616</v>
      </c>
      <c r="G488" s="2" t="s">
        <v>83</v>
      </c>
      <c r="H488" s="2" t="s">
        <v>121</v>
      </c>
      <c r="J488" s="2" t="s">
        <v>1617</v>
      </c>
      <c r="K488" s="2" t="s">
        <v>159</v>
      </c>
      <c r="L488" s="2" t="s">
        <v>22</v>
      </c>
    </row>
    <row r="489" spans="1:12" ht="14.25" customHeight="1" x14ac:dyDescent="0.5">
      <c r="A489" s="2" t="s">
        <v>1618</v>
      </c>
      <c r="B489" s="2" t="s">
        <v>55</v>
      </c>
      <c r="C489" s="2" t="s">
        <v>93</v>
      </c>
      <c r="D489" s="2" t="s">
        <v>75</v>
      </c>
      <c r="E489" s="3">
        <v>44217</v>
      </c>
      <c r="F489" s="2" t="s">
        <v>1619</v>
      </c>
      <c r="G489" s="2" t="s">
        <v>36</v>
      </c>
      <c r="H489" s="2" t="s">
        <v>27</v>
      </c>
      <c r="I489" s="2" t="s">
        <v>77</v>
      </c>
      <c r="J489" s="2" t="s">
        <v>1620</v>
      </c>
      <c r="K489" s="2" t="s">
        <v>96</v>
      </c>
      <c r="L489" s="2" t="s">
        <v>30</v>
      </c>
    </row>
    <row r="490" spans="1:12" ht="14.25" customHeight="1" x14ac:dyDescent="0.5">
      <c r="A490" s="2" t="s">
        <v>1621</v>
      </c>
      <c r="B490" s="2" t="s">
        <v>55</v>
      </c>
      <c r="C490" s="2" t="s">
        <v>14</v>
      </c>
      <c r="D490" s="2" t="s">
        <v>75</v>
      </c>
      <c r="E490" s="3">
        <v>45204</v>
      </c>
      <c r="F490" s="2" t="s">
        <v>1622</v>
      </c>
      <c r="G490" s="2" t="s">
        <v>83</v>
      </c>
      <c r="H490" s="2" t="s">
        <v>112</v>
      </c>
      <c r="I490" s="2" t="s">
        <v>28</v>
      </c>
      <c r="J490" s="2" t="s">
        <v>1623</v>
      </c>
      <c r="K490" s="2" t="s">
        <v>47</v>
      </c>
      <c r="L490" s="2" t="s">
        <v>39</v>
      </c>
    </row>
    <row r="491" spans="1:12" ht="14.25" customHeight="1" x14ac:dyDescent="0.5">
      <c r="A491" s="2" t="s">
        <v>1624</v>
      </c>
      <c r="B491" s="2" t="s">
        <v>24</v>
      </c>
      <c r="C491" s="2" t="s">
        <v>25</v>
      </c>
      <c r="D491" s="2" t="s">
        <v>50</v>
      </c>
      <c r="E491" s="3">
        <v>44126</v>
      </c>
      <c r="F491" s="2" t="s">
        <v>1625</v>
      </c>
      <c r="G491" s="2" t="s">
        <v>17</v>
      </c>
      <c r="H491" s="2" t="s">
        <v>58</v>
      </c>
      <c r="I491" s="2" t="s">
        <v>28</v>
      </c>
      <c r="J491" s="2" t="s">
        <v>1626</v>
      </c>
      <c r="K491" s="2" t="s">
        <v>38</v>
      </c>
      <c r="L491" s="2" t="s">
        <v>30</v>
      </c>
    </row>
    <row r="492" spans="1:12" ht="14.25" customHeight="1" x14ac:dyDescent="0.5">
      <c r="A492" s="2" t="s">
        <v>1627</v>
      </c>
      <c r="B492" s="2" t="s">
        <v>161</v>
      </c>
      <c r="C492" s="2" t="s">
        <v>235</v>
      </c>
      <c r="D492" s="2" t="s">
        <v>50</v>
      </c>
      <c r="E492" s="3">
        <v>44088</v>
      </c>
      <c r="F492" s="2" t="s">
        <v>1628</v>
      </c>
      <c r="G492" s="2" t="s">
        <v>44</v>
      </c>
      <c r="H492" s="2" t="s">
        <v>89</v>
      </c>
      <c r="I492" s="2" t="s">
        <v>28</v>
      </c>
      <c r="J492" s="2" t="s">
        <v>1629</v>
      </c>
      <c r="K492" s="2" t="s">
        <v>21</v>
      </c>
      <c r="L492" s="2" t="s">
        <v>22</v>
      </c>
    </row>
    <row r="493" spans="1:12" ht="14.25" customHeight="1" x14ac:dyDescent="0.5">
      <c r="A493" s="2" t="s">
        <v>1630</v>
      </c>
      <c r="B493" s="2" t="s">
        <v>492</v>
      </c>
      <c r="C493" s="2" t="s">
        <v>25</v>
      </c>
      <c r="D493" s="2" t="s">
        <v>50</v>
      </c>
      <c r="E493" s="3">
        <v>44935</v>
      </c>
      <c r="F493" s="2" t="s">
        <v>1631</v>
      </c>
      <c r="G493" s="2" t="s">
        <v>36</v>
      </c>
      <c r="H493" s="2" t="s">
        <v>58</v>
      </c>
      <c r="I493" s="2" t="s">
        <v>77</v>
      </c>
      <c r="J493" s="2" t="s">
        <v>1632</v>
      </c>
      <c r="K493" s="2" t="s">
        <v>47</v>
      </c>
      <c r="L493" s="2" t="s">
        <v>85</v>
      </c>
    </row>
    <row r="494" spans="1:12" ht="14.25" customHeight="1" x14ac:dyDescent="0.5">
      <c r="A494" s="2" t="s">
        <v>1633</v>
      </c>
      <c r="B494" s="2" t="s">
        <v>656</v>
      </c>
      <c r="C494" s="2" t="s">
        <v>105</v>
      </c>
      <c r="D494" s="2" t="s">
        <v>75</v>
      </c>
      <c r="E494" s="3">
        <v>44098</v>
      </c>
      <c r="F494" s="2" t="s">
        <v>1634</v>
      </c>
      <c r="G494" s="2" t="s">
        <v>17</v>
      </c>
      <c r="H494" s="2" t="s">
        <v>45</v>
      </c>
      <c r="J494" s="2" t="s">
        <v>1635</v>
      </c>
      <c r="K494" s="2" t="s">
        <v>96</v>
      </c>
      <c r="L494" s="2" t="s">
        <v>85</v>
      </c>
    </row>
    <row r="495" spans="1:12" ht="14.25" customHeight="1" x14ac:dyDescent="0.5">
      <c r="A495" s="2" t="s">
        <v>1636</v>
      </c>
      <c r="B495" s="2" t="s">
        <v>145</v>
      </c>
      <c r="C495" s="2" t="s">
        <v>99</v>
      </c>
      <c r="D495" s="2" t="s">
        <v>50</v>
      </c>
      <c r="E495" s="3">
        <v>44249</v>
      </c>
      <c r="F495" s="2" t="s">
        <v>1637</v>
      </c>
      <c r="G495" s="2" t="s">
        <v>36</v>
      </c>
      <c r="H495" s="2" t="s">
        <v>121</v>
      </c>
      <c r="I495" s="2" t="s">
        <v>65</v>
      </c>
      <c r="J495" s="2" t="s">
        <v>1638</v>
      </c>
      <c r="K495" s="2" t="s">
        <v>53</v>
      </c>
      <c r="L495" s="2" t="s">
        <v>85</v>
      </c>
    </row>
    <row r="496" spans="1:12" ht="14.25" customHeight="1" x14ac:dyDescent="0.5">
      <c r="A496" s="2" t="s">
        <v>1639</v>
      </c>
      <c r="B496" s="2" t="s">
        <v>685</v>
      </c>
      <c r="C496" s="2" t="s">
        <v>105</v>
      </c>
      <c r="D496" s="2" t="s">
        <v>50</v>
      </c>
      <c r="E496" s="3">
        <v>44065</v>
      </c>
      <c r="F496" s="2" t="s">
        <v>1640</v>
      </c>
      <c r="G496" s="2" t="s">
        <v>17</v>
      </c>
      <c r="H496" s="2" t="s">
        <v>64</v>
      </c>
      <c r="I496" s="2" t="s">
        <v>77</v>
      </c>
      <c r="J496" s="2" t="s">
        <v>1641</v>
      </c>
      <c r="K496" s="2" t="s">
        <v>79</v>
      </c>
      <c r="L496" s="2" t="s">
        <v>39</v>
      </c>
    </row>
    <row r="497" spans="1:12" ht="14.25" customHeight="1" x14ac:dyDescent="0.5">
      <c r="A497" s="2" t="s">
        <v>1642</v>
      </c>
      <c r="B497" s="2" t="s">
        <v>1429</v>
      </c>
      <c r="C497" s="2" t="s">
        <v>125</v>
      </c>
      <c r="D497" s="2" t="s">
        <v>69</v>
      </c>
      <c r="E497" s="3">
        <v>45165</v>
      </c>
      <c r="F497" s="2" t="s">
        <v>1643</v>
      </c>
      <c r="G497" s="2" t="s">
        <v>44</v>
      </c>
      <c r="H497" s="2" t="s">
        <v>58</v>
      </c>
      <c r="J497" s="2" t="s">
        <v>1644</v>
      </c>
      <c r="K497" s="2" t="s">
        <v>60</v>
      </c>
      <c r="L497" s="2" t="s">
        <v>39</v>
      </c>
    </row>
    <row r="498" spans="1:12" ht="14.25" customHeight="1" x14ac:dyDescent="0.5">
      <c r="A498" s="2" t="s">
        <v>1645</v>
      </c>
      <c r="B498" s="2" t="s">
        <v>343</v>
      </c>
      <c r="C498" s="2" t="s">
        <v>74</v>
      </c>
      <c r="D498" s="2" t="s">
        <v>42</v>
      </c>
      <c r="E498" s="3">
        <v>44816</v>
      </c>
      <c r="F498" s="2" t="s">
        <v>1646</v>
      </c>
      <c r="G498" s="2" t="s">
        <v>44</v>
      </c>
      <c r="H498" s="2" t="s">
        <v>45</v>
      </c>
      <c r="I498" s="2" t="s">
        <v>19</v>
      </c>
      <c r="J498" s="2" t="s">
        <v>1647</v>
      </c>
      <c r="K498" s="2" t="s">
        <v>53</v>
      </c>
      <c r="L498" s="2" t="s">
        <v>85</v>
      </c>
    </row>
    <row r="499" spans="1:12" ht="14.25" customHeight="1" x14ac:dyDescent="0.5">
      <c r="A499" s="2" t="s">
        <v>1648</v>
      </c>
      <c r="B499" s="2" t="s">
        <v>32</v>
      </c>
      <c r="C499" s="2" t="s">
        <v>93</v>
      </c>
      <c r="D499" s="2" t="s">
        <v>100</v>
      </c>
      <c r="E499" s="3">
        <v>45211</v>
      </c>
      <c r="F499" s="2" t="s">
        <v>1649</v>
      </c>
      <c r="G499" s="2" t="s">
        <v>57</v>
      </c>
      <c r="H499" s="2" t="s">
        <v>45</v>
      </c>
      <c r="I499" s="2" t="s">
        <v>19</v>
      </c>
      <c r="J499" s="2" t="s">
        <v>1650</v>
      </c>
      <c r="K499" s="2" t="s">
        <v>38</v>
      </c>
      <c r="L499" s="2" t="s">
        <v>22</v>
      </c>
    </row>
    <row r="500" spans="1:12" ht="14.25" customHeight="1" x14ac:dyDescent="0.5">
      <c r="A500" s="2" t="s">
        <v>1651</v>
      </c>
      <c r="B500" s="2" t="s">
        <v>353</v>
      </c>
      <c r="C500" s="2" t="s">
        <v>235</v>
      </c>
      <c r="D500" s="2" t="s">
        <v>42</v>
      </c>
      <c r="E500" s="3">
        <v>45067</v>
      </c>
      <c r="F500" s="2" t="s">
        <v>1652</v>
      </c>
      <c r="G500" s="2" t="s">
        <v>17</v>
      </c>
      <c r="H500" s="2" t="s">
        <v>27</v>
      </c>
      <c r="I500" s="2" t="s">
        <v>28</v>
      </c>
      <c r="J500" s="2" t="s">
        <v>1653</v>
      </c>
      <c r="K500" s="2" t="s">
        <v>159</v>
      </c>
      <c r="L500" s="2" t="s">
        <v>22</v>
      </c>
    </row>
    <row r="501" spans="1:12" ht="14.25" customHeight="1" x14ac:dyDescent="0.5">
      <c r="A501" s="2" t="s">
        <v>1654</v>
      </c>
      <c r="B501" s="2" t="s">
        <v>646</v>
      </c>
      <c r="C501" s="2" t="s">
        <v>49</v>
      </c>
      <c r="D501" s="2" t="s">
        <v>69</v>
      </c>
      <c r="E501" s="3">
        <v>44404</v>
      </c>
      <c r="F501" s="2" t="s">
        <v>1655</v>
      </c>
      <c r="G501" s="2" t="s">
        <v>57</v>
      </c>
      <c r="H501" s="2" t="s">
        <v>58</v>
      </c>
      <c r="I501" s="2" t="s">
        <v>107</v>
      </c>
      <c r="J501" s="2" t="s">
        <v>1656</v>
      </c>
      <c r="K501" s="2" t="s">
        <v>79</v>
      </c>
      <c r="L501" s="2" t="s">
        <v>39</v>
      </c>
    </row>
    <row r="502" spans="1:12" ht="14.25" customHeight="1" x14ac:dyDescent="0.5"/>
    <row r="503" spans="1:12" ht="14.25" customHeight="1" x14ac:dyDescent="0.5"/>
    <row r="504" spans="1:12" ht="14.25" customHeight="1" x14ac:dyDescent="0.5"/>
    <row r="505" spans="1:12" ht="14.25" customHeight="1" x14ac:dyDescent="0.5"/>
    <row r="506" spans="1:12" ht="14.25" customHeight="1" x14ac:dyDescent="0.5"/>
    <row r="507" spans="1:12" ht="14.25" customHeight="1" x14ac:dyDescent="0.5"/>
    <row r="508" spans="1:12" ht="14.25" customHeight="1" x14ac:dyDescent="0.5"/>
    <row r="509" spans="1:12" ht="14.25" customHeight="1" x14ac:dyDescent="0.5"/>
    <row r="510" spans="1:12" ht="14.25" customHeight="1" x14ac:dyDescent="0.5"/>
    <row r="511" spans="1:12" ht="14.25" customHeight="1" x14ac:dyDescent="0.5"/>
    <row r="512" spans="1:12" ht="14.25" customHeight="1" x14ac:dyDescent="0.5"/>
    <row r="513" ht="14.25" customHeight="1" x14ac:dyDescent="0.5"/>
    <row r="514" ht="14.25" customHeight="1" x14ac:dyDescent="0.5"/>
    <row r="515" ht="14.25" customHeight="1" x14ac:dyDescent="0.5"/>
    <row r="516" ht="14.25" customHeight="1" x14ac:dyDescent="0.5"/>
    <row r="517" ht="14.25" customHeight="1" x14ac:dyDescent="0.5"/>
    <row r="518" ht="14.25" customHeight="1" x14ac:dyDescent="0.5"/>
    <row r="519" ht="14.25" customHeight="1" x14ac:dyDescent="0.5"/>
    <row r="520" ht="14.25" customHeight="1" x14ac:dyDescent="0.5"/>
    <row r="521" ht="14.25" customHeight="1" x14ac:dyDescent="0.5"/>
    <row r="522" ht="14.25" customHeight="1" x14ac:dyDescent="0.5"/>
    <row r="523" ht="14.25" customHeight="1" x14ac:dyDescent="0.5"/>
    <row r="524" ht="14.25" customHeight="1" x14ac:dyDescent="0.5"/>
    <row r="525" ht="14.25" customHeight="1" x14ac:dyDescent="0.5"/>
    <row r="526" ht="14.25" customHeight="1" x14ac:dyDescent="0.5"/>
    <row r="527" ht="14.25" customHeight="1" x14ac:dyDescent="0.5"/>
    <row r="528" ht="14.25" customHeight="1" x14ac:dyDescent="0.5"/>
    <row r="529" ht="14.25" customHeight="1" x14ac:dyDescent="0.5"/>
    <row r="530" ht="14.25" customHeight="1" x14ac:dyDescent="0.5"/>
    <row r="531" ht="14.25" customHeight="1" x14ac:dyDescent="0.5"/>
    <row r="532" ht="14.25" customHeight="1" x14ac:dyDescent="0.5"/>
    <row r="533" ht="14.25" customHeight="1" x14ac:dyDescent="0.5"/>
    <row r="534" ht="14.25" customHeight="1" x14ac:dyDescent="0.5"/>
    <row r="535" ht="14.25" customHeight="1" x14ac:dyDescent="0.5"/>
    <row r="536" ht="14.25" customHeight="1" x14ac:dyDescent="0.5"/>
    <row r="537" ht="14.25" customHeight="1" x14ac:dyDescent="0.5"/>
    <row r="538" ht="14.25" customHeight="1" x14ac:dyDescent="0.5"/>
    <row r="539" ht="14.25" customHeight="1" x14ac:dyDescent="0.5"/>
    <row r="540" ht="14.25" customHeight="1" x14ac:dyDescent="0.5"/>
    <row r="541" ht="14.25" customHeight="1" x14ac:dyDescent="0.5"/>
    <row r="542" ht="14.25" customHeight="1" x14ac:dyDescent="0.5"/>
    <row r="543" ht="14.25" customHeight="1" x14ac:dyDescent="0.5"/>
    <row r="544" ht="14.25" customHeight="1" x14ac:dyDescent="0.5"/>
    <row r="545" ht="14.25" customHeight="1" x14ac:dyDescent="0.5"/>
    <row r="546" ht="14.25" customHeight="1" x14ac:dyDescent="0.5"/>
    <row r="547" ht="14.25" customHeight="1" x14ac:dyDescent="0.5"/>
    <row r="548" ht="14.25" customHeight="1" x14ac:dyDescent="0.5"/>
    <row r="549" ht="14.25" customHeight="1" x14ac:dyDescent="0.5"/>
    <row r="550" ht="14.25" customHeight="1" x14ac:dyDescent="0.5"/>
    <row r="551" ht="14.25" customHeight="1" x14ac:dyDescent="0.5"/>
    <row r="552" ht="14.25" customHeight="1" x14ac:dyDescent="0.5"/>
    <row r="553" ht="14.25" customHeight="1" x14ac:dyDescent="0.5"/>
    <row r="554" ht="14.25" customHeight="1" x14ac:dyDescent="0.5"/>
    <row r="555" ht="14.25" customHeight="1" x14ac:dyDescent="0.5"/>
    <row r="556" ht="14.25" customHeight="1" x14ac:dyDescent="0.5"/>
    <row r="557" ht="14.25" customHeight="1" x14ac:dyDescent="0.5"/>
    <row r="558" ht="14.25" customHeight="1" x14ac:dyDescent="0.5"/>
    <row r="559" ht="14.25" customHeight="1" x14ac:dyDescent="0.5"/>
    <row r="560" ht="14.25" customHeight="1" x14ac:dyDescent="0.5"/>
    <row r="561" ht="14.25" customHeight="1" x14ac:dyDescent="0.5"/>
    <row r="562" ht="14.25" customHeight="1" x14ac:dyDescent="0.5"/>
    <row r="563" ht="14.25" customHeight="1" x14ac:dyDescent="0.5"/>
    <row r="564" ht="14.25" customHeight="1" x14ac:dyDescent="0.5"/>
    <row r="565" ht="14.25" customHeight="1" x14ac:dyDescent="0.5"/>
    <row r="566" ht="14.25" customHeight="1" x14ac:dyDescent="0.5"/>
    <row r="567" ht="14.25" customHeight="1" x14ac:dyDescent="0.5"/>
    <row r="568" ht="14.25" customHeight="1" x14ac:dyDescent="0.5"/>
    <row r="569" ht="14.25" customHeight="1" x14ac:dyDescent="0.5"/>
    <row r="570" ht="14.25" customHeight="1" x14ac:dyDescent="0.5"/>
    <row r="571" ht="14.25" customHeight="1" x14ac:dyDescent="0.5"/>
    <row r="572" ht="14.25" customHeight="1" x14ac:dyDescent="0.5"/>
    <row r="573" ht="14.25" customHeight="1" x14ac:dyDescent="0.5"/>
    <row r="574" ht="14.25" customHeight="1" x14ac:dyDescent="0.5"/>
    <row r="575" ht="14.25" customHeight="1" x14ac:dyDescent="0.5"/>
    <row r="576" ht="14.25" customHeight="1" x14ac:dyDescent="0.5"/>
    <row r="577" ht="14.25" customHeight="1" x14ac:dyDescent="0.5"/>
    <row r="578" ht="14.25" customHeight="1" x14ac:dyDescent="0.5"/>
    <row r="579" ht="14.25" customHeight="1" x14ac:dyDescent="0.5"/>
    <row r="580" ht="14.25" customHeight="1" x14ac:dyDescent="0.5"/>
    <row r="581" ht="14.25" customHeight="1" x14ac:dyDescent="0.5"/>
    <row r="582" ht="14.25" customHeight="1" x14ac:dyDescent="0.5"/>
    <row r="583" ht="14.25" customHeight="1" x14ac:dyDescent="0.5"/>
    <row r="584" ht="14.25" customHeight="1" x14ac:dyDescent="0.5"/>
    <row r="585" ht="14.25" customHeight="1" x14ac:dyDescent="0.5"/>
    <row r="586" ht="14.25" customHeight="1" x14ac:dyDescent="0.5"/>
    <row r="587" ht="14.25" customHeight="1" x14ac:dyDescent="0.5"/>
    <row r="588" ht="14.25" customHeight="1" x14ac:dyDescent="0.5"/>
    <row r="589" ht="14.25" customHeight="1" x14ac:dyDescent="0.5"/>
    <row r="590" ht="14.25" customHeight="1" x14ac:dyDescent="0.5"/>
    <row r="591" ht="14.25" customHeight="1" x14ac:dyDescent="0.5"/>
    <row r="592" ht="14.25" customHeight="1" x14ac:dyDescent="0.5"/>
    <row r="593" ht="14.25" customHeight="1" x14ac:dyDescent="0.5"/>
    <row r="594" ht="14.25" customHeight="1" x14ac:dyDescent="0.5"/>
    <row r="595" ht="14.25" customHeight="1" x14ac:dyDescent="0.5"/>
    <row r="596" ht="14.25" customHeight="1" x14ac:dyDescent="0.5"/>
    <row r="597" ht="14.25" customHeight="1" x14ac:dyDescent="0.5"/>
    <row r="598" ht="14.25" customHeight="1" x14ac:dyDescent="0.5"/>
    <row r="599" ht="14.25" customHeight="1" x14ac:dyDescent="0.5"/>
    <row r="600" ht="14.25" customHeight="1" x14ac:dyDescent="0.5"/>
    <row r="601" ht="14.25" customHeight="1" x14ac:dyDescent="0.5"/>
    <row r="602" ht="14.25" customHeight="1" x14ac:dyDescent="0.5"/>
    <row r="603" ht="14.25" customHeight="1" x14ac:dyDescent="0.5"/>
    <row r="604" ht="14.25" customHeight="1" x14ac:dyDescent="0.5"/>
    <row r="605" ht="14.25" customHeight="1" x14ac:dyDescent="0.5"/>
    <row r="606" ht="14.25" customHeight="1" x14ac:dyDescent="0.5"/>
    <row r="607" ht="14.25" customHeight="1" x14ac:dyDescent="0.5"/>
    <row r="608" ht="14.25" customHeight="1" x14ac:dyDescent="0.5"/>
    <row r="609" ht="14.25" customHeight="1" x14ac:dyDescent="0.5"/>
    <row r="610" ht="14.25" customHeight="1" x14ac:dyDescent="0.5"/>
    <row r="611" ht="14.25" customHeight="1" x14ac:dyDescent="0.5"/>
    <row r="612" ht="14.25" customHeight="1" x14ac:dyDescent="0.5"/>
    <row r="613" ht="14.25" customHeight="1" x14ac:dyDescent="0.5"/>
    <row r="614" ht="14.25" customHeight="1" x14ac:dyDescent="0.5"/>
    <row r="615" ht="14.25" customHeight="1" x14ac:dyDescent="0.5"/>
    <row r="616" ht="14.25" customHeight="1" x14ac:dyDescent="0.5"/>
    <row r="617" ht="14.25" customHeight="1" x14ac:dyDescent="0.5"/>
    <row r="618" ht="14.25" customHeight="1" x14ac:dyDescent="0.5"/>
    <row r="619" ht="14.25" customHeight="1" x14ac:dyDescent="0.5"/>
    <row r="620" ht="14.25" customHeight="1" x14ac:dyDescent="0.5"/>
    <row r="621" ht="14.25" customHeight="1" x14ac:dyDescent="0.5"/>
    <row r="622" ht="14.25" customHeight="1" x14ac:dyDescent="0.5"/>
    <row r="623" ht="14.25" customHeight="1" x14ac:dyDescent="0.5"/>
    <row r="624" ht="14.25" customHeight="1" x14ac:dyDescent="0.5"/>
    <row r="625" ht="14.25" customHeight="1" x14ac:dyDescent="0.5"/>
    <row r="626" ht="14.25" customHeight="1" x14ac:dyDescent="0.5"/>
    <row r="627" ht="14.25" customHeight="1" x14ac:dyDescent="0.5"/>
    <row r="628" ht="14.25" customHeight="1" x14ac:dyDescent="0.5"/>
    <row r="629" ht="14.25" customHeight="1" x14ac:dyDescent="0.5"/>
    <row r="630" ht="14.25" customHeight="1" x14ac:dyDescent="0.5"/>
    <row r="631" ht="14.25" customHeight="1" x14ac:dyDescent="0.5"/>
    <row r="632" ht="14.25" customHeight="1" x14ac:dyDescent="0.5"/>
    <row r="633" ht="14.25" customHeight="1" x14ac:dyDescent="0.5"/>
    <row r="634" ht="14.25" customHeight="1" x14ac:dyDescent="0.5"/>
    <row r="635" ht="14.25" customHeight="1" x14ac:dyDescent="0.5"/>
    <row r="636" ht="14.25" customHeight="1" x14ac:dyDescent="0.5"/>
    <row r="637" ht="14.25" customHeight="1" x14ac:dyDescent="0.5"/>
    <row r="638" ht="14.25" customHeight="1" x14ac:dyDescent="0.5"/>
    <row r="639" ht="14.25" customHeight="1" x14ac:dyDescent="0.5"/>
    <row r="640" ht="14.25" customHeight="1" x14ac:dyDescent="0.5"/>
    <row r="641" ht="14.25" customHeight="1" x14ac:dyDescent="0.5"/>
    <row r="642" ht="14.25" customHeight="1" x14ac:dyDescent="0.5"/>
    <row r="643" ht="14.25" customHeight="1" x14ac:dyDescent="0.5"/>
    <row r="644" ht="14.25" customHeight="1" x14ac:dyDescent="0.5"/>
    <row r="645" ht="14.25" customHeight="1" x14ac:dyDescent="0.5"/>
    <row r="646" ht="14.25" customHeight="1" x14ac:dyDescent="0.5"/>
    <row r="647" ht="14.25" customHeight="1" x14ac:dyDescent="0.5"/>
    <row r="648" ht="14.25" customHeight="1" x14ac:dyDescent="0.5"/>
    <row r="649" ht="14.25" customHeight="1" x14ac:dyDescent="0.5"/>
    <row r="650" ht="14.25" customHeight="1" x14ac:dyDescent="0.5"/>
    <row r="651" ht="14.25" customHeight="1" x14ac:dyDescent="0.5"/>
    <row r="652" ht="14.25" customHeight="1" x14ac:dyDescent="0.5"/>
    <row r="653" ht="14.25" customHeight="1" x14ac:dyDescent="0.5"/>
    <row r="654" ht="14.25" customHeight="1" x14ac:dyDescent="0.5"/>
    <row r="655" ht="14.25" customHeight="1" x14ac:dyDescent="0.5"/>
    <row r="656" ht="14.25" customHeight="1" x14ac:dyDescent="0.5"/>
    <row r="657" ht="14.25" customHeight="1" x14ac:dyDescent="0.5"/>
    <row r="658" ht="14.25" customHeight="1" x14ac:dyDescent="0.5"/>
    <row r="659" ht="14.25" customHeight="1" x14ac:dyDescent="0.5"/>
    <row r="660" ht="14.25" customHeight="1" x14ac:dyDescent="0.5"/>
    <row r="661" ht="14.25" customHeight="1" x14ac:dyDescent="0.5"/>
    <row r="662" ht="14.25" customHeight="1" x14ac:dyDescent="0.5"/>
    <row r="663" ht="14.25" customHeight="1" x14ac:dyDescent="0.5"/>
    <row r="664" ht="14.25" customHeight="1" x14ac:dyDescent="0.5"/>
    <row r="665" ht="14.25" customHeight="1" x14ac:dyDescent="0.5"/>
    <row r="666" ht="14.25" customHeight="1" x14ac:dyDescent="0.5"/>
    <row r="667" ht="14.25" customHeight="1" x14ac:dyDescent="0.5"/>
    <row r="668" ht="14.25" customHeight="1" x14ac:dyDescent="0.5"/>
    <row r="669" ht="14.25" customHeight="1" x14ac:dyDescent="0.5"/>
    <row r="670" ht="14.25" customHeight="1" x14ac:dyDescent="0.5"/>
    <row r="671" ht="14.25" customHeight="1" x14ac:dyDescent="0.5"/>
    <row r="672" ht="14.25" customHeight="1" x14ac:dyDescent="0.5"/>
    <row r="673" ht="14.25" customHeight="1" x14ac:dyDescent="0.5"/>
    <row r="674" ht="14.25" customHeight="1" x14ac:dyDescent="0.5"/>
    <row r="675" ht="14.25" customHeight="1" x14ac:dyDescent="0.5"/>
    <row r="676" ht="14.25" customHeight="1" x14ac:dyDescent="0.5"/>
    <row r="677" ht="14.25" customHeight="1" x14ac:dyDescent="0.5"/>
    <row r="678" ht="14.25" customHeight="1" x14ac:dyDescent="0.5"/>
    <row r="679" ht="14.25" customHeight="1" x14ac:dyDescent="0.5"/>
    <row r="680" ht="14.25" customHeight="1" x14ac:dyDescent="0.5"/>
    <row r="681" ht="14.25" customHeight="1" x14ac:dyDescent="0.5"/>
    <row r="682" ht="14.25" customHeight="1" x14ac:dyDescent="0.5"/>
    <row r="683" ht="14.25" customHeight="1" x14ac:dyDescent="0.5"/>
    <row r="684" ht="14.25" customHeight="1" x14ac:dyDescent="0.5"/>
    <row r="685" ht="14.25" customHeight="1" x14ac:dyDescent="0.5"/>
    <row r="686" ht="14.25" customHeight="1" x14ac:dyDescent="0.5"/>
    <row r="687" ht="14.25" customHeight="1" x14ac:dyDescent="0.5"/>
    <row r="688" ht="14.25" customHeight="1" x14ac:dyDescent="0.5"/>
    <row r="689" ht="14.25" customHeight="1" x14ac:dyDescent="0.5"/>
    <row r="690" ht="14.25" customHeight="1" x14ac:dyDescent="0.5"/>
    <row r="691" ht="14.25" customHeight="1" x14ac:dyDescent="0.5"/>
    <row r="692" ht="14.25" customHeight="1" x14ac:dyDescent="0.5"/>
    <row r="693" ht="14.25" customHeight="1" x14ac:dyDescent="0.5"/>
    <row r="694" ht="14.25" customHeight="1" x14ac:dyDescent="0.5"/>
    <row r="695" ht="14.25" customHeight="1" x14ac:dyDescent="0.5"/>
    <row r="696" ht="14.25" customHeight="1" x14ac:dyDescent="0.5"/>
    <row r="697" ht="14.25" customHeight="1" x14ac:dyDescent="0.5"/>
    <row r="698" ht="14.25" customHeight="1" x14ac:dyDescent="0.5"/>
    <row r="699" ht="14.25" customHeight="1" x14ac:dyDescent="0.5"/>
    <row r="700" ht="14.25" customHeight="1" x14ac:dyDescent="0.5"/>
    <row r="701" ht="14.25" customHeight="1" x14ac:dyDescent="0.5"/>
    <row r="702" ht="14.25" customHeight="1" x14ac:dyDescent="0.5"/>
    <row r="703" ht="14.25" customHeight="1" x14ac:dyDescent="0.5"/>
    <row r="704" ht="14.25" customHeight="1" x14ac:dyDescent="0.5"/>
    <row r="705" ht="14.25" customHeight="1" x14ac:dyDescent="0.5"/>
    <row r="706" ht="14.25" customHeight="1" x14ac:dyDescent="0.5"/>
    <row r="707" ht="14.25" customHeight="1" x14ac:dyDescent="0.5"/>
    <row r="708" ht="14.25" customHeight="1" x14ac:dyDescent="0.5"/>
    <row r="709" ht="14.25" customHeight="1" x14ac:dyDescent="0.5"/>
    <row r="710" ht="14.25" customHeight="1" x14ac:dyDescent="0.5"/>
    <row r="711" ht="14.25" customHeight="1" x14ac:dyDescent="0.5"/>
    <row r="712" ht="14.25" customHeight="1" x14ac:dyDescent="0.5"/>
    <row r="713" ht="14.25" customHeight="1" x14ac:dyDescent="0.5"/>
    <row r="714" ht="14.25" customHeight="1" x14ac:dyDescent="0.5"/>
    <row r="715" ht="14.25" customHeight="1" x14ac:dyDescent="0.5"/>
    <row r="716" ht="14.25" customHeight="1" x14ac:dyDescent="0.5"/>
    <row r="717" ht="14.25" customHeight="1" x14ac:dyDescent="0.5"/>
    <row r="718" ht="14.25" customHeight="1" x14ac:dyDescent="0.5"/>
    <row r="719" ht="14.25" customHeight="1" x14ac:dyDescent="0.5"/>
    <row r="720" ht="14.25" customHeight="1" x14ac:dyDescent="0.5"/>
    <row r="721" ht="14.25" customHeight="1" x14ac:dyDescent="0.5"/>
    <row r="722" ht="14.25" customHeight="1" x14ac:dyDescent="0.5"/>
    <row r="723" ht="14.25" customHeight="1" x14ac:dyDescent="0.5"/>
    <row r="724" ht="14.25" customHeight="1" x14ac:dyDescent="0.5"/>
    <row r="725" ht="14.25" customHeight="1" x14ac:dyDescent="0.5"/>
    <row r="726" ht="14.25" customHeight="1" x14ac:dyDescent="0.5"/>
    <row r="727" ht="14.25" customHeight="1" x14ac:dyDescent="0.5"/>
    <row r="728" ht="14.25" customHeight="1" x14ac:dyDescent="0.5"/>
    <row r="729" ht="14.25" customHeight="1" x14ac:dyDescent="0.5"/>
    <row r="730" ht="14.25" customHeight="1" x14ac:dyDescent="0.5"/>
    <row r="731" ht="14.25" customHeight="1" x14ac:dyDescent="0.5"/>
    <row r="732" ht="14.25" customHeight="1" x14ac:dyDescent="0.5"/>
    <row r="733" ht="14.25" customHeight="1" x14ac:dyDescent="0.5"/>
    <row r="734" ht="14.25" customHeight="1" x14ac:dyDescent="0.5"/>
    <row r="735" ht="14.25" customHeight="1" x14ac:dyDescent="0.5"/>
    <row r="736" ht="14.25" customHeight="1" x14ac:dyDescent="0.5"/>
    <row r="737" ht="14.25" customHeight="1" x14ac:dyDescent="0.5"/>
    <row r="738" ht="14.25" customHeight="1" x14ac:dyDescent="0.5"/>
    <row r="739" ht="14.25" customHeight="1" x14ac:dyDescent="0.5"/>
    <row r="740" ht="14.25" customHeight="1" x14ac:dyDescent="0.5"/>
    <row r="741" ht="14.25" customHeight="1" x14ac:dyDescent="0.5"/>
    <row r="742" ht="14.25" customHeight="1" x14ac:dyDescent="0.5"/>
    <row r="743" ht="14.25" customHeight="1" x14ac:dyDescent="0.5"/>
    <row r="744" ht="14.25" customHeight="1" x14ac:dyDescent="0.5"/>
    <row r="745" ht="14.25" customHeight="1" x14ac:dyDescent="0.5"/>
    <row r="746" ht="14.25" customHeight="1" x14ac:dyDescent="0.5"/>
    <row r="747" ht="14.25" customHeight="1" x14ac:dyDescent="0.5"/>
    <row r="748" ht="14.25" customHeight="1" x14ac:dyDescent="0.5"/>
    <row r="749" ht="14.25" customHeight="1" x14ac:dyDescent="0.5"/>
    <row r="750" ht="14.25" customHeight="1" x14ac:dyDescent="0.5"/>
    <row r="751" ht="14.25" customHeight="1" x14ac:dyDescent="0.5"/>
    <row r="752" ht="14.25" customHeight="1" x14ac:dyDescent="0.5"/>
    <row r="753" ht="14.25" customHeight="1" x14ac:dyDescent="0.5"/>
    <row r="754" ht="14.25" customHeight="1" x14ac:dyDescent="0.5"/>
    <row r="755" ht="14.25" customHeight="1" x14ac:dyDescent="0.5"/>
    <row r="756" ht="14.25" customHeight="1" x14ac:dyDescent="0.5"/>
    <row r="757" ht="14.25" customHeight="1" x14ac:dyDescent="0.5"/>
    <row r="758" ht="14.25" customHeight="1" x14ac:dyDescent="0.5"/>
    <row r="759" ht="14.25" customHeight="1" x14ac:dyDescent="0.5"/>
    <row r="760" ht="14.25" customHeight="1" x14ac:dyDescent="0.5"/>
    <row r="761" ht="14.25" customHeight="1" x14ac:dyDescent="0.5"/>
    <row r="762" ht="14.25" customHeight="1" x14ac:dyDescent="0.5"/>
    <row r="763" ht="14.25" customHeight="1" x14ac:dyDescent="0.5"/>
    <row r="764" ht="14.25" customHeight="1" x14ac:dyDescent="0.5"/>
    <row r="765" ht="14.25" customHeight="1" x14ac:dyDescent="0.5"/>
    <row r="766" ht="14.25" customHeight="1" x14ac:dyDescent="0.5"/>
    <row r="767" ht="14.25" customHeight="1" x14ac:dyDescent="0.5"/>
    <row r="768" ht="14.25" customHeight="1" x14ac:dyDescent="0.5"/>
    <row r="769" ht="14.25" customHeight="1" x14ac:dyDescent="0.5"/>
    <row r="770" ht="14.25" customHeight="1" x14ac:dyDescent="0.5"/>
    <row r="771" ht="14.25" customHeight="1" x14ac:dyDescent="0.5"/>
    <row r="772" ht="14.25" customHeight="1" x14ac:dyDescent="0.5"/>
    <row r="773" ht="14.25" customHeight="1" x14ac:dyDescent="0.5"/>
    <row r="774" ht="14.25" customHeight="1" x14ac:dyDescent="0.5"/>
    <row r="775" ht="14.25" customHeight="1" x14ac:dyDescent="0.5"/>
    <row r="776" ht="14.25" customHeight="1" x14ac:dyDescent="0.5"/>
    <row r="777" ht="14.25" customHeight="1" x14ac:dyDescent="0.5"/>
    <row r="778" ht="14.25" customHeight="1" x14ac:dyDescent="0.5"/>
    <row r="779" ht="14.25" customHeight="1" x14ac:dyDescent="0.5"/>
    <row r="780" ht="14.25" customHeight="1" x14ac:dyDescent="0.5"/>
    <row r="781" ht="14.25" customHeight="1" x14ac:dyDescent="0.5"/>
    <row r="782" ht="14.25" customHeight="1" x14ac:dyDescent="0.5"/>
    <row r="783" ht="14.25" customHeight="1" x14ac:dyDescent="0.5"/>
    <row r="784" ht="14.25" customHeight="1" x14ac:dyDescent="0.5"/>
    <row r="785" ht="14.25" customHeight="1" x14ac:dyDescent="0.5"/>
    <row r="786" ht="14.25" customHeight="1" x14ac:dyDescent="0.5"/>
    <row r="787" ht="14.25" customHeight="1" x14ac:dyDescent="0.5"/>
    <row r="788" ht="14.25" customHeight="1" x14ac:dyDescent="0.5"/>
    <row r="789" ht="14.25" customHeight="1" x14ac:dyDescent="0.5"/>
    <row r="790" ht="14.25" customHeight="1" x14ac:dyDescent="0.5"/>
    <row r="791" ht="14.25" customHeight="1" x14ac:dyDescent="0.5"/>
    <row r="792" ht="14.25" customHeight="1" x14ac:dyDescent="0.5"/>
    <row r="793" ht="14.25" customHeight="1" x14ac:dyDescent="0.5"/>
    <row r="794" ht="14.25" customHeight="1" x14ac:dyDescent="0.5"/>
    <row r="795" ht="14.25" customHeight="1" x14ac:dyDescent="0.5"/>
    <row r="796" ht="14.25" customHeight="1" x14ac:dyDescent="0.5"/>
    <row r="797" ht="14.25" customHeight="1" x14ac:dyDescent="0.5"/>
    <row r="798" ht="14.25" customHeight="1" x14ac:dyDescent="0.5"/>
    <row r="799" ht="14.25" customHeight="1" x14ac:dyDescent="0.5"/>
    <row r="800" ht="14.25" customHeight="1" x14ac:dyDescent="0.5"/>
    <row r="801" ht="14.25" customHeight="1" x14ac:dyDescent="0.5"/>
    <row r="802" ht="14.25" customHeight="1" x14ac:dyDescent="0.5"/>
    <row r="803" ht="14.25" customHeight="1" x14ac:dyDescent="0.5"/>
    <row r="804" ht="14.25" customHeight="1" x14ac:dyDescent="0.5"/>
    <row r="805" ht="14.25" customHeight="1" x14ac:dyDescent="0.5"/>
    <row r="806" ht="14.25" customHeight="1" x14ac:dyDescent="0.5"/>
    <row r="807" ht="14.25" customHeight="1" x14ac:dyDescent="0.5"/>
    <row r="808" ht="14.25" customHeight="1" x14ac:dyDescent="0.5"/>
    <row r="809" ht="14.25" customHeight="1" x14ac:dyDescent="0.5"/>
    <row r="810" ht="14.25" customHeight="1" x14ac:dyDescent="0.5"/>
    <row r="811" ht="14.25" customHeight="1" x14ac:dyDescent="0.5"/>
    <row r="812" ht="14.25" customHeight="1" x14ac:dyDescent="0.5"/>
    <row r="813" ht="14.25" customHeight="1" x14ac:dyDescent="0.5"/>
    <row r="814" ht="14.25" customHeight="1" x14ac:dyDescent="0.5"/>
    <row r="815" ht="14.25" customHeight="1" x14ac:dyDescent="0.5"/>
    <row r="816" ht="14.25" customHeight="1" x14ac:dyDescent="0.5"/>
    <row r="817" ht="14.25" customHeight="1" x14ac:dyDescent="0.5"/>
    <row r="818" ht="14.25" customHeight="1" x14ac:dyDescent="0.5"/>
    <row r="819" ht="14.25" customHeight="1" x14ac:dyDescent="0.5"/>
    <row r="820" ht="14.25" customHeight="1" x14ac:dyDescent="0.5"/>
    <row r="821" ht="14.25" customHeight="1" x14ac:dyDescent="0.5"/>
    <row r="822" ht="14.25" customHeight="1" x14ac:dyDescent="0.5"/>
    <row r="823" ht="14.25" customHeight="1" x14ac:dyDescent="0.5"/>
    <row r="824" ht="14.25" customHeight="1" x14ac:dyDescent="0.5"/>
    <row r="825" ht="14.25" customHeight="1" x14ac:dyDescent="0.5"/>
    <row r="826" ht="14.25" customHeight="1" x14ac:dyDescent="0.5"/>
    <row r="827" ht="14.25" customHeight="1" x14ac:dyDescent="0.5"/>
    <row r="828" ht="14.25" customHeight="1" x14ac:dyDescent="0.5"/>
    <row r="829" ht="14.25" customHeight="1" x14ac:dyDescent="0.5"/>
    <row r="830" ht="14.25" customHeight="1" x14ac:dyDescent="0.5"/>
    <row r="831" ht="14.25" customHeight="1" x14ac:dyDescent="0.5"/>
    <row r="832" ht="14.25" customHeight="1" x14ac:dyDescent="0.5"/>
    <row r="833" ht="14.25" customHeight="1" x14ac:dyDescent="0.5"/>
    <row r="834" ht="14.25" customHeight="1" x14ac:dyDescent="0.5"/>
    <row r="835" ht="14.25" customHeight="1" x14ac:dyDescent="0.5"/>
    <row r="836" ht="14.25" customHeight="1" x14ac:dyDescent="0.5"/>
    <row r="837" ht="14.25" customHeight="1" x14ac:dyDescent="0.5"/>
    <row r="838" ht="14.25" customHeight="1" x14ac:dyDescent="0.5"/>
    <row r="839" ht="14.25" customHeight="1" x14ac:dyDescent="0.5"/>
    <row r="840" ht="14.25" customHeight="1" x14ac:dyDescent="0.5"/>
    <row r="841" ht="14.25" customHeight="1" x14ac:dyDescent="0.5"/>
    <row r="842" ht="14.25" customHeight="1" x14ac:dyDescent="0.5"/>
    <row r="843" ht="14.25" customHeight="1" x14ac:dyDescent="0.5"/>
    <row r="844" ht="14.25" customHeight="1" x14ac:dyDescent="0.5"/>
    <row r="845" ht="14.25" customHeight="1" x14ac:dyDescent="0.5"/>
    <row r="846" ht="14.25" customHeight="1" x14ac:dyDescent="0.5"/>
    <row r="847" ht="14.25" customHeight="1" x14ac:dyDescent="0.5"/>
    <row r="848" ht="14.25" customHeight="1" x14ac:dyDescent="0.5"/>
    <row r="849" ht="14.25" customHeight="1" x14ac:dyDescent="0.5"/>
    <row r="850" ht="14.25" customHeight="1" x14ac:dyDescent="0.5"/>
    <row r="851" ht="14.25" customHeight="1" x14ac:dyDescent="0.5"/>
    <row r="852" ht="14.25" customHeight="1" x14ac:dyDescent="0.5"/>
    <row r="853" ht="14.25" customHeight="1" x14ac:dyDescent="0.5"/>
    <row r="854" ht="14.25" customHeight="1" x14ac:dyDescent="0.5"/>
    <row r="855" ht="14.25" customHeight="1" x14ac:dyDescent="0.5"/>
    <row r="856" ht="14.25" customHeight="1" x14ac:dyDescent="0.5"/>
    <row r="857" ht="14.25" customHeight="1" x14ac:dyDescent="0.5"/>
    <row r="858" ht="14.25" customHeight="1" x14ac:dyDescent="0.5"/>
    <row r="859" ht="14.25" customHeight="1" x14ac:dyDescent="0.5"/>
    <row r="860" ht="14.25" customHeight="1" x14ac:dyDescent="0.5"/>
    <row r="861" ht="14.25" customHeight="1" x14ac:dyDescent="0.5"/>
    <row r="862" ht="14.25" customHeight="1" x14ac:dyDescent="0.5"/>
    <row r="863" ht="14.25" customHeight="1" x14ac:dyDescent="0.5"/>
    <row r="864" ht="14.25" customHeight="1" x14ac:dyDescent="0.5"/>
    <row r="865" ht="14.25" customHeight="1" x14ac:dyDescent="0.5"/>
    <row r="866" ht="14.25" customHeight="1" x14ac:dyDescent="0.5"/>
    <row r="867" ht="14.25" customHeight="1" x14ac:dyDescent="0.5"/>
    <row r="868" ht="14.25" customHeight="1" x14ac:dyDescent="0.5"/>
    <row r="869" ht="14.25" customHeight="1" x14ac:dyDescent="0.5"/>
    <row r="870" ht="14.25" customHeight="1" x14ac:dyDescent="0.5"/>
    <row r="871" ht="14.25" customHeight="1" x14ac:dyDescent="0.5"/>
    <row r="872" ht="14.25" customHeight="1" x14ac:dyDescent="0.5"/>
    <row r="873" ht="14.25" customHeight="1" x14ac:dyDescent="0.5"/>
    <row r="874" ht="14.25" customHeight="1" x14ac:dyDescent="0.5"/>
    <row r="875" ht="14.25" customHeight="1" x14ac:dyDescent="0.5"/>
    <row r="876" ht="14.25" customHeight="1" x14ac:dyDescent="0.5"/>
    <row r="877" ht="14.25" customHeight="1" x14ac:dyDescent="0.5"/>
    <row r="878" ht="14.25" customHeight="1" x14ac:dyDescent="0.5"/>
    <row r="879" ht="14.25" customHeight="1" x14ac:dyDescent="0.5"/>
    <row r="880" ht="14.25" customHeight="1" x14ac:dyDescent="0.5"/>
    <row r="881" ht="14.25" customHeight="1" x14ac:dyDescent="0.5"/>
    <row r="882" ht="14.25" customHeight="1" x14ac:dyDescent="0.5"/>
    <row r="883" ht="14.25" customHeight="1" x14ac:dyDescent="0.5"/>
    <row r="884" ht="14.25" customHeight="1" x14ac:dyDescent="0.5"/>
    <row r="885" ht="14.25" customHeight="1" x14ac:dyDescent="0.5"/>
    <row r="886" ht="14.25" customHeight="1" x14ac:dyDescent="0.5"/>
    <row r="887" ht="14.25" customHeight="1" x14ac:dyDescent="0.5"/>
    <row r="888" ht="14.25" customHeight="1" x14ac:dyDescent="0.5"/>
    <row r="889" ht="14.25" customHeight="1" x14ac:dyDescent="0.5"/>
    <row r="890" ht="14.25" customHeight="1" x14ac:dyDescent="0.5"/>
    <row r="891" ht="14.25" customHeight="1" x14ac:dyDescent="0.5"/>
    <row r="892" ht="14.25" customHeight="1" x14ac:dyDescent="0.5"/>
    <row r="893" ht="14.25" customHeight="1" x14ac:dyDescent="0.5"/>
    <row r="894" ht="14.25" customHeight="1" x14ac:dyDescent="0.5"/>
    <row r="895" ht="14.25" customHeight="1" x14ac:dyDescent="0.5"/>
    <row r="896" ht="14.25" customHeight="1" x14ac:dyDescent="0.5"/>
    <row r="897" ht="14.25" customHeight="1" x14ac:dyDescent="0.5"/>
    <row r="898" ht="14.25" customHeight="1" x14ac:dyDescent="0.5"/>
    <row r="899" ht="14.25" customHeight="1" x14ac:dyDescent="0.5"/>
    <row r="900" ht="14.25" customHeight="1" x14ac:dyDescent="0.5"/>
    <row r="901" ht="14.25" customHeight="1" x14ac:dyDescent="0.5"/>
    <row r="902" ht="14.25" customHeight="1" x14ac:dyDescent="0.5"/>
    <row r="903" ht="14.25" customHeight="1" x14ac:dyDescent="0.5"/>
    <row r="904" ht="14.25" customHeight="1" x14ac:dyDescent="0.5"/>
    <row r="905" ht="14.25" customHeight="1" x14ac:dyDescent="0.5"/>
    <row r="906" ht="14.25" customHeight="1" x14ac:dyDescent="0.5"/>
    <row r="907" ht="14.25" customHeight="1" x14ac:dyDescent="0.5"/>
    <row r="908" ht="14.25" customHeight="1" x14ac:dyDescent="0.5"/>
    <row r="909" ht="14.25" customHeight="1" x14ac:dyDescent="0.5"/>
    <row r="910" ht="14.25" customHeight="1" x14ac:dyDescent="0.5"/>
    <row r="911" ht="14.25" customHeight="1" x14ac:dyDescent="0.5"/>
    <row r="912" ht="14.25" customHeight="1" x14ac:dyDescent="0.5"/>
    <row r="913" ht="14.25" customHeight="1" x14ac:dyDescent="0.5"/>
    <row r="914" ht="14.25" customHeight="1" x14ac:dyDescent="0.5"/>
    <row r="915" ht="14.25" customHeight="1" x14ac:dyDescent="0.5"/>
    <row r="916" ht="14.25" customHeight="1" x14ac:dyDescent="0.5"/>
    <row r="917" ht="14.25" customHeight="1" x14ac:dyDescent="0.5"/>
    <row r="918" ht="14.25" customHeight="1" x14ac:dyDescent="0.5"/>
    <row r="919" ht="14.25" customHeight="1" x14ac:dyDescent="0.5"/>
    <row r="920" ht="14.25" customHeight="1" x14ac:dyDescent="0.5"/>
    <row r="921" ht="14.25" customHeight="1" x14ac:dyDescent="0.5"/>
    <row r="922" ht="14.25" customHeight="1" x14ac:dyDescent="0.5"/>
    <row r="923" ht="14.25" customHeight="1" x14ac:dyDescent="0.5"/>
    <row r="924" ht="14.25" customHeight="1" x14ac:dyDescent="0.5"/>
    <row r="925" ht="14.25" customHeight="1" x14ac:dyDescent="0.5"/>
    <row r="926" ht="14.25" customHeight="1" x14ac:dyDescent="0.5"/>
    <row r="927" ht="14.25" customHeight="1" x14ac:dyDescent="0.5"/>
    <row r="928" ht="14.25" customHeight="1" x14ac:dyDescent="0.5"/>
    <row r="929" ht="14.25" customHeight="1" x14ac:dyDescent="0.5"/>
    <row r="930" ht="14.25" customHeight="1" x14ac:dyDescent="0.5"/>
    <row r="931" ht="14.25" customHeight="1" x14ac:dyDescent="0.5"/>
    <row r="932" ht="14.25" customHeight="1" x14ac:dyDescent="0.5"/>
    <row r="933" ht="14.25" customHeight="1" x14ac:dyDescent="0.5"/>
    <row r="934" ht="14.25" customHeight="1" x14ac:dyDescent="0.5"/>
    <row r="935" ht="14.25" customHeight="1" x14ac:dyDescent="0.5"/>
    <row r="936" ht="14.25" customHeight="1" x14ac:dyDescent="0.5"/>
    <row r="937" ht="14.25" customHeight="1" x14ac:dyDescent="0.5"/>
    <row r="938" ht="14.25" customHeight="1" x14ac:dyDescent="0.5"/>
    <row r="939" ht="14.25" customHeight="1" x14ac:dyDescent="0.5"/>
    <row r="940" ht="14.25" customHeight="1" x14ac:dyDescent="0.5"/>
    <row r="941" ht="14.25" customHeight="1" x14ac:dyDescent="0.5"/>
    <row r="942" ht="14.25" customHeight="1" x14ac:dyDescent="0.5"/>
    <row r="943" ht="14.25" customHeight="1" x14ac:dyDescent="0.5"/>
    <row r="944" ht="14.25" customHeight="1" x14ac:dyDescent="0.5"/>
    <row r="945" ht="14.25" customHeight="1" x14ac:dyDescent="0.5"/>
    <row r="946" ht="14.25" customHeight="1" x14ac:dyDescent="0.5"/>
    <row r="947" ht="14.25" customHeight="1" x14ac:dyDescent="0.5"/>
    <row r="948" ht="14.25" customHeight="1" x14ac:dyDescent="0.5"/>
    <row r="949" ht="14.25" customHeight="1" x14ac:dyDescent="0.5"/>
    <row r="950" ht="14.25" customHeight="1" x14ac:dyDescent="0.5"/>
    <row r="951" ht="14.25" customHeight="1" x14ac:dyDescent="0.5"/>
    <row r="952" ht="14.25" customHeight="1" x14ac:dyDescent="0.5"/>
    <row r="953" ht="14.25" customHeight="1" x14ac:dyDescent="0.5"/>
    <row r="954" ht="14.25" customHeight="1" x14ac:dyDescent="0.5"/>
    <row r="955" ht="14.25" customHeight="1" x14ac:dyDescent="0.5"/>
    <row r="956" ht="14.25" customHeight="1" x14ac:dyDescent="0.5"/>
    <row r="957" ht="14.25" customHeight="1" x14ac:dyDescent="0.5"/>
    <row r="958" ht="14.25" customHeight="1" x14ac:dyDescent="0.5"/>
    <row r="959" ht="14.25" customHeight="1" x14ac:dyDescent="0.5"/>
    <row r="960" ht="14.25" customHeight="1" x14ac:dyDescent="0.5"/>
    <row r="961" ht="14.25" customHeight="1" x14ac:dyDescent="0.5"/>
    <row r="962" ht="14.25" customHeight="1" x14ac:dyDescent="0.5"/>
    <row r="963" ht="14.25" customHeight="1" x14ac:dyDescent="0.5"/>
    <row r="964" ht="14.25" customHeight="1" x14ac:dyDescent="0.5"/>
    <row r="965" ht="14.25" customHeight="1" x14ac:dyDescent="0.5"/>
    <row r="966" ht="14.25" customHeight="1" x14ac:dyDescent="0.5"/>
    <row r="967" ht="14.25" customHeight="1" x14ac:dyDescent="0.5"/>
    <row r="968" ht="14.25" customHeight="1" x14ac:dyDescent="0.5"/>
    <row r="969" ht="14.25" customHeight="1" x14ac:dyDescent="0.5"/>
    <row r="970" ht="14.25" customHeight="1" x14ac:dyDescent="0.5"/>
    <row r="971" ht="14.25" customHeight="1" x14ac:dyDescent="0.5"/>
    <row r="972" ht="14.25" customHeight="1" x14ac:dyDescent="0.5"/>
    <row r="973" ht="14.25" customHeight="1" x14ac:dyDescent="0.5"/>
    <row r="974" ht="14.25" customHeight="1" x14ac:dyDescent="0.5"/>
    <row r="975" ht="14.25" customHeight="1" x14ac:dyDescent="0.5"/>
    <row r="976" ht="14.25" customHeight="1" x14ac:dyDescent="0.5"/>
    <row r="977" ht="14.25" customHeight="1" x14ac:dyDescent="0.5"/>
    <row r="978" ht="14.25" customHeight="1" x14ac:dyDescent="0.5"/>
    <row r="979" ht="14.25" customHeight="1" x14ac:dyDescent="0.5"/>
    <row r="980" ht="14.25" customHeight="1" x14ac:dyDescent="0.5"/>
    <row r="981" ht="14.25" customHeight="1" x14ac:dyDescent="0.5"/>
    <row r="982" ht="14.25" customHeight="1" x14ac:dyDescent="0.5"/>
    <row r="983" ht="14.25" customHeight="1" x14ac:dyDescent="0.5"/>
    <row r="984" ht="14.25" customHeight="1" x14ac:dyDescent="0.5"/>
    <row r="985" ht="14.25" customHeight="1" x14ac:dyDescent="0.5"/>
    <row r="986" ht="14.25" customHeight="1" x14ac:dyDescent="0.5"/>
    <row r="987" ht="14.25" customHeight="1" x14ac:dyDescent="0.5"/>
    <row r="988" ht="14.25" customHeight="1" x14ac:dyDescent="0.5"/>
    <row r="989" ht="14.25" customHeight="1" x14ac:dyDescent="0.5"/>
    <row r="990" ht="14.25" customHeight="1" x14ac:dyDescent="0.5"/>
    <row r="991" ht="14.25" customHeight="1" x14ac:dyDescent="0.5"/>
    <row r="992" ht="14.25" customHeight="1" x14ac:dyDescent="0.5"/>
    <row r="993" ht="14.25" customHeight="1" x14ac:dyDescent="0.5"/>
    <row r="994" ht="14.25" customHeight="1" x14ac:dyDescent="0.5"/>
    <row r="995" ht="14.25" customHeight="1" x14ac:dyDescent="0.5"/>
    <row r="996" ht="14.25" customHeight="1" x14ac:dyDescent="0.5"/>
    <row r="997" ht="14.25" customHeight="1" x14ac:dyDescent="0.5"/>
    <row r="998" ht="14.25" customHeight="1" x14ac:dyDescent="0.5"/>
    <row r="999" ht="14.25" customHeight="1" x14ac:dyDescent="0.5"/>
    <row r="1000" ht="14.25" customHeight="1" x14ac:dyDescent="0.5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000"/>
  <sheetViews>
    <sheetView workbookViewId="0"/>
  </sheetViews>
  <sheetFormatPr defaultColWidth="14.41015625" defaultRowHeight="15" customHeight="1" x14ac:dyDescent="0.5"/>
  <cols>
    <col min="1" max="9" width="8.703125" customWidth="1"/>
    <col min="10" max="10" width="12.41015625" customWidth="1"/>
    <col min="11" max="21" width="8.703125" customWidth="1"/>
    <col min="22" max="22" width="17.87890625" customWidth="1"/>
    <col min="23" max="23" width="11.1171875" customWidth="1"/>
    <col min="24" max="26" width="8.703125" customWidth="1"/>
  </cols>
  <sheetData>
    <row r="1" spans="1:24" ht="14.25" customHeight="1" x14ac:dyDescent="0.5">
      <c r="A1" s="1" t="s">
        <v>0</v>
      </c>
      <c r="B1" s="1" t="s">
        <v>1</v>
      </c>
      <c r="C1" s="1" t="s">
        <v>1657</v>
      </c>
      <c r="D1" s="1" t="s">
        <v>2</v>
      </c>
      <c r="E1" s="1" t="s">
        <v>1658</v>
      </c>
      <c r="F1" s="1" t="s">
        <v>3</v>
      </c>
      <c r="G1" s="1" t="s">
        <v>4</v>
      </c>
      <c r="H1" s="1" t="s">
        <v>1659</v>
      </c>
      <c r="I1" s="4" t="s">
        <v>5</v>
      </c>
      <c r="J1" s="4" t="s">
        <v>1660</v>
      </c>
      <c r="K1" s="5" t="s">
        <v>6</v>
      </c>
      <c r="L1" s="1" t="s">
        <v>7</v>
      </c>
      <c r="M1" s="1" t="s">
        <v>1661</v>
      </c>
      <c r="N1" s="1" t="s">
        <v>8</v>
      </c>
      <c r="O1" s="1" t="s">
        <v>1662</v>
      </c>
      <c r="P1" s="1" t="s">
        <v>9</v>
      </c>
      <c r="Q1" s="1" t="s">
        <v>1663</v>
      </c>
      <c r="R1" s="1" t="s">
        <v>1664</v>
      </c>
      <c r="S1" s="1" t="s">
        <v>10</v>
      </c>
      <c r="T1" s="1" t="s">
        <v>1665</v>
      </c>
      <c r="U1" s="6" t="s">
        <v>11</v>
      </c>
      <c r="V1" s="7" t="s">
        <v>1666</v>
      </c>
      <c r="W1" s="8" t="s">
        <v>1667</v>
      </c>
      <c r="X1" s="9" t="s">
        <v>1668</v>
      </c>
    </row>
    <row r="2" spans="1:24" ht="14.25" customHeight="1" x14ac:dyDescent="0.5">
      <c r="A2" s="2" t="s">
        <v>12</v>
      </c>
      <c r="B2" s="2" t="s">
        <v>13</v>
      </c>
      <c r="C2" s="2" t="str">
        <f t="shared" ref="C2:C256" si="0">TRIM(B2)</f>
        <v>Sarah Taylor</v>
      </c>
      <c r="D2" s="2" t="s">
        <v>14</v>
      </c>
      <c r="E2" s="2" t="str">
        <f t="shared" ref="E2:E256" si="1">SUBSTITUTE(SUBSTITUTE(D2,"at","@")," ","")</f>
        <v>john@company.com</v>
      </c>
      <c r="F2" s="2" t="s">
        <v>15</v>
      </c>
      <c r="G2" s="3">
        <v>45082</v>
      </c>
      <c r="H2" s="3" t="str">
        <f t="shared" ref="H2:H256" si="2">TEXT(G2,"dd-mmm-yyyy")</f>
        <v>05-Jun-2023</v>
      </c>
      <c r="I2" s="10" t="s">
        <v>16</v>
      </c>
      <c r="J2" s="10">
        <f t="shared" ref="J2:J256" si="3">VALUE(I2)</f>
        <v>117872</v>
      </c>
      <c r="K2" s="11" t="s">
        <v>17</v>
      </c>
      <c r="L2" s="2" t="s">
        <v>18</v>
      </c>
      <c r="M2" s="2" t="str">
        <f t="shared" ref="M2:M256" si="4">TRIM(PROPER(SUBSTITUTE(SUBSTITUTE(SUBSTITUTE(L2,"actve","Active"),"Termnated","terminated"),"onleave","On Leave")))</f>
        <v>Active</v>
      </c>
      <c r="N2" s="2" t="s">
        <v>1669</v>
      </c>
      <c r="O2" s="2" t="str">
        <f t="shared" ref="O2:O256" si="5">TRIM(PROPER(IF(ISBLANK(N2),"No Notes", N2)))</f>
        <v>Urgent Review</v>
      </c>
      <c r="P2" s="2" t="s">
        <v>20</v>
      </c>
      <c r="Q2" s="2" t="str">
        <f t="shared" ref="Q2:Q256" si="6">LEFT(P2,FIND("-",P2)-1)</f>
        <v>ET</v>
      </c>
      <c r="R2" s="2" t="e">
        <f t="array" aca="1" ref="R2" ca="1">_xludf.IFS(Q2="ET", "East", Q2="WT", "West", Q2="ST","South", Q2="NR", "North")</f>
        <v>#NAME?</v>
      </c>
      <c r="S2" s="2" t="s">
        <v>21</v>
      </c>
      <c r="T2" s="2" t="str">
        <f t="shared" ref="T2:T256" si="7">TRIM(PROPER(S2))</f>
        <v>Sao Paulo</v>
      </c>
      <c r="U2" s="12" t="s">
        <v>22</v>
      </c>
      <c r="V2" s="12">
        <f t="shared" ref="V2:V256" si="8">VALUE(U2)</f>
        <v>0.2</v>
      </c>
      <c r="W2" s="13">
        <f t="shared" ref="W2:W256" si="9">J2*(1+V2)</f>
        <v>141446.39999999999</v>
      </c>
      <c r="X2" s="2" t="str">
        <f t="shared" ref="X2:X256" si="10">IF(W2&gt;100000,"High", "Normal")</f>
        <v>High</v>
      </c>
    </row>
    <row r="3" spans="1:24" ht="14.25" customHeight="1" x14ac:dyDescent="0.5">
      <c r="A3" s="2" t="s">
        <v>23</v>
      </c>
      <c r="B3" s="2" t="s">
        <v>24</v>
      </c>
      <c r="C3" s="2" t="str">
        <f t="shared" si="0"/>
        <v>Chris Davis</v>
      </c>
      <c r="D3" s="2" t="s">
        <v>25</v>
      </c>
      <c r="E3" s="2" t="str">
        <f t="shared" si="1"/>
        <v>chris@company.com</v>
      </c>
      <c r="F3" s="2" t="s">
        <v>15</v>
      </c>
      <c r="G3" s="3">
        <v>44426</v>
      </c>
      <c r="H3" s="3" t="str">
        <f t="shared" si="2"/>
        <v>18-Aug-2021</v>
      </c>
      <c r="I3" s="10" t="s">
        <v>26</v>
      </c>
      <c r="J3" s="10">
        <f t="shared" si="3"/>
        <v>114878</v>
      </c>
      <c r="K3" s="11" t="s">
        <v>17</v>
      </c>
      <c r="L3" s="2" t="s">
        <v>27</v>
      </c>
      <c r="M3" s="2" t="str">
        <f t="shared" si="4"/>
        <v>On Leave</v>
      </c>
      <c r="N3" s="2" t="s">
        <v>28</v>
      </c>
      <c r="O3" s="2" t="str">
        <f t="shared" si="5"/>
        <v>Pending Docs</v>
      </c>
      <c r="P3" s="2" t="s">
        <v>29</v>
      </c>
      <c r="Q3" s="2" t="str">
        <f t="shared" si="6"/>
        <v>ET</v>
      </c>
      <c r="R3" s="2" t="e">
        <f t="array" aca="1" ref="R3" ca="1">_xludf.IFS(Q3="ET", "East", Q3="WT", "West", Q3="ST","South", Q3="NR", "North")</f>
        <v>#NAME?</v>
      </c>
      <c r="S3" s="2" t="s">
        <v>21</v>
      </c>
      <c r="T3" s="2" t="str">
        <f t="shared" si="7"/>
        <v>Sao Paulo</v>
      </c>
      <c r="U3" s="12" t="s">
        <v>30</v>
      </c>
      <c r="V3" s="12">
        <f t="shared" si="8"/>
        <v>0.1</v>
      </c>
      <c r="W3" s="13">
        <f t="shared" si="9"/>
        <v>126365.80000000002</v>
      </c>
      <c r="X3" s="2" t="str">
        <f t="shared" si="10"/>
        <v>High</v>
      </c>
    </row>
    <row r="4" spans="1:24" ht="14.25" customHeight="1" x14ac:dyDescent="0.5">
      <c r="A4" s="2" t="s">
        <v>31</v>
      </c>
      <c r="B4" s="2" t="s">
        <v>32</v>
      </c>
      <c r="C4" s="2" t="str">
        <f t="shared" si="0"/>
        <v>Sarah Lewis</v>
      </c>
      <c r="D4" s="2" t="s">
        <v>33</v>
      </c>
      <c r="E4" s="2" t="str">
        <f t="shared" si="1"/>
        <v>alex@company.com</v>
      </c>
      <c r="F4" s="2" t="s">
        <v>34</v>
      </c>
      <c r="G4" s="3">
        <v>44080</v>
      </c>
      <c r="H4" s="3" t="str">
        <f t="shared" si="2"/>
        <v>06-Sep-2020</v>
      </c>
      <c r="I4" s="10" t="s">
        <v>35</v>
      </c>
      <c r="J4" s="10">
        <f t="shared" si="3"/>
        <v>112982</v>
      </c>
      <c r="K4" s="11" t="s">
        <v>36</v>
      </c>
      <c r="L4" s="2" t="s">
        <v>18</v>
      </c>
      <c r="M4" s="2" t="str">
        <f t="shared" si="4"/>
        <v>Active</v>
      </c>
      <c r="O4" s="2" t="str">
        <f t="shared" si="5"/>
        <v>No Notes</v>
      </c>
      <c r="P4" s="2" t="s">
        <v>37</v>
      </c>
      <c r="Q4" s="2" t="str">
        <f t="shared" si="6"/>
        <v>NR</v>
      </c>
      <c r="R4" s="2" t="e">
        <f t="array" aca="1" ref="R4" ca="1">_xludf.IFS(Q4="ET", "East", Q4="WT", "West", Q4="ST","South", Q4="NR", "North")</f>
        <v>#NAME?</v>
      </c>
      <c r="S4" s="2" t="s">
        <v>38</v>
      </c>
      <c r="T4" s="2" t="str">
        <f t="shared" si="7"/>
        <v>London</v>
      </c>
      <c r="U4" s="12" t="s">
        <v>39</v>
      </c>
      <c r="V4" s="12">
        <f t="shared" si="8"/>
        <v>0.05</v>
      </c>
      <c r="W4" s="13">
        <f t="shared" si="9"/>
        <v>118631.1</v>
      </c>
      <c r="X4" s="2" t="str">
        <f t="shared" si="10"/>
        <v>High</v>
      </c>
    </row>
    <row r="5" spans="1:24" ht="14.25" customHeight="1" x14ac:dyDescent="0.5">
      <c r="A5" s="2" t="s">
        <v>40</v>
      </c>
      <c r="B5" s="2" t="s">
        <v>41</v>
      </c>
      <c r="C5" s="2" t="str">
        <f t="shared" si="0"/>
        <v>Sam Wilson</v>
      </c>
      <c r="D5" s="2" t="s">
        <v>33</v>
      </c>
      <c r="E5" s="2" t="str">
        <f t="shared" si="1"/>
        <v>alex@company.com</v>
      </c>
      <c r="F5" s="2" t="s">
        <v>42</v>
      </c>
      <c r="G5" s="3">
        <v>44705</v>
      </c>
      <c r="H5" s="3" t="str">
        <f t="shared" si="2"/>
        <v>24-May-2022</v>
      </c>
      <c r="I5" s="10" t="s">
        <v>43</v>
      </c>
      <c r="J5" s="10">
        <f t="shared" si="3"/>
        <v>90583</v>
      </c>
      <c r="K5" s="11" t="s">
        <v>44</v>
      </c>
      <c r="L5" s="2" t="s">
        <v>45</v>
      </c>
      <c r="M5" s="2" t="str">
        <f t="shared" si="4"/>
        <v>Active</v>
      </c>
      <c r="N5" s="2" t="s">
        <v>28</v>
      </c>
      <c r="O5" s="2" t="str">
        <f t="shared" si="5"/>
        <v>Pending Docs</v>
      </c>
      <c r="P5" s="2" t="s">
        <v>46</v>
      </c>
      <c r="Q5" s="2" t="str">
        <f t="shared" si="6"/>
        <v>WT</v>
      </c>
      <c r="R5" s="2" t="e">
        <f t="array" aca="1" ref="R5" ca="1">_xludf.IFS(Q5="ET", "East", Q5="WT", "West", Q5="ST","South", Q5="NR", "North")</f>
        <v>#NAME?</v>
      </c>
      <c r="S5" s="2" t="s">
        <v>47</v>
      </c>
      <c r="T5" s="2" t="str">
        <f t="shared" si="7"/>
        <v>Lagos</v>
      </c>
      <c r="U5" s="12" t="s">
        <v>22</v>
      </c>
      <c r="V5" s="12">
        <f t="shared" si="8"/>
        <v>0.2</v>
      </c>
      <c r="W5" s="13">
        <f t="shared" si="9"/>
        <v>108699.59999999999</v>
      </c>
      <c r="X5" s="2" t="str">
        <f t="shared" si="10"/>
        <v>High</v>
      </c>
    </row>
    <row r="6" spans="1:24" ht="14.25" customHeight="1" x14ac:dyDescent="0.5">
      <c r="A6" s="2" t="s">
        <v>48</v>
      </c>
      <c r="B6" s="2" t="s">
        <v>24</v>
      </c>
      <c r="C6" s="2" t="str">
        <f t="shared" si="0"/>
        <v>Chris Davis</v>
      </c>
      <c r="D6" s="2" t="s">
        <v>49</v>
      </c>
      <c r="E6" s="2" t="str">
        <f t="shared" si="1"/>
        <v>emily@company.com</v>
      </c>
      <c r="F6" s="2" t="s">
        <v>50</v>
      </c>
      <c r="G6" s="3">
        <v>45295</v>
      </c>
      <c r="H6" s="3" t="str">
        <f t="shared" si="2"/>
        <v>04-Jan-2024</v>
      </c>
      <c r="I6" s="10" t="s">
        <v>51</v>
      </c>
      <c r="J6" s="10">
        <f t="shared" si="3"/>
        <v>78392</v>
      </c>
      <c r="K6" s="11" t="s">
        <v>36</v>
      </c>
      <c r="L6" s="2" t="s">
        <v>18</v>
      </c>
      <c r="M6" s="2" t="str">
        <f t="shared" si="4"/>
        <v>Active</v>
      </c>
      <c r="N6" s="2" t="s">
        <v>28</v>
      </c>
      <c r="O6" s="2" t="str">
        <f t="shared" si="5"/>
        <v>Pending Docs</v>
      </c>
      <c r="P6" s="2" t="s">
        <v>52</v>
      </c>
      <c r="Q6" s="2" t="str">
        <f t="shared" si="6"/>
        <v>WT</v>
      </c>
      <c r="R6" s="2" t="e">
        <f t="array" aca="1" ref="R6" ca="1">_xludf.IFS(Q6="ET", "East", Q6="WT", "West", Q6="ST","South", Q6="NR", "North")</f>
        <v>#NAME?</v>
      </c>
      <c r="S6" s="2" t="s">
        <v>53</v>
      </c>
      <c r="T6" s="2" t="str">
        <f t="shared" si="7"/>
        <v>Delhi</v>
      </c>
      <c r="U6" s="12" t="s">
        <v>39</v>
      </c>
      <c r="V6" s="12">
        <f t="shared" si="8"/>
        <v>0.05</v>
      </c>
      <c r="W6" s="13">
        <f t="shared" si="9"/>
        <v>82311.600000000006</v>
      </c>
      <c r="X6" s="2" t="str">
        <f t="shared" si="10"/>
        <v>Normal</v>
      </c>
    </row>
    <row r="7" spans="1:24" ht="14.25" customHeight="1" x14ac:dyDescent="0.5">
      <c r="A7" s="2" t="s">
        <v>54</v>
      </c>
      <c r="B7" s="2" t="s">
        <v>55</v>
      </c>
      <c r="C7" s="2" t="str">
        <f t="shared" si="0"/>
        <v>Alex Moore</v>
      </c>
      <c r="D7" s="2" t="s">
        <v>25</v>
      </c>
      <c r="E7" s="2" t="str">
        <f t="shared" si="1"/>
        <v>chris@company.com</v>
      </c>
      <c r="F7" s="2" t="s">
        <v>34</v>
      </c>
      <c r="G7" s="3">
        <v>44026</v>
      </c>
      <c r="H7" s="3" t="str">
        <f t="shared" si="2"/>
        <v>14-Jul-2020</v>
      </c>
      <c r="I7" s="10" t="s">
        <v>56</v>
      </c>
      <c r="J7" s="10">
        <f t="shared" si="3"/>
        <v>47461</v>
      </c>
      <c r="K7" s="11" t="s">
        <v>57</v>
      </c>
      <c r="L7" s="2" t="s">
        <v>58</v>
      </c>
      <c r="M7" s="2" t="str">
        <f t="shared" si="4"/>
        <v>Terminated</v>
      </c>
      <c r="N7" s="2" t="s">
        <v>19</v>
      </c>
      <c r="O7" s="2" t="str">
        <f t="shared" si="5"/>
        <v>Urgent Review</v>
      </c>
      <c r="P7" s="2" t="s">
        <v>59</v>
      </c>
      <c r="Q7" s="2" t="str">
        <f t="shared" si="6"/>
        <v>ET</v>
      </c>
      <c r="R7" s="2" t="e">
        <f t="array" aca="1" ref="R7" ca="1">_xludf.IFS(Q7="ET", "East", Q7="WT", "West", Q7="ST","South", Q7="NR", "North")</f>
        <v>#NAME?</v>
      </c>
      <c r="S7" s="2" t="s">
        <v>60</v>
      </c>
      <c r="T7" s="2" t="str">
        <f t="shared" si="7"/>
        <v>Toronto</v>
      </c>
      <c r="U7" s="12" t="s">
        <v>30</v>
      </c>
      <c r="V7" s="12">
        <f t="shared" si="8"/>
        <v>0.1</v>
      </c>
      <c r="W7" s="13">
        <f t="shared" si="9"/>
        <v>52207.100000000006</v>
      </c>
      <c r="X7" s="2" t="str">
        <f t="shared" si="10"/>
        <v>Normal</v>
      </c>
    </row>
    <row r="8" spans="1:24" ht="14.25" customHeight="1" x14ac:dyDescent="0.5">
      <c r="A8" s="2" t="s">
        <v>61</v>
      </c>
      <c r="B8" s="2" t="s">
        <v>62</v>
      </c>
      <c r="C8" s="2" t="str">
        <f t="shared" si="0"/>
        <v>Chris Brown</v>
      </c>
      <c r="D8" s="2" t="s">
        <v>49</v>
      </c>
      <c r="E8" s="2" t="str">
        <f t="shared" si="1"/>
        <v>emily@company.com</v>
      </c>
      <c r="F8" s="2" t="s">
        <v>42</v>
      </c>
      <c r="G8" s="3">
        <v>44520</v>
      </c>
      <c r="H8" s="3" t="str">
        <f t="shared" si="2"/>
        <v>20-Nov-2021</v>
      </c>
      <c r="I8" s="10" t="s">
        <v>63</v>
      </c>
      <c r="J8" s="10">
        <f t="shared" si="3"/>
        <v>50516</v>
      </c>
      <c r="K8" s="11" t="s">
        <v>36</v>
      </c>
      <c r="L8" s="2" t="s">
        <v>64</v>
      </c>
      <c r="M8" s="2" t="str">
        <f t="shared" si="4"/>
        <v>Terminated</v>
      </c>
      <c r="N8" s="2" t="s">
        <v>65</v>
      </c>
      <c r="O8" s="2" t="str">
        <f t="shared" si="5"/>
        <v>Follow Up</v>
      </c>
      <c r="P8" s="2" t="s">
        <v>66</v>
      </c>
      <c r="Q8" s="2" t="str">
        <f t="shared" si="6"/>
        <v>NR</v>
      </c>
      <c r="R8" s="2" t="e">
        <f t="array" aca="1" ref="R8" ca="1">_xludf.IFS(Q8="ET", "East", Q8="WT", "West", Q8="ST","South", Q8="NR", "North")</f>
        <v>#NAME?</v>
      </c>
      <c r="S8" s="2" t="s">
        <v>53</v>
      </c>
      <c r="T8" s="2" t="str">
        <f t="shared" si="7"/>
        <v>Delhi</v>
      </c>
      <c r="U8" s="12" t="s">
        <v>30</v>
      </c>
      <c r="V8" s="12">
        <f t="shared" si="8"/>
        <v>0.1</v>
      </c>
      <c r="W8" s="13">
        <f t="shared" si="9"/>
        <v>55567.600000000006</v>
      </c>
      <c r="X8" s="2" t="str">
        <f t="shared" si="10"/>
        <v>Normal</v>
      </c>
    </row>
    <row r="9" spans="1:24" ht="14.25" customHeight="1" x14ac:dyDescent="0.5">
      <c r="A9" s="2" t="s">
        <v>67</v>
      </c>
      <c r="B9" s="2" t="s">
        <v>68</v>
      </c>
      <c r="C9" s="2" t="str">
        <f t="shared" si="0"/>
        <v>Daniel Davis</v>
      </c>
      <c r="D9" s="2" t="s">
        <v>25</v>
      </c>
      <c r="E9" s="2" t="str">
        <f t="shared" si="1"/>
        <v>chris@company.com</v>
      </c>
      <c r="F9" s="2" t="s">
        <v>69</v>
      </c>
      <c r="G9" s="3">
        <v>44924</v>
      </c>
      <c r="H9" s="3" t="str">
        <f t="shared" si="2"/>
        <v>29-Dec-2022</v>
      </c>
      <c r="I9" s="10" t="s">
        <v>70</v>
      </c>
      <c r="J9" s="10">
        <f t="shared" si="3"/>
        <v>119285</v>
      </c>
      <c r="K9" s="11" t="s">
        <v>44</v>
      </c>
      <c r="L9" s="2" t="s">
        <v>27</v>
      </c>
      <c r="M9" s="2" t="str">
        <f t="shared" si="4"/>
        <v>On Leave</v>
      </c>
      <c r="N9" s="2" t="s">
        <v>65</v>
      </c>
      <c r="O9" s="2" t="str">
        <f t="shared" si="5"/>
        <v>Follow Up</v>
      </c>
      <c r="P9" s="2" t="s">
        <v>71</v>
      </c>
      <c r="Q9" s="2" t="str">
        <f t="shared" si="6"/>
        <v>ST</v>
      </c>
      <c r="R9" s="2" t="e">
        <f t="array" aca="1" ref="R9" ca="1">_xludf.IFS(Q9="ET", "East", Q9="WT", "West", Q9="ST","South", Q9="NR", "North")</f>
        <v>#NAME?</v>
      </c>
      <c r="S9" s="2" t="s">
        <v>53</v>
      </c>
      <c r="T9" s="2" t="str">
        <f t="shared" si="7"/>
        <v>Delhi</v>
      </c>
      <c r="U9" s="12" t="s">
        <v>30</v>
      </c>
      <c r="V9" s="12">
        <f t="shared" si="8"/>
        <v>0.1</v>
      </c>
      <c r="W9" s="13">
        <f t="shared" si="9"/>
        <v>131213.5</v>
      </c>
      <c r="X9" s="2" t="str">
        <f t="shared" si="10"/>
        <v>High</v>
      </c>
    </row>
    <row r="10" spans="1:24" ht="14.25" customHeight="1" x14ac:dyDescent="0.5">
      <c r="A10" s="2" t="s">
        <v>72</v>
      </c>
      <c r="B10" s="2" t="s">
        <v>73</v>
      </c>
      <c r="C10" s="2" t="str">
        <f t="shared" si="0"/>
        <v>Jane Moore</v>
      </c>
      <c r="D10" s="2" t="s">
        <v>74</v>
      </c>
      <c r="E10" s="2" t="str">
        <f t="shared" si="1"/>
        <v>mike@company.com</v>
      </c>
      <c r="F10" s="2" t="s">
        <v>75</v>
      </c>
      <c r="G10" s="3">
        <v>44469</v>
      </c>
      <c r="H10" s="3" t="str">
        <f t="shared" si="2"/>
        <v>30-Sep-2021</v>
      </c>
      <c r="I10" s="10" t="s">
        <v>76</v>
      </c>
      <c r="J10" s="10">
        <f t="shared" si="3"/>
        <v>57514</v>
      </c>
      <c r="K10" s="11" t="s">
        <v>57</v>
      </c>
      <c r="L10" s="2" t="s">
        <v>18</v>
      </c>
      <c r="M10" s="2" t="str">
        <f t="shared" si="4"/>
        <v>Active</v>
      </c>
      <c r="N10" s="2" t="s">
        <v>77</v>
      </c>
      <c r="O10" s="2" t="str">
        <f t="shared" si="5"/>
        <v>All Clear</v>
      </c>
      <c r="P10" s="2" t="s">
        <v>78</v>
      </c>
      <c r="Q10" s="2" t="str">
        <f t="shared" si="6"/>
        <v>ST</v>
      </c>
      <c r="R10" s="2" t="e">
        <f t="array" aca="1" ref="R10" ca="1">_xludf.IFS(Q10="ET", "East", Q10="WT", "West", Q10="ST","South", Q10="NR", "North")</f>
        <v>#NAME?</v>
      </c>
      <c r="S10" s="2" t="s">
        <v>79</v>
      </c>
      <c r="T10" s="2" t="str">
        <f t="shared" si="7"/>
        <v>New York</v>
      </c>
      <c r="U10" s="12" t="s">
        <v>39</v>
      </c>
      <c r="V10" s="12">
        <f t="shared" si="8"/>
        <v>0.05</v>
      </c>
      <c r="W10" s="13">
        <f t="shared" si="9"/>
        <v>60389.700000000004</v>
      </c>
      <c r="X10" s="2" t="str">
        <f t="shared" si="10"/>
        <v>Normal</v>
      </c>
    </row>
    <row r="11" spans="1:24" ht="14.25" customHeight="1" x14ac:dyDescent="0.5">
      <c r="A11" s="2" t="s">
        <v>80</v>
      </c>
      <c r="B11" s="2" t="s">
        <v>81</v>
      </c>
      <c r="C11" s="2" t="str">
        <f t="shared" si="0"/>
        <v>Daniel Johnson</v>
      </c>
      <c r="D11" s="2" t="s">
        <v>14</v>
      </c>
      <c r="E11" s="2" t="str">
        <f t="shared" si="1"/>
        <v>john@company.com</v>
      </c>
      <c r="F11" s="2" t="s">
        <v>34</v>
      </c>
      <c r="G11" s="3">
        <v>45253</v>
      </c>
      <c r="H11" s="3" t="str">
        <f t="shared" si="2"/>
        <v>23-Nov-2023</v>
      </c>
      <c r="I11" s="10" t="s">
        <v>82</v>
      </c>
      <c r="J11" s="10">
        <f t="shared" si="3"/>
        <v>76268</v>
      </c>
      <c r="K11" s="11" t="s">
        <v>83</v>
      </c>
      <c r="L11" s="2" t="s">
        <v>45</v>
      </c>
      <c r="M11" s="2" t="str">
        <f t="shared" si="4"/>
        <v>Active</v>
      </c>
      <c r="N11" s="2" t="s">
        <v>65</v>
      </c>
      <c r="O11" s="2" t="str">
        <f t="shared" si="5"/>
        <v>Follow Up</v>
      </c>
      <c r="P11" s="2" t="s">
        <v>84</v>
      </c>
      <c r="Q11" s="2" t="str">
        <f t="shared" si="6"/>
        <v>WT</v>
      </c>
      <c r="R11" s="2" t="e">
        <f t="array" aca="1" ref="R11" ca="1">_xludf.IFS(Q11="ET", "East", Q11="WT", "West", Q11="ST","South", Q11="NR", "North")</f>
        <v>#NAME?</v>
      </c>
      <c r="S11" s="2" t="s">
        <v>53</v>
      </c>
      <c r="T11" s="2" t="str">
        <f t="shared" si="7"/>
        <v>Delhi</v>
      </c>
      <c r="U11" s="12" t="s">
        <v>85</v>
      </c>
      <c r="V11" s="12">
        <f t="shared" si="8"/>
        <v>0.15</v>
      </c>
      <c r="W11" s="13">
        <f t="shared" si="9"/>
        <v>87708.2</v>
      </c>
      <c r="X11" s="2" t="str">
        <f t="shared" si="10"/>
        <v>Normal</v>
      </c>
    </row>
    <row r="12" spans="1:24" ht="14.25" customHeight="1" x14ac:dyDescent="0.5">
      <c r="A12" s="2" t="s">
        <v>86</v>
      </c>
      <c r="B12" s="2" t="s">
        <v>87</v>
      </c>
      <c r="C12" s="2" t="str">
        <f t="shared" si="0"/>
        <v>Emily smith</v>
      </c>
      <c r="D12" s="2" t="s">
        <v>74</v>
      </c>
      <c r="E12" s="2" t="str">
        <f t="shared" si="1"/>
        <v>mike@company.com</v>
      </c>
      <c r="F12" s="2" t="s">
        <v>34</v>
      </c>
      <c r="G12" s="3">
        <v>44502</v>
      </c>
      <c r="H12" s="3" t="str">
        <f t="shared" si="2"/>
        <v>02-Nov-2021</v>
      </c>
      <c r="I12" s="10" t="s">
        <v>88</v>
      </c>
      <c r="J12" s="10">
        <f t="shared" si="3"/>
        <v>76788</v>
      </c>
      <c r="K12" s="11" t="s">
        <v>83</v>
      </c>
      <c r="L12" s="2" t="s">
        <v>89</v>
      </c>
      <c r="M12" s="2" t="str">
        <f t="shared" si="4"/>
        <v>Active</v>
      </c>
      <c r="N12" s="2" t="s">
        <v>28</v>
      </c>
      <c r="O12" s="2" t="str">
        <f t="shared" si="5"/>
        <v>Pending Docs</v>
      </c>
      <c r="P12" s="2" t="s">
        <v>90</v>
      </c>
      <c r="Q12" s="2" t="str">
        <f t="shared" si="6"/>
        <v>ST</v>
      </c>
      <c r="R12" s="2" t="e">
        <f t="array" aca="1" ref="R12" ca="1">_xludf.IFS(Q12="ET", "East", Q12="WT", "West", Q12="ST","South", Q12="NR", "North")</f>
        <v>#NAME?</v>
      </c>
      <c r="S12" s="2" t="s">
        <v>21</v>
      </c>
      <c r="T12" s="2" t="str">
        <f t="shared" si="7"/>
        <v>Sao Paulo</v>
      </c>
      <c r="U12" s="12" t="s">
        <v>39</v>
      </c>
      <c r="V12" s="12">
        <f t="shared" si="8"/>
        <v>0.05</v>
      </c>
      <c r="W12" s="13">
        <f t="shared" si="9"/>
        <v>80627.400000000009</v>
      </c>
      <c r="X12" s="2" t="str">
        <f t="shared" si="10"/>
        <v>Normal</v>
      </c>
    </row>
    <row r="13" spans="1:24" ht="14.25" customHeight="1" x14ac:dyDescent="0.5">
      <c r="A13" s="2" t="s">
        <v>91</v>
      </c>
      <c r="B13" s="2" t="s">
        <v>92</v>
      </c>
      <c r="C13" s="2" t="str">
        <f t="shared" si="0"/>
        <v>Mike Miller</v>
      </c>
      <c r="D13" s="2" t="s">
        <v>93</v>
      </c>
      <c r="E13" s="2" t="str">
        <f t="shared" si="1"/>
        <v>k@ie@company.com</v>
      </c>
      <c r="F13" s="2" t="s">
        <v>50</v>
      </c>
      <c r="G13" s="3">
        <v>45057</v>
      </c>
      <c r="H13" s="3" t="str">
        <f t="shared" si="2"/>
        <v>11-May-2023</v>
      </c>
      <c r="I13" s="10" t="s">
        <v>94</v>
      </c>
      <c r="J13" s="10">
        <f t="shared" si="3"/>
        <v>115749</v>
      </c>
      <c r="K13" s="11" t="s">
        <v>44</v>
      </c>
      <c r="L13" s="2" t="s">
        <v>64</v>
      </c>
      <c r="M13" s="2" t="str">
        <f t="shared" si="4"/>
        <v>Terminated</v>
      </c>
      <c r="N13" s="2" t="s">
        <v>77</v>
      </c>
      <c r="O13" s="2" t="str">
        <f t="shared" si="5"/>
        <v>All Clear</v>
      </c>
      <c r="P13" s="2" t="s">
        <v>95</v>
      </c>
      <c r="Q13" s="2" t="str">
        <f t="shared" si="6"/>
        <v>WT</v>
      </c>
      <c r="R13" s="2" t="e">
        <f t="array" aca="1" ref="R13" ca="1">_xludf.IFS(Q13="ET", "East", Q13="WT", "West", Q13="ST","South", Q13="NR", "North")</f>
        <v>#NAME?</v>
      </c>
      <c r="S13" s="2" t="s">
        <v>96</v>
      </c>
      <c r="T13" s="2" t="str">
        <f t="shared" si="7"/>
        <v>Cairo</v>
      </c>
      <c r="U13" s="12" t="s">
        <v>85</v>
      </c>
      <c r="V13" s="12">
        <f t="shared" si="8"/>
        <v>0.15</v>
      </c>
      <c r="W13" s="13">
        <f t="shared" si="9"/>
        <v>133111.34999999998</v>
      </c>
      <c r="X13" s="2" t="str">
        <f t="shared" si="10"/>
        <v>High</v>
      </c>
    </row>
    <row r="14" spans="1:24" ht="14.25" customHeight="1" x14ac:dyDescent="0.5">
      <c r="A14" s="2" t="s">
        <v>97</v>
      </c>
      <c r="B14" s="2" t="s">
        <v>98</v>
      </c>
      <c r="C14" s="2" t="str">
        <f t="shared" si="0"/>
        <v>Katie Smith</v>
      </c>
      <c r="D14" s="2" t="s">
        <v>99</v>
      </c>
      <c r="E14" s="2" t="str">
        <f t="shared" si="1"/>
        <v>daniel@company.com</v>
      </c>
      <c r="F14" s="2" t="s">
        <v>100</v>
      </c>
      <c r="G14" s="3">
        <v>45002</v>
      </c>
      <c r="H14" s="3" t="str">
        <f t="shared" si="2"/>
        <v>17-Mar-2023</v>
      </c>
      <c r="I14" s="10" t="s">
        <v>101</v>
      </c>
      <c r="J14" s="10">
        <f t="shared" si="3"/>
        <v>101049</v>
      </c>
      <c r="K14" s="11" t="s">
        <v>36</v>
      </c>
      <c r="L14" s="2" t="s">
        <v>27</v>
      </c>
      <c r="M14" s="2" t="str">
        <f t="shared" si="4"/>
        <v>On Leave</v>
      </c>
      <c r="N14" s="2" t="s">
        <v>19</v>
      </c>
      <c r="O14" s="2" t="str">
        <f t="shared" si="5"/>
        <v>Urgent Review</v>
      </c>
      <c r="P14" s="2" t="s">
        <v>102</v>
      </c>
      <c r="Q14" s="2" t="str">
        <f t="shared" si="6"/>
        <v>WT</v>
      </c>
      <c r="R14" s="2" t="e">
        <f t="array" aca="1" ref="R14" ca="1">_xludf.IFS(Q14="ET", "East", Q14="WT", "West", Q14="ST","South", Q14="NR", "North")</f>
        <v>#NAME?</v>
      </c>
      <c r="S14" s="2" t="s">
        <v>47</v>
      </c>
      <c r="T14" s="2" t="str">
        <f t="shared" si="7"/>
        <v>Lagos</v>
      </c>
      <c r="U14" s="12" t="s">
        <v>30</v>
      </c>
      <c r="V14" s="12">
        <f t="shared" si="8"/>
        <v>0.1</v>
      </c>
      <c r="W14" s="13">
        <f t="shared" si="9"/>
        <v>111153.90000000001</v>
      </c>
      <c r="X14" s="2" t="str">
        <f t="shared" si="10"/>
        <v>High</v>
      </c>
    </row>
    <row r="15" spans="1:24" ht="14.25" customHeight="1" x14ac:dyDescent="0.5">
      <c r="A15" s="2" t="s">
        <v>103</v>
      </c>
      <c r="B15" s="2" t="s">
        <v>104</v>
      </c>
      <c r="C15" s="2" t="str">
        <f t="shared" si="0"/>
        <v>Mike Brown</v>
      </c>
      <c r="D15" s="2" t="s">
        <v>105</v>
      </c>
      <c r="E15" s="2" t="str">
        <f t="shared" si="1"/>
        <v>sam@company.com</v>
      </c>
      <c r="F15" s="2" t="s">
        <v>69</v>
      </c>
      <c r="G15" s="3">
        <v>45326</v>
      </c>
      <c r="H15" s="3" t="str">
        <f t="shared" si="2"/>
        <v>04-Feb-2024</v>
      </c>
      <c r="I15" s="10" t="s">
        <v>106</v>
      </c>
      <c r="J15" s="10">
        <f t="shared" si="3"/>
        <v>102493</v>
      </c>
      <c r="K15" s="11" t="s">
        <v>17</v>
      </c>
      <c r="L15" s="2" t="s">
        <v>45</v>
      </c>
      <c r="M15" s="2" t="str">
        <f t="shared" si="4"/>
        <v>Active</v>
      </c>
      <c r="N15" s="2" t="s">
        <v>107</v>
      </c>
      <c r="O15" s="2" t="str">
        <f t="shared" si="5"/>
        <v>All Clear</v>
      </c>
      <c r="P15" s="2" t="s">
        <v>108</v>
      </c>
      <c r="Q15" s="2" t="str">
        <f t="shared" si="6"/>
        <v>WT</v>
      </c>
      <c r="R15" s="2" t="e">
        <f t="array" aca="1" ref="R15" ca="1">_xludf.IFS(Q15="ET", "East", Q15="WT", "West", Q15="ST","South", Q15="NR", "North")</f>
        <v>#NAME?</v>
      </c>
      <c r="S15" s="2" t="s">
        <v>60</v>
      </c>
      <c r="T15" s="2" t="str">
        <f t="shared" si="7"/>
        <v>Toronto</v>
      </c>
      <c r="U15" s="12" t="s">
        <v>22</v>
      </c>
      <c r="V15" s="12">
        <f t="shared" si="8"/>
        <v>0.2</v>
      </c>
      <c r="W15" s="13">
        <f t="shared" si="9"/>
        <v>122991.59999999999</v>
      </c>
      <c r="X15" s="2" t="str">
        <f t="shared" si="10"/>
        <v>High</v>
      </c>
    </row>
    <row r="16" spans="1:24" ht="14.25" customHeight="1" x14ac:dyDescent="0.5">
      <c r="A16" s="2" t="s">
        <v>109</v>
      </c>
      <c r="B16" s="2" t="s">
        <v>110</v>
      </c>
      <c r="C16" s="2" t="str">
        <f t="shared" si="0"/>
        <v>Sarah taylor</v>
      </c>
      <c r="D16" s="2" t="s">
        <v>25</v>
      </c>
      <c r="E16" s="2" t="str">
        <f t="shared" si="1"/>
        <v>chris@company.com</v>
      </c>
      <c r="F16" s="2" t="s">
        <v>50</v>
      </c>
      <c r="G16" s="3">
        <v>44774</v>
      </c>
      <c r="H16" s="3" t="str">
        <f t="shared" si="2"/>
        <v>01-Aug-2022</v>
      </c>
      <c r="I16" s="10" t="s">
        <v>111</v>
      </c>
      <c r="J16" s="10">
        <f t="shared" si="3"/>
        <v>76027</v>
      </c>
      <c r="K16" s="11" t="s">
        <v>44</v>
      </c>
      <c r="L16" s="2" t="s">
        <v>112</v>
      </c>
      <c r="M16" s="2" t="str">
        <f t="shared" si="4"/>
        <v>On Leave</v>
      </c>
      <c r="N16" s="2" t="s">
        <v>28</v>
      </c>
      <c r="O16" s="2" t="str">
        <f t="shared" si="5"/>
        <v>Pending Docs</v>
      </c>
      <c r="P16" s="2" t="s">
        <v>113</v>
      </c>
      <c r="Q16" s="2" t="str">
        <f t="shared" si="6"/>
        <v>ST</v>
      </c>
      <c r="R16" s="2" t="e">
        <f t="array" aca="1" ref="R16" ca="1">_xludf.IFS(Q16="ET", "East", Q16="WT", "West", Q16="ST","South", Q16="NR", "North")</f>
        <v>#NAME?</v>
      </c>
      <c r="S16" s="2" t="s">
        <v>79</v>
      </c>
      <c r="T16" s="2" t="str">
        <f t="shared" si="7"/>
        <v>New York</v>
      </c>
      <c r="U16" s="12" t="s">
        <v>85</v>
      </c>
      <c r="V16" s="12">
        <f t="shared" si="8"/>
        <v>0.15</v>
      </c>
      <c r="W16" s="13">
        <f t="shared" si="9"/>
        <v>87431.049999999988</v>
      </c>
      <c r="X16" s="2" t="str">
        <f t="shared" si="10"/>
        <v>Normal</v>
      </c>
    </row>
    <row r="17" spans="1:24" ht="14.25" customHeight="1" x14ac:dyDescent="0.5">
      <c r="A17" s="2" t="s">
        <v>114</v>
      </c>
      <c r="B17" s="2" t="s">
        <v>115</v>
      </c>
      <c r="C17" s="2" t="str">
        <f t="shared" si="0"/>
        <v>Katie Brown</v>
      </c>
      <c r="D17" s="2" t="s">
        <v>93</v>
      </c>
      <c r="E17" s="2" t="str">
        <f t="shared" si="1"/>
        <v>k@ie@company.com</v>
      </c>
      <c r="F17" s="2" t="s">
        <v>42</v>
      </c>
      <c r="G17" s="3">
        <v>44029</v>
      </c>
      <c r="H17" s="3" t="str">
        <f t="shared" si="2"/>
        <v>17-Jul-2020</v>
      </c>
      <c r="I17" s="10" t="s">
        <v>116</v>
      </c>
      <c r="J17" s="10">
        <f t="shared" si="3"/>
        <v>82849</v>
      </c>
      <c r="K17" s="11" t="s">
        <v>57</v>
      </c>
      <c r="L17" s="2" t="s">
        <v>58</v>
      </c>
      <c r="M17" s="2" t="str">
        <f t="shared" si="4"/>
        <v>Terminated</v>
      </c>
      <c r="N17" s="2" t="s">
        <v>28</v>
      </c>
      <c r="O17" s="2" t="str">
        <f t="shared" si="5"/>
        <v>Pending Docs</v>
      </c>
      <c r="P17" s="2" t="s">
        <v>117</v>
      </c>
      <c r="Q17" s="2" t="str">
        <f t="shared" si="6"/>
        <v>WT</v>
      </c>
      <c r="R17" s="2" t="e">
        <f t="array" aca="1" ref="R17" ca="1">_xludf.IFS(Q17="ET", "East", Q17="WT", "West", Q17="ST","South", Q17="NR", "North")</f>
        <v>#NAME?</v>
      </c>
      <c r="S17" s="2" t="s">
        <v>53</v>
      </c>
      <c r="T17" s="2" t="str">
        <f t="shared" si="7"/>
        <v>Delhi</v>
      </c>
      <c r="U17" s="12" t="s">
        <v>30</v>
      </c>
      <c r="V17" s="12">
        <f t="shared" si="8"/>
        <v>0.1</v>
      </c>
      <c r="W17" s="13">
        <f t="shared" si="9"/>
        <v>91133.900000000009</v>
      </c>
      <c r="X17" s="2" t="str">
        <f t="shared" si="10"/>
        <v>Normal</v>
      </c>
    </row>
    <row r="18" spans="1:24" ht="14.25" customHeight="1" x14ac:dyDescent="0.5">
      <c r="A18" s="2" t="s">
        <v>118</v>
      </c>
      <c r="B18" s="2" t="s">
        <v>119</v>
      </c>
      <c r="C18" s="2" t="str">
        <f t="shared" si="0"/>
        <v>Emily Brown</v>
      </c>
      <c r="D18" s="2" t="s">
        <v>99</v>
      </c>
      <c r="E18" s="2" t="str">
        <f t="shared" si="1"/>
        <v>daniel@company.com</v>
      </c>
      <c r="F18" s="2" t="s">
        <v>42</v>
      </c>
      <c r="G18" s="3">
        <v>45280</v>
      </c>
      <c r="H18" s="3" t="str">
        <f t="shared" si="2"/>
        <v>20-Dec-2023</v>
      </c>
      <c r="I18" s="10" t="s">
        <v>120</v>
      </c>
      <c r="J18" s="10">
        <f t="shared" si="3"/>
        <v>57858</v>
      </c>
      <c r="K18" s="11" t="s">
        <v>57</v>
      </c>
      <c r="L18" s="2" t="s">
        <v>121</v>
      </c>
      <c r="M18" s="2" t="str">
        <f t="shared" si="4"/>
        <v>On Leave</v>
      </c>
      <c r="N18" s="2" t="s">
        <v>77</v>
      </c>
      <c r="O18" s="2" t="str">
        <f t="shared" si="5"/>
        <v>All Clear</v>
      </c>
      <c r="P18" s="2" t="s">
        <v>122</v>
      </c>
      <c r="Q18" s="2" t="str">
        <f t="shared" si="6"/>
        <v>ET</v>
      </c>
      <c r="R18" s="2" t="e">
        <f t="array" aca="1" ref="R18" ca="1">_xludf.IFS(Q18="ET", "East", Q18="WT", "West", Q18="ST","South", Q18="NR", "North")</f>
        <v>#NAME?</v>
      </c>
      <c r="S18" s="2" t="s">
        <v>96</v>
      </c>
      <c r="T18" s="2" t="str">
        <f t="shared" si="7"/>
        <v>Cairo</v>
      </c>
      <c r="U18" s="12" t="s">
        <v>30</v>
      </c>
      <c r="V18" s="12">
        <f t="shared" si="8"/>
        <v>0.1</v>
      </c>
      <c r="W18" s="13">
        <f t="shared" si="9"/>
        <v>63643.8</v>
      </c>
      <c r="X18" s="2" t="str">
        <f t="shared" si="10"/>
        <v>Normal</v>
      </c>
    </row>
    <row r="19" spans="1:24" ht="14.25" customHeight="1" x14ac:dyDescent="0.5">
      <c r="A19" s="2" t="s">
        <v>123</v>
      </c>
      <c r="B19" s="2" t="s">
        <v>124</v>
      </c>
      <c r="C19" s="2" t="str">
        <f t="shared" si="0"/>
        <v>Sarah Davis</v>
      </c>
      <c r="D19" s="2" t="s">
        <v>125</v>
      </c>
      <c r="E19" s="2" t="str">
        <f t="shared" si="1"/>
        <v>sarah@company.com</v>
      </c>
      <c r="F19" s="2" t="s">
        <v>42</v>
      </c>
      <c r="G19" s="3">
        <v>44322</v>
      </c>
      <c r="H19" s="3" t="str">
        <f t="shared" si="2"/>
        <v>06-May-2021</v>
      </c>
      <c r="I19" s="10" t="s">
        <v>126</v>
      </c>
      <c r="J19" s="10">
        <f t="shared" si="3"/>
        <v>119003</v>
      </c>
      <c r="K19" s="11" t="s">
        <v>83</v>
      </c>
      <c r="L19" s="2" t="s">
        <v>112</v>
      </c>
      <c r="M19" s="2" t="str">
        <f t="shared" si="4"/>
        <v>On Leave</v>
      </c>
      <c r="N19" s="2" t="s">
        <v>19</v>
      </c>
      <c r="O19" s="2" t="str">
        <f t="shared" si="5"/>
        <v>Urgent Review</v>
      </c>
      <c r="P19" s="2" t="s">
        <v>127</v>
      </c>
      <c r="Q19" s="2" t="str">
        <f t="shared" si="6"/>
        <v>NR</v>
      </c>
      <c r="R19" s="2" t="e">
        <f t="array" aca="1" ref="R19" ca="1">_xludf.IFS(Q19="ET", "East", Q19="WT", "West", Q19="ST","South", Q19="NR", "North")</f>
        <v>#NAME?</v>
      </c>
      <c r="S19" s="2" t="s">
        <v>47</v>
      </c>
      <c r="T19" s="2" t="str">
        <f t="shared" si="7"/>
        <v>Lagos</v>
      </c>
      <c r="U19" s="12" t="s">
        <v>85</v>
      </c>
      <c r="V19" s="12">
        <f t="shared" si="8"/>
        <v>0.15</v>
      </c>
      <c r="W19" s="13">
        <f t="shared" si="9"/>
        <v>136853.44999999998</v>
      </c>
      <c r="X19" s="2" t="str">
        <f t="shared" si="10"/>
        <v>High</v>
      </c>
    </row>
    <row r="20" spans="1:24" ht="14.25" customHeight="1" x14ac:dyDescent="0.5">
      <c r="A20" s="2" t="s">
        <v>128</v>
      </c>
      <c r="B20" s="2" t="s">
        <v>129</v>
      </c>
      <c r="C20" s="2" t="str">
        <f t="shared" si="0"/>
        <v>Katie Wilson</v>
      </c>
      <c r="D20" s="2" t="s">
        <v>14</v>
      </c>
      <c r="E20" s="2" t="str">
        <f t="shared" si="1"/>
        <v>john@company.com</v>
      </c>
      <c r="F20" s="2" t="s">
        <v>42</v>
      </c>
      <c r="G20" s="3">
        <v>44726</v>
      </c>
      <c r="H20" s="3" t="str">
        <f t="shared" si="2"/>
        <v>14-Jun-2022</v>
      </c>
      <c r="I20" s="10" t="s">
        <v>130</v>
      </c>
      <c r="J20" s="10">
        <f t="shared" si="3"/>
        <v>92395</v>
      </c>
      <c r="K20" s="11" t="s">
        <v>57</v>
      </c>
      <c r="L20" s="2" t="s">
        <v>121</v>
      </c>
      <c r="M20" s="2" t="str">
        <f t="shared" si="4"/>
        <v>On Leave</v>
      </c>
      <c r="O20" s="2" t="str">
        <f t="shared" si="5"/>
        <v>No Notes</v>
      </c>
      <c r="P20" s="2" t="s">
        <v>131</v>
      </c>
      <c r="Q20" s="2" t="str">
        <f t="shared" si="6"/>
        <v>NR</v>
      </c>
      <c r="R20" s="2" t="e">
        <f t="array" aca="1" ref="R20" ca="1">_xludf.IFS(Q20="ET", "East", Q20="WT", "West", Q20="ST","South", Q20="NR", "North")</f>
        <v>#NAME?</v>
      </c>
      <c r="S20" s="2" t="s">
        <v>38</v>
      </c>
      <c r="T20" s="2" t="str">
        <f t="shared" si="7"/>
        <v>London</v>
      </c>
      <c r="U20" s="12" t="s">
        <v>22</v>
      </c>
      <c r="V20" s="12">
        <f t="shared" si="8"/>
        <v>0.2</v>
      </c>
      <c r="W20" s="13">
        <f t="shared" si="9"/>
        <v>110874</v>
      </c>
      <c r="X20" s="2" t="str">
        <f t="shared" si="10"/>
        <v>High</v>
      </c>
    </row>
    <row r="21" spans="1:24" ht="14.25" customHeight="1" x14ac:dyDescent="0.5">
      <c r="A21" s="2" t="s">
        <v>132</v>
      </c>
      <c r="B21" s="2" t="s">
        <v>133</v>
      </c>
      <c r="C21" s="2" t="str">
        <f t="shared" si="0"/>
        <v>Jane Taylor</v>
      </c>
      <c r="D21" s="2" t="s">
        <v>49</v>
      </c>
      <c r="E21" s="2" t="str">
        <f t="shared" si="1"/>
        <v>emily@company.com</v>
      </c>
      <c r="F21" s="2" t="s">
        <v>100</v>
      </c>
      <c r="G21" s="3">
        <v>43972</v>
      </c>
      <c r="H21" s="3" t="str">
        <f t="shared" si="2"/>
        <v>21-May-2020</v>
      </c>
      <c r="I21" s="10" t="s">
        <v>134</v>
      </c>
      <c r="J21" s="10">
        <f t="shared" si="3"/>
        <v>79758</v>
      </c>
      <c r="K21" s="11" t="s">
        <v>44</v>
      </c>
      <c r="L21" s="2" t="s">
        <v>58</v>
      </c>
      <c r="M21" s="2" t="str">
        <f t="shared" si="4"/>
        <v>Terminated</v>
      </c>
      <c r="N21" s="2" t="s">
        <v>28</v>
      </c>
      <c r="O21" s="2" t="str">
        <f t="shared" si="5"/>
        <v>Pending Docs</v>
      </c>
      <c r="P21" s="2" t="s">
        <v>135</v>
      </c>
      <c r="Q21" s="2" t="str">
        <f t="shared" si="6"/>
        <v>WT</v>
      </c>
      <c r="R21" s="2" t="e">
        <f t="array" aca="1" ref="R21" ca="1">_xludf.IFS(Q21="ET", "East", Q21="WT", "West", Q21="ST","South", Q21="NR", "North")</f>
        <v>#NAME?</v>
      </c>
      <c r="S21" s="2" t="s">
        <v>38</v>
      </c>
      <c r="T21" s="2" t="str">
        <f t="shared" si="7"/>
        <v>London</v>
      </c>
      <c r="U21" s="12" t="s">
        <v>30</v>
      </c>
      <c r="V21" s="12">
        <f t="shared" si="8"/>
        <v>0.1</v>
      </c>
      <c r="W21" s="13">
        <f t="shared" si="9"/>
        <v>87733.8</v>
      </c>
      <c r="X21" s="2" t="str">
        <f t="shared" si="10"/>
        <v>Normal</v>
      </c>
    </row>
    <row r="22" spans="1:24" ht="14.25" customHeight="1" x14ac:dyDescent="0.5">
      <c r="A22" s="2" t="s">
        <v>136</v>
      </c>
      <c r="B22" s="2" t="s">
        <v>137</v>
      </c>
      <c r="C22" s="2" t="str">
        <f t="shared" si="0"/>
        <v>Katie Johnson</v>
      </c>
      <c r="D22" s="2" t="s">
        <v>49</v>
      </c>
      <c r="E22" s="2" t="str">
        <f t="shared" si="1"/>
        <v>emily@company.com</v>
      </c>
      <c r="F22" s="2" t="s">
        <v>69</v>
      </c>
      <c r="G22" s="3">
        <v>45167</v>
      </c>
      <c r="H22" s="3" t="str">
        <f t="shared" si="2"/>
        <v>29-Aug-2023</v>
      </c>
      <c r="I22" s="10" t="s">
        <v>138</v>
      </c>
      <c r="J22" s="10">
        <f t="shared" si="3"/>
        <v>94312</v>
      </c>
      <c r="K22" s="11" t="s">
        <v>57</v>
      </c>
      <c r="L22" s="2" t="s">
        <v>18</v>
      </c>
      <c r="M22" s="2" t="str">
        <f t="shared" si="4"/>
        <v>Active</v>
      </c>
      <c r="O22" s="2" t="str">
        <f t="shared" si="5"/>
        <v>No Notes</v>
      </c>
      <c r="P22" s="2" t="s">
        <v>139</v>
      </c>
      <c r="Q22" s="2" t="str">
        <f t="shared" si="6"/>
        <v>NR</v>
      </c>
      <c r="R22" s="2" t="e">
        <f t="array" aca="1" ref="R22" ca="1">_xludf.IFS(Q22="ET", "East", Q22="WT", "West", Q22="ST","South", Q22="NR", "North")</f>
        <v>#NAME?</v>
      </c>
      <c r="S22" s="2" t="s">
        <v>38</v>
      </c>
      <c r="T22" s="2" t="str">
        <f t="shared" si="7"/>
        <v>London</v>
      </c>
      <c r="U22" s="12" t="s">
        <v>85</v>
      </c>
      <c r="V22" s="12">
        <f t="shared" si="8"/>
        <v>0.15</v>
      </c>
      <c r="W22" s="13">
        <f t="shared" si="9"/>
        <v>108458.79999999999</v>
      </c>
      <c r="X22" s="2" t="str">
        <f t="shared" si="10"/>
        <v>High</v>
      </c>
    </row>
    <row r="23" spans="1:24" ht="14.25" customHeight="1" x14ac:dyDescent="0.5">
      <c r="A23" s="2" t="s">
        <v>140</v>
      </c>
      <c r="B23" s="2" t="s">
        <v>141</v>
      </c>
      <c r="C23" s="2" t="str">
        <f t="shared" si="0"/>
        <v>Mike Clark</v>
      </c>
      <c r="D23" s="2" t="s">
        <v>74</v>
      </c>
      <c r="E23" s="2" t="str">
        <f t="shared" si="1"/>
        <v>mike@company.com</v>
      </c>
      <c r="F23" s="2" t="s">
        <v>15</v>
      </c>
      <c r="G23" s="3">
        <v>43995</v>
      </c>
      <c r="H23" s="3" t="str">
        <f t="shared" si="2"/>
        <v>13-Jun-2020</v>
      </c>
      <c r="I23" s="10" t="s">
        <v>142</v>
      </c>
      <c r="J23" s="10">
        <f t="shared" si="3"/>
        <v>108670</v>
      </c>
      <c r="K23" s="11" t="s">
        <v>44</v>
      </c>
      <c r="L23" s="2" t="s">
        <v>27</v>
      </c>
      <c r="M23" s="2" t="str">
        <f t="shared" si="4"/>
        <v>On Leave</v>
      </c>
      <c r="O23" s="2" t="str">
        <f t="shared" si="5"/>
        <v>No Notes</v>
      </c>
      <c r="P23" s="2" t="s">
        <v>143</v>
      </c>
      <c r="Q23" s="2" t="str">
        <f t="shared" si="6"/>
        <v>ST</v>
      </c>
      <c r="R23" s="2" t="e">
        <f t="array" aca="1" ref="R23" ca="1">_xludf.IFS(Q23="ET", "East", Q23="WT", "West", Q23="ST","South", Q23="NR", "North")</f>
        <v>#NAME?</v>
      </c>
      <c r="S23" s="2" t="s">
        <v>21</v>
      </c>
      <c r="T23" s="2" t="str">
        <f t="shared" si="7"/>
        <v>Sao Paulo</v>
      </c>
      <c r="U23" s="12" t="s">
        <v>22</v>
      </c>
      <c r="V23" s="12">
        <f t="shared" si="8"/>
        <v>0.2</v>
      </c>
      <c r="W23" s="13">
        <f t="shared" si="9"/>
        <v>130404</v>
      </c>
      <c r="X23" s="2" t="str">
        <f t="shared" si="10"/>
        <v>High</v>
      </c>
    </row>
    <row r="24" spans="1:24" ht="14.25" customHeight="1" x14ac:dyDescent="0.5">
      <c r="A24" s="2" t="s">
        <v>144</v>
      </c>
      <c r="B24" s="2" t="s">
        <v>145</v>
      </c>
      <c r="C24" s="2" t="str">
        <f t="shared" si="0"/>
        <v>Mike Davis</v>
      </c>
      <c r="D24" s="2" t="s">
        <v>33</v>
      </c>
      <c r="E24" s="2" t="str">
        <f t="shared" si="1"/>
        <v>alex@company.com</v>
      </c>
      <c r="F24" s="2" t="s">
        <v>75</v>
      </c>
      <c r="G24" s="3">
        <v>44144</v>
      </c>
      <c r="H24" s="3" t="str">
        <f t="shared" si="2"/>
        <v>09-Nov-2020</v>
      </c>
      <c r="I24" s="10" t="s">
        <v>146</v>
      </c>
      <c r="J24" s="10">
        <f t="shared" si="3"/>
        <v>55434</v>
      </c>
      <c r="K24" s="11" t="s">
        <v>17</v>
      </c>
      <c r="L24" s="2" t="s">
        <v>18</v>
      </c>
      <c r="M24" s="2" t="str">
        <f t="shared" si="4"/>
        <v>Active</v>
      </c>
      <c r="N24" s="2" t="s">
        <v>65</v>
      </c>
      <c r="O24" s="2" t="str">
        <f t="shared" si="5"/>
        <v>Follow Up</v>
      </c>
      <c r="P24" s="2" t="s">
        <v>147</v>
      </c>
      <c r="Q24" s="2" t="str">
        <f t="shared" si="6"/>
        <v>ST</v>
      </c>
      <c r="R24" s="2" t="e">
        <f t="array" aca="1" ref="R24" ca="1">_xludf.IFS(Q24="ET", "East", Q24="WT", "West", Q24="ST","South", Q24="NR", "North")</f>
        <v>#NAME?</v>
      </c>
      <c r="S24" s="2" t="s">
        <v>60</v>
      </c>
      <c r="T24" s="2" t="str">
        <f t="shared" si="7"/>
        <v>Toronto</v>
      </c>
      <c r="U24" s="12" t="s">
        <v>22</v>
      </c>
      <c r="V24" s="12">
        <f t="shared" si="8"/>
        <v>0.2</v>
      </c>
      <c r="W24" s="13">
        <f t="shared" si="9"/>
        <v>66520.800000000003</v>
      </c>
      <c r="X24" s="2" t="str">
        <f t="shared" si="10"/>
        <v>Normal</v>
      </c>
    </row>
    <row r="25" spans="1:24" ht="14.25" customHeight="1" x14ac:dyDescent="0.5">
      <c r="A25" s="2" t="s">
        <v>148</v>
      </c>
      <c r="B25" s="2" t="s">
        <v>133</v>
      </c>
      <c r="C25" s="2" t="str">
        <f t="shared" si="0"/>
        <v>Jane Taylor</v>
      </c>
      <c r="D25" s="2" t="s">
        <v>99</v>
      </c>
      <c r="E25" s="2" t="str">
        <f t="shared" si="1"/>
        <v>daniel@company.com</v>
      </c>
      <c r="F25" s="2" t="s">
        <v>100</v>
      </c>
      <c r="G25" s="3">
        <v>43851</v>
      </c>
      <c r="H25" s="3" t="str">
        <f t="shared" si="2"/>
        <v>21-Jan-2020</v>
      </c>
      <c r="I25" s="10" t="s">
        <v>149</v>
      </c>
      <c r="J25" s="10">
        <f t="shared" si="3"/>
        <v>104047</v>
      </c>
      <c r="K25" s="11" t="s">
        <v>83</v>
      </c>
      <c r="L25" s="2" t="s">
        <v>58</v>
      </c>
      <c r="M25" s="2" t="str">
        <f t="shared" si="4"/>
        <v>Terminated</v>
      </c>
      <c r="N25" s="2" t="s">
        <v>19</v>
      </c>
      <c r="O25" s="2" t="str">
        <f t="shared" si="5"/>
        <v>Urgent Review</v>
      </c>
      <c r="P25" s="2" t="s">
        <v>150</v>
      </c>
      <c r="Q25" s="2" t="str">
        <f t="shared" si="6"/>
        <v>NR</v>
      </c>
      <c r="R25" s="2" t="e">
        <f t="array" aca="1" ref="R25" ca="1">_xludf.IFS(Q25="ET", "East", Q25="WT", "West", Q25="ST","South", Q25="NR", "North")</f>
        <v>#NAME?</v>
      </c>
      <c r="S25" s="2" t="s">
        <v>38</v>
      </c>
      <c r="T25" s="2" t="str">
        <f t="shared" si="7"/>
        <v>London</v>
      </c>
      <c r="U25" s="12" t="s">
        <v>30</v>
      </c>
      <c r="V25" s="12">
        <f t="shared" si="8"/>
        <v>0.1</v>
      </c>
      <c r="W25" s="13">
        <f t="shared" si="9"/>
        <v>114451.70000000001</v>
      </c>
      <c r="X25" s="2" t="str">
        <f t="shared" si="10"/>
        <v>High</v>
      </c>
    </row>
    <row r="26" spans="1:24" ht="14.25" customHeight="1" x14ac:dyDescent="0.5">
      <c r="A26" s="2" t="s">
        <v>151</v>
      </c>
      <c r="B26" s="2" t="s">
        <v>152</v>
      </c>
      <c r="C26" s="2" t="str">
        <f t="shared" si="0"/>
        <v>Sarah Moore</v>
      </c>
      <c r="D26" s="2" t="s">
        <v>125</v>
      </c>
      <c r="E26" s="2" t="str">
        <f t="shared" si="1"/>
        <v>sarah@company.com</v>
      </c>
      <c r="F26" s="2" t="s">
        <v>100</v>
      </c>
      <c r="G26" s="3">
        <v>44936</v>
      </c>
      <c r="H26" s="3" t="str">
        <f t="shared" si="2"/>
        <v>10-Jan-2023</v>
      </c>
      <c r="I26" s="10" t="s">
        <v>153</v>
      </c>
      <c r="J26" s="10">
        <f t="shared" si="3"/>
        <v>87775</v>
      </c>
      <c r="K26" s="11" t="s">
        <v>57</v>
      </c>
      <c r="L26" s="2" t="s">
        <v>58</v>
      </c>
      <c r="M26" s="2" t="str">
        <f t="shared" si="4"/>
        <v>Terminated</v>
      </c>
      <c r="O26" s="2" t="str">
        <f t="shared" si="5"/>
        <v>No Notes</v>
      </c>
      <c r="P26" s="2" t="s">
        <v>154</v>
      </c>
      <c r="Q26" s="2" t="str">
        <f t="shared" si="6"/>
        <v>ST</v>
      </c>
      <c r="R26" s="2" t="e">
        <f t="array" aca="1" ref="R26" ca="1">_xludf.IFS(Q26="ET", "East", Q26="WT", "West", Q26="ST","South", Q26="NR", "North")</f>
        <v>#NAME?</v>
      </c>
      <c r="S26" s="2" t="s">
        <v>21</v>
      </c>
      <c r="T26" s="2" t="str">
        <f t="shared" si="7"/>
        <v>Sao Paulo</v>
      </c>
      <c r="U26" s="12" t="s">
        <v>39</v>
      </c>
      <c r="V26" s="12">
        <f t="shared" si="8"/>
        <v>0.05</v>
      </c>
      <c r="W26" s="13">
        <f t="shared" si="9"/>
        <v>92163.75</v>
      </c>
      <c r="X26" s="2" t="str">
        <f t="shared" si="10"/>
        <v>Normal</v>
      </c>
    </row>
    <row r="27" spans="1:24" ht="14.25" customHeight="1" x14ac:dyDescent="0.5">
      <c r="A27" s="2" t="s">
        <v>155</v>
      </c>
      <c r="B27" s="2" t="s">
        <v>156</v>
      </c>
      <c r="C27" s="2" t="str">
        <f t="shared" si="0"/>
        <v>Sam Smith</v>
      </c>
      <c r="D27" s="2" t="s">
        <v>93</v>
      </c>
      <c r="E27" s="2" t="str">
        <f t="shared" si="1"/>
        <v>k@ie@company.com</v>
      </c>
      <c r="F27" s="2" t="s">
        <v>15</v>
      </c>
      <c r="G27" s="3">
        <v>44985</v>
      </c>
      <c r="H27" s="3" t="str">
        <f t="shared" si="2"/>
        <v>28-Feb-2023</v>
      </c>
      <c r="I27" s="10" t="s">
        <v>157</v>
      </c>
      <c r="J27" s="10">
        <f t="shared" si="3"/>
        <v>115769</v>
      </c>
      <c r="K27" s="11" t="s">
        <v>44</v>
      </c>
      <c r="L27" s="2" t="s">
        <v>58</v>
      </c>
      <c r="M27" s="2" t="str">
        <f t="shared" si="4"/>
        <v>Terminated</v>
      </c>
      <c r="N27" s="2" t="s">
        <v>19</v>
      </c>
      <c r="O27" s="2" t="str">
        <f t="shared" si="5"/>
        <v>Urgent Review</v>
      </c>
      <c r="P27" s="2" t="s">
        <v>158</v>
      </c>
      <c r="Q27" s="2" t="str">
        <f t="shared" si="6"/>
        <v>NR</v>
      </c>
      <c r="R27" s="2" t="e">
        <f t="array" aca="1" ref="R27" ca="1">_xludf.IFS(Q27="ET", "East", Q27="WT", "West", Q27="ST","South", Q27="NR", "North")</f>
        <v>#NAME?</v>
      </c>
      <c r="S27" s="2" t="s">
        <v>159</v>
      </c>
      <c r="T27" s="2" t="str">
        <f t="shared" si="7"/>
        <v>Berlin</v>
      </c>
      <c r="U27" s="12" t="s">
        <v>39</v>
      </c>
      <c r="V27" s="12">
        <f t="shared" si="8"/>
        <v>0.05</v>
      </c>
      <c r="W27" s="13">
        <f t="shared" si="9"/>
        <v>121557.45000000001</v>
      </c>
      <c r="X27" s="2" t="str">
        <f t="shared" si="10"/>
        <v>High</v>
      </c>
    </row>
    <row r="28" spans="1:24" ht="14.25" customHeight="1" x14ac:dyDescent="0.5">
      <c r="A28" s="2" t="s">
        <v>160</v>
      </c>
      <c r="B28" s="2" t="s">
        <v>161</v>
      </c>
      <c r="C28" s="2" t="str">
        <f t="shared" si="0"/>
        <v>Alex Johnson</v>
      </c>
      <c r="D28" s="2" t="s">
        <v>14</v>
      </c>
      <c r="E28" s="2" t="str">
        <f t="shared" si="1"/>
        <v>john@company.com</v>
      </c>
      <c r="F28" s="2" t="s">
        <v>15</v>
      </c>
      <c r="G28" s="3">
        <v>44814</v>
      </c>
      <c r="H28" s="3" t="str">
        <f t="shared" si="2"/>
        <v>10-Sep-2022</v>
      </c>
      <c r="I28" s="10" t="s">
        <v>162</v>
      </c>
      <c r="J28" s="10">
        <f t="shared" si="3"/>
        <v>106677</v>
      </c>
      <c r="K28" s="11" t="s">
        <v>36</v>
      </c>
      <c r="L28" s="2" t="s">
        <v>121</v>
      </c>
      <c r="M28" s="2" t="str">
        <f t="shared" si="4"/>
        <v>On Leave</v>
      </c>
      <c r="N28" s="2" t="s">
        <v>65</v>
      </c>
      <c r="O28" s="2" t="str">
        <f t="shared" si="5"/>
        <v>Follow Up</v>
      </c>
      <c r="P28" s="2" t="s">
        <v>163</v>
      </c>
      <c r="Q28" s="2" t="str">
        <f t="shared" si="6"/>
        <v>NR</v>
      </c>
      <c r="R28" s="2" t="e">
        <f t="array" aca="1" ref="R28" ca="1">_xludf.IFS(Q28="ET", "East", Q28="WT", "West", Q28="ST","South", Q28="NR", "North")</f>
        <v>#NAME?</v>
      </c>
      <c r="S28" s="2" t="s">
        <v>21</v>
      </c>
      <c r="T28" s="2" t="str">
        <f t="shared" si="7"/>
        <v>Sao Paulo</v>
      </c>
      <c r="U28" s="12" t="s">
        <v>30</v>
      </c>
      <c r="V28" s="12">
        <f t="shared" si="8"/>
        <v>0.1</v>
      </c>
      <c r="W28" s="13">
        <f t="shared" si="9"/>
        <v>117344.70000000001</v>
      </c>
      <c r="X28" s="2" t="str">
        <f t="shared" si="10"/>
        <v>High</v>
      </c>
    </row>
    <row r="29" spans="1:24" ht="14.25" customHeight="1" x14ac:dyDescent="0.5">
      <c r="A29" s="2" t="s">
        <v>164</v>
      </c>
      <c r="B29" s="2" t="s">
        <v>165</v>
      </c>
      <c r="C29" s="2" t="str">
        <f t="shared" si="0"/>
        <v>Chris Taylor</v>
      </c>
      <c r="D29" s="2" t="s">
        <v>99</v>
      </c>
      <c r="E29" s="2" t="str">
        <f t="shared" si="1"/>
        <v>daniel@company.com</v>
      </c>
      <c r="F29" s="2" t="s">
        <v>75</v>
      </c>
      <c r="G29" s="3">
        <v>44135</v>
      </c>
      <c r="H29" s="3" t="str">
        <f t="shared" si="2"/>
        <v>31-Oct-2020</v>
      </c>
      <c r="I29" s="10" t="s">
        <v>166</v>
      </c>
      <c r="J29" s="10">
        <f t="shared" si="3"/>
        <v>85734</v>
      </c>
      <c r="K29" s="11" t="s">
        <v>83</v>
      </c>
      <c r="L29" s="2" t="s">
        <v>64</v>
      </c>
      <c r="M29" s="2" t="str">
        <f t="shared" si="4"/>
        <v>Terminated</v>
      </c>
      <c r="N29" s="2" t="s">
        <v>19</v>
      </c>
      <c r="O29" s="2" t="str">
        <f t="shared" si="5"/>
        <v>Urgent Review</v>
      </c>
      <c r="P29" s="2" t="s">
        <v>167</v>
      </c>
      <c r="Q29" s="2" t="str">
        <f t="shared" si="6"/>
        <v>NR</v>
      </c>
      <c r="R29" s="2" t="e">
        <f t="array" aca="1" ref="R29" ca="1">_xludf.IFS(Q29="ET", "East", Q29="WT", "West", Q29="ST","South", Q29="NR", "North")</f>
        <v>#NAME?</v>
      </c>
      <c r="S29" s="2" t="s">
        <v>79</v>
      </c>
      <c r="T29" s="2" t="str">
        <f t="shared" si="7"/>
        <v>New York</v>
      </c>
      <c r="U29" s="12" t="s">
        <v>22</v>
      </c>
      <c r="V29" s="12">
        <f t="shared" si="8"/>
        <v>0.2</v>
      </c>
      <c r="W29" s="13">
        <f t="shared" si="9"/>
        <v>102880.8</v>
      </c>
      <c r="X29" s="2" t="str">
        <f t="shared" si="10"/>
        <v>High</v>
      </c>
    </row>
    <row r="30" spans="1:24" ht="14.25" customHeight="1" x14ac:dyDescent="0.5">
      <c r="A30" s="2" t="s">
        <v>168</v>
      </c>
      <c r="B30" s="2" t="s">
        <v>169</v>
      </c>
      <c r="C30" s="2" t="str">
        <f t="shared" si="0"/>
        <v>Jane Miller</v>
      </c>
      <c r="D30" s="2" t="s">
        <v>125</v>
      </c>
      <c r="E30" s="2" t="str">
        <f t="shared" si="1"/>
        <v>sarah@company.com</v>
      </c>
      <c r="F30" s="2" t="s">
        <v>75</v>
      </c>
      <c r="G30" s="3">
        <v>44201</v>
      </c>
      <c r="H30" s="3" t="str">
        <f t="shared" si="2"/>
        <v>05-Jan-2021</v>
      </c>
      <c r="I30" s="10" t="s">
        <v>170</v>
      </c>
      <c r="J30" s="10">
        <f t="shared" si="3"/>
        <v>80603</v>
      </c>
      <c r="K30" s="11" t="s">
        <v>17</v>
      </c>
      <c r="L30" s="2" t="s">
        <v>45</v>
      </c>
      <c r="M30" s="2" t="str">
        <f t="shared" si="4"/>
        <v>Active</v>
      </c>
      <c r="N30" s="2" t="s">
        <v>28</v>
      </c>
      <c r="O30" s="2" t="str">
        <f t="shared" si="5"/>
        <v>Pending Docs</v>
      </c>
      <c r="P30" s="2" t="s">
        <v>171</v>
      </c>
      <c r="Q30" s="2" t="str">
        <f t="shared" si="6"/>
        <v>WT</v>
      </c>
      <c r="R30" s="2" t="e">
        <f t="array" aca="1" ref="R30" ca="1">_xludf.IFS(Q30="ET", "East", Q30="WT", "West", Q30="ST","South", Q30="NR", "North")</f>
        <v>#NAME?</v>
      </c>
      <c r="S30" s="2" t="s">
        <v>21</v>
      </c>
      <c r="T30" s="2" t="str">
        <f t="shared" si="7"/>
        <v>Sao Paulo</v>
      </c>
      <c r="U30" s="12" t="s">
        <v>30</v>
      </c>
      <c r="V30" s="12">
        <f t="shared" si="8"/>
        <v>0.1</v>
      </c>
      <c r="W30" s="13">
        <f t="shared" si="9"/>
        <v>88663.3</v>
      </c>
      <c r="X30" s="2" t="str">
        <f t="shared" si="10"/>
        <v>Normal</v>
      </c>
    </row>
    <row r="31" spans="1:24" ht="14.25" customHeight="1" x14ac:dyDescent="0.5">
      <c r="A31" s="2" t="s">
        <v>172</v>
      </c>
      <c r="B31" s="2" t="s">
        <v>173</v>
      </c>
      <c r="C31" s="2" t="str">
        <f t="shared" si="0"/>
        <v>Daniel Lewis</v>
      </c>
      <c r="D31" s="2" t="s">
        <v>105</v>
      </c>
      <c r="E31" s="2" t="str">
        <f t="shared" si="1"/>
        <v>sam@company.com</v>
      </c>
      <c r="F31" s="2" t="s">
        <v>15</v>
      </c>
      <c r="G31" s="3">
        <v>44683</v>
      </c>
      <c r="H31" s="3" t="str">
        <f t="shared" si="2"/>
        <v>02-May-2022</v>
      </c>
      <c r="I31" s="10" t="s">
        <v>174</v>
      </c>
      <c r="J31" s="10">
        <f t="shared" si="3"/>
        <v>116708</v>
      </c>
      <c r="K31" s="11" t="s">
        <v>44</v>
      </c>
      <c r="L31" s="2" t="s">
        <v>27</v>
      </c>
      <c r="M31" s="2" t="str">
        <f t="shared" si="4"/>
        <v>On Leave</v>
      </c>
      <c r="O31" s="2" t="str">
        <f t="shared" si="5"/>
        <v>No Notes</v>
      </c>
      <c r="P31" s="2" t="s">
        <v>175</v>
      </c>
      <c r="Q31" s="2" t="str">
        <f t="shared" si="6"/>
        <v>NR</v>
      </c>
      <c r="R31" s="2" t="e">
        <f t="array" aca="1" ref="R31" ca="1">_xludf.IFS(Q31="ET", "East", Q31="WT", "West", Q31="ST","South", Q31="NR", "North")</f>
        <v>#NAME?</v>
      </c>
      <c r="S31" s="2" t="s">
        <v>60</v>
      </c>
      <c r="T31" s="2" t="str">
        <f t="shared" si="7"/>
        <v>Toronto</v>
      </c>
      <c r="U31" s="12" t="s">
        <v>85</v>
      </c>
      <c r="V31" s="12">
        <f t="shared" si="8"/>
        <v>0.15</v>
      </c>
      <c r="W31" s="13">
        <f t="shared" si="9"/>
        <v>134214.19999999998</v>
      </c>
      <c r="X31" s="2" t="str">
        <f t="shared" si="10"/>
        <v>High</v>
      </c>
    </row>
    <row r="32" spans="1:24" ht="14.25" customHeight="1" x14ac:dyDescent="0.5">
      <c r="A32" s="2" t="s">
        <v>176</v>
      </c>
      <c r="B32" s="2" t="s">
        <v>177</v>
      </c>
      <c r="C32" s="2" t="str">
        <f t="shared" si="0"/>
        <v>Alex Miller</v>
      </c>
      <c r="D32" s="2" t="s">
        <v>25</v>
      </c>
      <c r="E32" s="2" t="str">
        <f t="shared" si="1"/>
        <v>chris@company.com</v>
      </c>
      <c r="F32" s="2" t="s">
        <v>42</v>
      </c>
      <c r="G32" s="3">
        <v>44214</v>
      </c>
      <c r="H32" s="3" t="str">
        <f t="shared" si="2"/>
        <v>18-Jan-2021</v>
      </c>
      <c r="I32" s="10" t="s">
        <v>178</v>
      </c>
      <c r="J32" s="10">
        <f t="shared" si="3"/>
        <v>108803</v>
      </c>
      <c r="K32" s="11" t="s">
        <v>17</v>
      </c>
      <c r="L32" s="2" t="s">
        <v>18</v>
      </c>
      <c r="M32" s="2" t="str">
        <f t="shared" si="4"/>
        <v>Active</v>
      </c>
      <c r="N32" s="2" t="s">
        <v>19</v>
      </c>
      <c r="O32" s="2" t="str">
        <f t="shared" si="5"/>
        <v>Urgent Review</v>
      </c>
      <c r="P32" s="2" t="s">
        <v>179</v>
      </c>
      <c r="Q32" s="2" t="str">
        <f t="shared" si="6"/>
        <v>WT</v>
      </c>
      <c r="R32" s="2" t="e">
        <f t="array" aca="1" ref="R32" ca="1">_xludf.IFS(Q32="ET", "East", Q32="WT", "West", Q32="ST","South", Q32="NR", "North")</f>
        <v>#NAME?</v>
      </c>
      <c r="S32" s="2" t="s">
        <v>96</v>
      </c>
      <c r="T32" s="2" t="str">
        <f t="shared" si="7"/>
        <v>Cairo</v>
      </c>
      <c r="U32" s="12" t="s">
        <v>39</v>
      </c>
      <c r="V32" s="12">
        <f t="shared" si="8"/>
        <v>0.05</v>
      </c>
      <c r="W32" s="13">
        <f t="shared" si="9"/>
        <v>114243.15000000001</v>
      </c>
      <c r="X32" s="2" t="str">
        <f t="shared" si="10"/>
        <v>High</v>
      </c>
    </row>
    <row r="33" spans="1:24" ht="14.25" customHeight="1" x14ac:dyDescent="0.5">
      <c r="A33" s="2" t="s">
        <v>180</v>
      </c>
      <c r="B33" s="2" t="s">
        <v>181</v>
      </c>
      <c r="C33" s="2" t="str">
        <f t="shared" si="0"/>
        <v>Jane Lewis</v>
      </c>
      <c r="D33" s="2" t="s">
        <v>49</v>
      </c>
      <c r="E33" s="2" t="str">
        <f t="shared" si="1"/>
        <v>emily@company.com</v>
      </c>
      <c r="F33" s="2" t="s">
        <v>100</v>
      </c>
      <c r="G33" s="3">
        <v>44275</v>
      </c>
      <c r="H33" s="3" t="str">
        <f t="shared" si="2"/>
        <v>20-Mar-2021</v>
      </c>
      <c r="I33" s="10" t="s">
        <v>182</v>
      </c>
      <c r="J33" s="10">
        <f t="shared" si="3"/>
        <v>79332</v>
      </c>
      <c r="K33" s="11" t="s">
        <v>17</v>
      </c>
      <c r="L33" s="2" t="s">
        <v>18</v>
      </c>
      <c r="M33" s="2" t="str">
        <f t="shared" si="4"/>
        <v>Active</v>
      </c>
      <c r="N33" s="2" t="s">
        <v>107</v>
      </c>
      <c r="O33" s="2" t="str">
        <f t="shared" si="5"/>
        <v>All Clear</v>
      </c>
      <c r="P33" s="2" t="s">
        <v>183</v>
      </c>
      <c r="Q33" s="2" t="str">
        <f t="shared" si="6"/>
        <v>NR</v>
      </c>
      <c r="R33" s="2" t="e">
        <f t="array" aca="1" ref="R33" ca="1">_xludf.IFS(Q33="ET", "East", Q33="WT", "West", Q33="ST","South", Q33="NR", "North")</f>
        <v>#NAME?</v>
      </c>
      <c r="S33" s="2" t="s">
        <v>53</v>
      </c>
      <c r="T33" s="2" t="str">
        <f t="shared" si="7"/>
        <v>Delhi</v>
      </c>
      <c r="U33" s="12" t="s">
        <v>85</v>
      </c>
      <c r="V33" s="12">
        <f t="shared" si="8"/>
        <v>0.15</v>
      </c>
      <c r="W33" s="13">
        <f t="shared" si="9"/>
        <v>91231.799999999988</v>
      </c>
      <c r="X33" s="2" t="str">
        <f t="shared" si="10"/>
        <v>Normal</v>
      </c>
    </row>
    <row r="34" spans="1:24" ht="14.25" customHeight="1" x14ac:dyDescent="0.5">
      <c r="A34" s="2" t="s">
        <v>184</v>
      </c>
      <c r="B34" s="2" t="s">
        <v>181</v>
      </c>
      <c r="C34" s="2" t="str">
        <f t="shared" si="0"/>
        <v>Jane Lewis</v>
      </c>
      <c r="D34" s="2" t="s">
        <v>93</v>
      </c>
      <c r="E34" s="2" t="str">
        <f t="shared" si="1"/>
        <v>k@ie@company.com</v>
      </c>
      <c r="F34" s="2" t="s">
        <v>50</v>
      </c>
      <c r="G34" s="3">
        <v>44255</v>
      </c>
      <c r="H34" s="3" t="str">
        <f t="shared" si="2"/>
        <v>28-Feb-2021</v>
      </c>
      <c r="I34" s="10" t="s">
        <v>185</v>
      </c>
      <c r="J34" s="10">
        <f t="shared" si="3"/>
        <v>61312</v>
      </c>
      <c r="K34" s="11" t="s">
        <v>57</v>
      </c>
      <c r="L34" s="2" t="s">
        <v>112</v>
      </c>
      <c r="M34" s="2" t="str">
        <f t="shared" si="4"/>
        <v>On Leave</v>
      </c>
      <c r="N34" s="2" t="s">
        <v>19</v>
      </c>
      <c r="O34" s="2" t="str">
        <f t="shared" si="5"/>
        <v>Urgent Review</v>
      </c>
      <c r="P34" s="2" t="s">
        <v>186</v>
      </c>
      <c r="Q34" s="2" t="str">
        <f t="shared" si="6"/>
        <v>NR</v>
      </c>
      <c r="R34" s="2" t="e">
        <f t="array" aca="1" ref="R34" ca="1">_xludf.IFS(Q34="ET", "East", Q34="WT", "West", Q34="ST","South", Q34="NR", "North")</f>
        <v>#NAME?</v>
      </c>
      <c r="S34" s="2" t="s">
        <v>21</v>
      </c>
      <c r="T34" s="2" t="str">
        <f t="shared" si="7"/>
        <v>Sao Paulo</v>
      </c>
      <c r="U34" s="12" t="s">
        <v>30</v>
      </c>
      <c r="V34" s="12">
        <f t="shared" si="8"/>
        <v>0.1</v>
      </c>
      <c r="W34" s="13">
        <f t="shared" si="9"/>
        <v>67443.200000000012</v>
      </c>
      <c r="X34" s="2" t="str">
        <f t="shared" si="10"/>
        <v>Normal</v>
      </c>
    </row>
    <row r="35" spans="1:24" ht="14.25" customHeight="1" x14ac:dyDescent="0.5">
      <c r="A35" s="2" t="s">
        <v>187</v>
      </c>
      <c r="B35" s="2" t="s">
        <v>55</v>
      </c>
      <c r="C35" s="2" t="str">
        <f t="shared" si="0"/>
        <v>Alex Moore</v>
      </c>
      <c r="D35" s="2" t="s">
        <v>49</v>
      </c>
      <c r="E35" s="2" t="str">
        <f t="shared" si="1"/>
        <v>emily@company.com</v>
      </c>
      <c r="F35" s="2" t="s">
        <v>75</v>
      </c>
      <c r="G35" s="3">
        <v>43991</v>
      </c>
      <c r="H35" s="3" t="str">
        <f t="shared" si="2"/>
        <v>09-Jun-2020</v>
      </c>
      <c r="I35" s="10" t="s">
        <v>188</v>
      </c>
      <c r="J35" s="10">
        <f t="shared" si="3"/>
        <v>84179</v>
      </c>
      <c r="K35" s="11" t="s">
        <v>57</v>
      </c>
      <c r="L35" s="2" t="s">
        <v>121</v>
      </c>
      <c r="M35" s="2" t="str">
        <f t="shared" si="4"/>
        <v>On Leave</v>
      </c>
      <c r="O35" s="2" t="str">
        <f t="shared" si="5"/>
        <v>No Notes</v>
      </c>
      <c r="P35" s="2" t="s">
        <v>189</v>
      </c>
      <c r="Q35" s="2" t="str">
        <f t="shared" si="6"/>
        <v>NR</v>
      </c>
      <c r="R35" s="2" t="e">
        <f t="array" aca="1" ref="R35" ca="1">_xludf.IFS(Q35="ET", "East", Q35="WT", "West", Q35="ST","South", Q35="NR", "North")</f>
        <v>#NAME?</v>
      </c>
      <c r="S35" s="2" t="s">
        <v>38</v>
      </c>
      <c r="T35" s="2" t="str">
        <f t="shared" si="7"/>
        <v>London</v>
      </c>
      <c r="U35" s="12" t="s">
        <v>30</v>
      </c>
      <c r="V35" s="12">
        <f t="shared" si="8"/>
        <v>0.1</v>
      </c>
      <c r="W35" s="13">
        <f t="shared" si="9"/>
        <v>92596.900000000009</v>
      </c>
      <c r="X35" s="2" t="str">
        <f t="shared" si="10"/>
        <v>Normal</v>
      </c>
    </row>
    <row r="36" spans="1:24" ht="14.25" customHeight="1" x14ac:dyDescent="0.5">
      <c r="A36" s="2" t="s">
        <v>190</v>
      </c>
      <c r="B36" s="2" t="s">
        <v>191</v>
      </c>
      <c r="C36" s="2" t="str">
        <f t="shared" si="0"/>
        <v>Sarah Clark</v>
      </c>
      <c r="D36" s="2" t="s">
        <v>93</v>
      </c>
      <c r="E36" s="2" t="str">
        <f t="shared" si="1"/>
        <v>k@ie@company.com</v>
      </c>
      <c r="F36" s="2" t="s">
        <v>75</v>
      </c>
      <c r="G36" s="3">
        <v>45032</v>
      </c>
      <c r="H36" s="3" t="str">
        <f t="shared" si="2"/>
        <v>16-Apr-2023</v>
      </c>
      <c r="I36" s="10" t="s">
        <v>192</v>
      </c>
      <c r="J36" s="10">
        <f t="shared" si="3"/>
        <v>111442</v>
      </c>
      <c r="K36" s="11" t="s">
        <v>44</v>
      </c>
      <c r="L36" s="2" t="s">
        <v>58</v>
      </c>
      <c r="M36" s="2" t="str">
        <f t="shared" si="4"/>
        <v>Terminated</v>
      </c>
      <c r="N36" s="2" t="s">
        <v>65</v>
      </c>
      <c r="O36" s="2" t="str">
        <f t="shared" si="5"/>
        <v>Follow Up</v>
      </c>
      <c r="P36" s="2" t="s">
        <v>193</v>
      </c>
      <c r="Q36" s="2" t="str">
        <f t="shared" si="6"/>
        <v>ST</v>
      </c>
      <c r="R36" s="2" t="e">
        <f t="array" aca="1" ref="R36" ca="1">_xludf.IFS(Q36="ET", "East", Q36="WT", "West", Q36="ST","South", Q36="NR", "North")</f>
        <v>#NAME?</v>
      </c>
      <c r="S36" s="2" t="s">
        <v>79</v>
      </c>
      <c r="T36" s="2" t="str">
        <f t="shared" si="7"/>
        <v>New York</v>
      </c>
      <c r="U36" s="12" t="s">
        <v>22</v>
      </c>
      <c r="V36" s="12">
        <f t="shared" si="8"/>
        <v>0.2</v>
      </c>
      <c r="W36" s="13">
        <f t="shared" si="9"/>
        <v>133730.4</v>
      </c>
      <c r="X36" s="2" t="str">
        <f t="shared" si="10"/>
        <v>High</v>
      </c>
    </row>
    <row r="37" spans="1:24" ht="14.25" customHeight="1" x14ac:dyDescent="0.5">
      <c r="A37" s="2" t="s">
        <v>194</v>
      </c>
      <c r="B37" s="2" t="s">
        <v>24</v>
      </c>
      <c r="C37" s="2" t="str">
        <f t="shared" si="0"/>
        <v>Chris Davis</v>
      </c>
      <c r="D37" s="2" t="s">
        <v>74</v>
      </c>
      <c r="E37" s="2" t="str">
        <f t="shared" si="1"/>
        <v>mike@company.com</v>
      </c>
      <c r="F37" s="2" t="s">
        <v>15</v>
      </c>
      <c r="G37" s="3">
        <v>44459</v>
      </c>
      <c r="H37" s="3" t="str">
        <f t="shared" si="2"/>
        <v>20-Sep-2021</v>
      </c>
      <c r="I37" s="10" t="s">
        <v>195</v>
      </c>
      <c r="J37" s="10">
        <f t="shared" si="3"/>
        <v>80379</v>
      </c>
      <c r="K37" s="11" t="s">
        <v>36</v>
      </c>
      <c r="L37" s="2" t="s">
        <v>89</v>
      </c>
      <c r="M37" s="2" t="str">
        <f t="shared" si="4"/>
        <v>Active</v>
      </c>
      <c r="N37" s="2" t="s">
        <v>65</v>
      </c>
      <c r="O37" s="2" t="str">
        <f t="shared" si="5"/>
        <v>Follow Up</v>
      </c>
      <c r="P37" s="2" t="s">
        <v>196</v>
      </c>
      <c r="Q37" s="2" t="str">
        <f t="shared" si="6"/>
        <v>WT</v>
      </c>
      <c r="R37" s="2" t="e">
        <f t="array" aca="1" ref="R37" ca="1">_xludf.IFS(Q37="ET", "East", Q37="WT", "West", Q37="ST","South", Q37="NR", "North")</f>
        <v>#NAME?</v>
      </c>
      <c r="S37" s="2" t="s">
        <v>47</v>
      </c>
      <c r="T37" s="2" t="str">
        <f t="shared" si="7"/>
        <v>Lagos</v>
      </c>
      <c r="U37" s="12" t="s">
        <v>22</v>
      </c>
      <c r="V37" s="12">
        <f t="shared" si="8"/>
        <v>0.2</v>
      </c>
      <c r="W37" s="13">
        <f t="shared" si="9"/>
        <v>96454.8</v>
      </c>
      <c r="X37" s="2" t="str">
        <f t="shared" si="10"/>
        <v>Normal</v>
      </c>
    </row>
    <row r="38" spans="1:24" ht="14.25" customHeight="1" x14ac:dyDescent="0.5">
      <c r="A38" s="2" t="s">
        <v>197</v>
      </c>
      <c r="B38" s="2" t="s">
        <v>198</v>
      </c>
      <c r="C38" s="2" t="str">
        <f t="shared" si="0"/>
        <v>Jane Davis</v>
      </c>
      <c r="D38" s="2" t="s">
        <v>33</v>
      </c>
      <c r="E38" s="2" t="str">
        <f t="shared" si="1"/>
        <v>alex@company.com</v>
      </c>
      <c r="F38" s="2" t="s">
        <v>69</v>
      </c>
      <c r="G38" s="3">
        <v>44725</v>
      </c>
      <c r="H38" s="3" t="str">
        <f t="shared" si="2"/>
        <v>13-Jun-2022</v>
      </c>
      <c r="I38" s="10" t="s">
        <v>199</v>
      </c>
      <c r="J38" s="10">
        <f t="shared" si="3"/>
        <v>57297</v>
      </c>
      <c r="K38" s="11" t="s">
        <v>44</v>
      </c>
      <c r="L38" s="2" t="s">
        <v>58</v>
      </c>
      <c r="M38" s="2" t="str">
        <f t="shared" si="4"/>
        <v>Terminated</v>
      </c>
      <c r="O38" s="2" t="str">
        <f t="shared" si="5"/>
        <v>No Notes</v>
      </c>
      <c r="P38" s="2" t="s">
        <v>200</v>
      </c>
      <c r="Q38" s="2" t="str">
        <f t="shared" si="6"/>
        <v>WT</v>
      </c>
      <c r="R38" s="2" t="e">
        <f t="array" aca="1" ref="R38" ca="1">_xludf.IFS(Q38="ET", "East", Q38="WT", "West", Q38="ST","South", Q38="NR", "North")</f>
        <v>#NAME?</v>
      </c>
      <c r="S38" s="2" t="s">
        <v>38</v>
      </c>
      <c r="T38" s="2" t="str">
        <f t="shared" si="7"/>
        <v>London</v>
      </c>
      <c r="U38" s="12" t="s">
        <v>22</v>
      </c>
      <c r="V38" s="12">
        <f t="shared" si="8"/>
        <v>0.2</v>
      </c>
      <c r="W38" s="13">
        <f t="shared" si="9"/>
        <v>68756.399999999994</v>
      </c>
      <c r="X38" s="2" t="str">
        <f t="shared" si="10"/>
        <v>Normal</v>
      </c>
    </row>
    <row r="39" spans="1:24" ht="14.25" customHeight="1" x14ac:dyDescent="0.5">
      <c r="A39" s="2" t="s">
        <v>201</v>
      </c>
      <c r="B39" s="2" t="s">
        <v>202</v>
      </c>
      <c r="C39" s="2" t="str">
        <f t="shared" si="0"/>
        <v>Chris Lewis</v>
      </c>
      <c r="D39" s="2" t="s">
        <v>93</v>
      </c>
      <c r="E39" s="2" t="str">
        <f t="shared" si="1"/>
        <v>k@ie@company.com</v>
      </c>
      <c r="F39" s="2" t="s">
        <v>50</v>
      </c>
      <c r="G39" s="3">
        <v>44320</v>
      </c>
      <c r="H39" s="3" t="str">
        <f t="shared" si="2"/>
        <v>04-May-2021</v>
      </c>
      <c r="I39" s="10" t="s">
        <v>203</v>
      </c>
      <c r="J39" s="10">
        <f t="shared" si="3"/>
        <v>42011</v>
      </c>
      <c r="K39" s="11" t="s">
        <v>36</v>
      </c>
      <c r="L39" s="2" t="s">
        <v>58</v>
      </c>
      <c r="M39" s="2" t="str">
        <f t="shared" si="4"/>
        <v>Terminated</v>
      </c>
      <c r="N39" s="2" t="s">
        <v>28</v>
      </c>
      <c r="O39" s="2" t="str">
        <f t="shared" si="5"/>
        <v>Pending Docs</v>
      </c>
      <c r="P39" s="2" t="s">
        <v>204</v>
      </c>
      <c r="Q39" s="2" t="str">
        <f t="shared" si="6"/>
        <v>NR</v>
      </c>
      <c r="R39" s="2" t="e">
        <f t="array" aca="1" ref="R39" ca="1">_xludf.IFS(Q39="ET", "East", Q39="WT", "West", Q39="ST","South", Q39="NR", "North")</f>
        <v>#NAME?</v>
      </c>
      <c r="S39" s="2" t="s">
        <v>79</v>
      </c>
      <c r="T39" s="2" t="str">
        <f t="shared" si="7"/>
        <v>New York</v>
      </c>
      <c r="U39" s="12" t="s">
        <v>85</v>
      </c>
      <c r="V39" s="12">
        <f t="shared" si="8"/>
        <v>0.15</v>
      </c>
      <c r="W39" s="13">
        <f t="shared" si="9"/>
        <v>48312.649999999994</v>
      </c>
      <c r="X39" s="2" t="str">
        <f t="shared" si="10"/>
        <v>Normal</v>
      </c>
    </row>
    <row r="40" spans="1:24" ht="14.25" customHeight="1" x14ac:dyDescent="0.5">
      <c r="A40" s="2" t="s">
        <v>205</v>
      </c>
      <c r="B40" s="2" t="s">
        <v>206</v>
      </c>
      <c r="C40" s="2" t="str">
        <f t="shared" si="0"/>
        <v>Katie Clark</v>
      </c>
      <c r="D40" s="2" t="s">
        <v>49</v>
      </c>
      <c r="E40" s="2" t="str">
        <f t="shared" si="1"/>
        <v>emily@company.com</v>
      </c>
      <c r="F40" s="2" t="s">
        <v>50</v>
      </c>
      <c r="G40" s="3">
        <v>44847</v>
      </c>
      <c r="H40" s="3" t="str">
        <f t="shared" si="2"/>
        <v>13-Oct-2022</v>
      </c>
      <c r="I40" s="10" t="s">
        <v>207</v>
      </c>
      <c r="J40" s="10">
        <f t="shared" si="3"/>
        <v>84014</v>
      </c>
      <c r="K40" s="11" t="s">
        <v>17</v>
      </c>
      <c r="L40" s="2" t="s">
        <v>89</v>
      </c>
      <c r="M40" s="2" t="str">
        <f t="shared" si="4"/>
        <v>Active</v>
      </c>
      <c r="N40" s="2" t="s">
        <v>28</v>
      </c>
      <c r="O40" s="2" t="str">
        <f t="shared" si="5"/>
        <v>Pending Docs</v>
      </c>
      <c r="P40" s="2" t="s">
        <v>208</v>
      </c>
      <c r="Q40" s="2" t="str">
        <f t="shared" si="6"/>
        <v>NR</v>
      </c>
      <c r="R40" s="2" t="e">
        <f t="array" aca="1" ref="R40" ca="1">_xludf.IFS(Q40="ET", "East", Q40="WT", "West", Q40="ST","South", Q40="NR", "North")</f>
        <v>#NAME?</v>
      </c>
      <c r="S40" s="2" t="s">
        <v>159</v>
      </c>
      <c r="T40" s="2" t="str">
        <f t="shared" si="7"/>
        <v>Berlin</v>
      </c>
      <c r="U40" s="12" t="s">
        <v>22</v>
      </c>
      <c r="V40" s="12">
        <f t="shared" si="8"/>
        <v>0.2</v>
      </c>
      <c r="W40" s="13">
        <f t="shared" si="9"/>
        <v>100816.8</v>
      </c>
      <c r="X40" s="2" t="str">
        <f t="shared" si="10"/>
        <v>High</v>
      </c>
    </row>
    <row r="41" spans="1:24" ht="14.25" customHeight="1" x14ac:dyDescent="0.5">
      <c r="A41" s="2" t="s">
        <v>209</v>
      </c>
      <c r="B41" s="2" t="s">
        <v>210</v>
      </c>
      <c r="C41" s="2" t="str">
        <f t="shared" si="0"/>
        <v>John Clark</v>
      </c>
      <c r="D41" s="2" t="s">
        <v>74</v>
      </c>
      <c r="E41" s="2" t="str">
        <f t="shared" si="1"/>
        <v>mike@company.com</v>
      </c>
      <c r="F41" s="2" t="s">
        <v>75</v>
      </c>
      <c r="G41" s="3">
        <v>44157</v>
      </c>
      <c r="H41" s="3" t="str">
        <f t="shared" si="2"/>
        <v>22-Nov-2020</v>
      </c>
      <c r="I41" s="10" t="s">
        <v>211</v>
      </c>
      <c r="J41" s="10">
        <f t="shared" si="3"/>
        <v>51738</v>
      </c>
      <c r="K41" s="11" t="s">
        <v>83</v>
      </c>
      <c r="L41" s="2" t="s">
        <v>18</v>
      </c>
      <c r="M41" s="2" t="str">
        <f t="shared" si="4"/>
        <v>Active</v>
      </c>
      <c r="N41" s="2" t="s">
        <v>65</v>
      </c>
      <c r="O41" s="2" t="str">
        <f t="shared" si="5"/>
        <v>Follow Up</v>
      </c>
      <c r="P41" s="2" t="s">
        <v>212</v>
      </c>
      <c r="Q41" s="2" t="str">
        <f t="shared" si="6"/>
        <v>ST</v>
      </c>
      <c r="R41" s="2" t="e">
        <f t="array" aca="1" ref="R41" ca="1">_xludf.IFS(Q41="ET", "East", Q41="WT", "West", Q41="ST","South", Q41="NR", "North")</f>
        <v>#NAME?</v>
      </c>
      <c r="S41" s="2" t="s">
        <v>53</v>
      </c>
      <c r="T41" s="2" t="str">
        <f t="shared" si="7"/>
        <v>Delhi</v>
      </c>
      <c r="U41" s="12" t="s">
        <v>30</v>
      </c>
      <c r="V41" s="12">
        <f t="shared" si="8"/>
        <v>0.1</v>
      </c>
      <c r="W41" s="13">
        <f t="shared" si="9"/>
        <v>56911.8</v>
      </c>
      <c r="X41" s="2" t="str">
        <f t="shared" si="10"/>
        <v>Normal</v>
      </c>
    </row>
    <row r="42" spans="1:24" ht="14.25" customHeight="1" x14ac:dyDescent="0.5">
      <c r="A42" s="2" t="s">
        <v>213</v>
      </c>
      <c r="B42" s="2" t="s">
        <v>191</v>
      </c>
      <c r="C42" s="2" t="str">
        <f t="shared" si="0"/>
        <v>Sarah Clark</v>
      </c>
      <c r="D42" s="2" t="s">
        <v>93</v>
      </c>
      <c r="E42" s="2" t="str">
        <f t="shared" si="1"/>
        <v>k@ie@company.com</v>
      </c>
      <c r="F42" s="2" t="s">
        <v>42</v>
      </c>
      <c r="G42" s="3">
        <v>44428</v>
      </c>
      <c r="H42" s="3" t="str">
        <f t="shared" si="2"/>
        <v>20-Aug-2021</v>
      </c>
      <c r="I42" s="10" t="s">
        <v>214</v>
      </c>
      <c r="J42" s="10">
        <f t="shared" si="3"/>
        <v>87498</v>
      </c>
      <c r="K42" s="11" t="s">
        <v>44</v>
      </c>
      <c r="L42" s="2" t="s">
        <v>112</v>
      </c>
      <c r="M42" s="2" t="str">
        <f t="shared" si="4"/>
        <v>On Leave</v>
      </c>
      <c r="N42" s="2" t="s">
        <v>65</v>
      </c>
      <c r="O42" s="2" t="str">
        <f t="shared" si="5"/>
        <v>Follow Up</v>
      </c>
      <c r="P42" s="2" t="s">
        <v>215</v>
      </c>
      <c r="Q42" s="2" t="str">
        <f t="shared" si="6"/>
        <v>ST</v>
      </c>
      <c r="R42" s="2" t="e">
        <f t="array" aca="1" ref="R42" ca="1">_xludf.IFS(Q42="ET", "East", Q42="WT", "West", Q42="ST","South", Q42="NR", "North")</f>
        <v>#NAME?</v>
      </c>
      <c r="S42" s="2" t="s">
        <v>47</v>
      </c>
      <c r="T42" s="2" t="str">
        <f t="shared" si="7"/>
        <v>Lagos</v>
      </c>
      <c r="U42" s="12" t="s">
        <v>22</v>
      </c>
      <c r="V42" s="12">
        <f t="shared" si="8"/>
        <v>0.2</v>
      </c>
      <c r="W42" s="13">
        <f t="shared" si="9"/>
        <v>104997.59999999999</v>
      </c>
      <c r="X42" s="2" t="str">
        <f t="shared" si="10"/>
        <v>High</v>
      </c>
    </row>
    <row r="43" spans="1:24" ht="14.25" customHeight="1" x14ac:dyDescent="0.5">
      <c r="A43" s="2" t="s">
        <v>216</v>
      </c>
      <c r="B43" s="2" t="s">
        <v>217</v>
      </c>
      <c r="C43" s="2" t="str">
        <f t="shared" si="0"/>
        <v>Chris Smith</v>
      </c>
      <c r="D43" s="2" t="s">
        <v>105</v>
      </c>
      <c r="E43" s="2" t="str">
        <f t="shared" si="1"/>
        <v>sam@company.com</v>
      </c>
      <c r="F43" s="2" t="s">
        <v>69</v>
      </c>
      <c r="G43" s="3">
        <v>44845</v>
      </c>
      <c r="H43" s="3" t="str">
        <f t="shared" si="2"/>
        <v>11-Oct-2022</v>
      </c>
      <c r="I43" s="10" t="s">
        <v>218</v>
      </c>
      <c r="J43" s="10">
        <f t="shared" si="3"/>
        <v>51120</v>
      </c>
      <c r="K43" s="11" t="s">
        <v>44</v>
      </c>
      <c r="L43" s="2" t="s">
        <v>45</v>
      </c>
      <c r="M43" s="2" t="str">
        <f t="shared" si="4"/>
        <v>Active</v>
      </c>
      <c r="O43" s="2" t="str">
        <f t="shared" si="5"/>
        <v>No Notes</v>
      </c>
      <c r="P43" s="2" t="s">
        <v>219</v>
      </c>
      <c r="Q43" s="2" t="str">
        <f t="shared" si="6"/>
        <v>ST</v>
      </c>
      <c r="R43" s="2" t="e">
        <f t="array" aca="1" ref="R43" ca="1">_xludf.IFS(Q43="ET", "East", Q43="WT", "West", Q43="ST","South", Q43="NR", "North")</f>
        <v>#NAME?</v>
      </c>
      <c r="S43" s="2" t="s">
        <v>159</v>
      </c>
      <c r="T43" s="2" t="str">
        <f t="shared" si="7"/>
        <v>Berlin</v>
      </c>
      <c r="U43" s="12" t="s">
        <v>39</v>
      </c>
      <c r="V43" s="12">
        <f t="shared" si="8"/>
        <v>0.05</v>
      </c>
      <c r="W43" s="13">
        <f t="shared" si="9"/>
        <v>53676</v>
      </c>
      <c r="X43" s="2" t="str">
        <f t="shared" si="10"/>
        <v>Normal</v>
      </c>
    </row>
    <row r="44" spans="1:24" ht="14.25" customHeight="1" x14ac:dyDescent="0.5">
      <c r="A44" s="2" t="s">
        <v>220</v>
      </c>
      <c r="B44" s="2" t="s">
        <v>221</v>
      </c>
      <c r="C44" s="2" t="str">
        <f t="shared" si="0"/>
        <v>Chris Moore</v>
      </c>
      <c r="D44" s="2" t="s">
        <v>33</v>
      </c>
      <c r="E44" s="2" t="str">
        <f t="shared" si="1"/>
        <v>alex@company.com</v>
      </c>
      <c r="F44" s="2" t="s">
        <v>50</v>
      </c>
      <c r="G44" s="3">
        <v>44119</v>
      </c>
      <c r="H44" s="3" t="str">
        <f t="shared" si="2"/>
        <v>15-Oct-2020</v>
      </c>
      <c r="I44" s="10" t="s">
        <v>222</v>
      </c>
      <c r="J44" s="10">
        <f t="shared" si="3"/>
        <v>48767</v>
      </c>
      <c r="K44" s="11" t="s">
        <v>36</v>
      </c>
      <c r="L44" s="2" t="s">
        <v>89</v>
      </c>
      <c r="M44" s="2" t="str">
        <f t="shared" si="4"/>
        <v>Active</v>
      </c>
      <c r="N44" s="2" t="s">
        <v>28</v>
      </c>
      <c r="O44" s="2" t="str">
        <f t="shared" si="5"/>
        <v>Pending Docs</v>
      </c>
      <c r="P44" s="2" t="s">
        <v>223</v>
      </c>
      <c r="Q44" s="2" t="str">
        <f t="shared" si="6"/>
        <v>WT</v>
      </c>
      <c r="R44" s="2" t="e">
        <f t="array" aca="1" ref="R44" ca="1">_xludf.IFS(Q44="ET", "East", Q44="WT", "West", Q44="ST","South", Q44="NR", "North")</f>
        <v>#NAME?</v>
      </c>
      <c r="S44" s="2" t="s">
        <v>96</v>
      </c>
      <c r="T44" s="2" t="str">
        <f t="shared" si="7"/>
        <v>Cairo</v>
      </c>
      <c r="U44" s="12" t="s">
        <v>22</v>
      </c>
      <c r="V44" s="12">
        <f t="shared" si="8"/>
        <v>0.2</v>
      </c>
      <c r="W44" s="13">
        <f t="shared" si="9"/>
        <v>58520.4</v>
      </c>
      <c r="X44" s="2" t="str">
        <f t="shared" si="10"/>
        <v>Normal</v>
      </c>
    </row>
    <row r="45" spans="1:24" ht="14.25" customHeight="1" x14ac:dyDescent="0.5">
      <c r="A45" s="2" t="s">
        <v>224</v>
      </c>
      <c r="B45" s="2" t="s">
        <v>156</v>
      </c>
      <c r="C45" s="2" t="str">
        <f t="shared" si="0"/>
        <v>Sam Smith</v>
      </c>
      <c r="D45" s="2" t="s">
        <v>93</v>
      </c>
      <c r="E45" s="2" t="str">
        <f t="shared" si="1"/>
        <v>k@ie@company.com</v>
      </c>
      <c r="F45" s="2" t="s">
        <v>75</v>
      </c>
      <c r="G45" s="3">
        <v>44423</v>
      </c>
      <c r="H45" s="3" t="str">
        <f t="shared" si="2"/>
        <v>15-Aug-2021</v>
      </c>
      <c r="I45" s="10" t="s">
        <v>225</v>
      </c>
      <c r="J45" s="10">
        <f t="shared" si="3"/>
        <v>62852</v>
      </c>
      <c r="K45" s="11" t="s">
        <v>17</v>
      </c>
      <c r="L45" s="2" t="s">
        <v>121</v>
      </c>
      <c r="M45" s="2" t="str">
        <f t="shared" si="4"/>
        <v>On Leave</v>
      </c>
      <c r="N45" s="2" t="s">
        <v>65</v>
      </c>
      <c r="O45" s="2" t="str">
        <f t="shared" si="5"/>
        <v>Follow Up</v>
      </c>
      <c r="P45" s="2" t="s">
        <v>226</v>
      </c>
      <c r="Q45" s="2" t="str">
        <f t="shared" si="6"/>
        <v>WT</v>
      </c>
      <c r="R45" s="2" t="e">
        <f t="array" aca="1" ref="R45" ca="1">_xludf.IFS(Q45="ET", "East", Q45="WT", "West", Q45="ST","South", Q45="NR", "North")</f>
        <v>#NAME?</v>
      </c>
      <c r="S45" s="2" t="s">
        <v>79</v>
      </c>
      <c r="T45" s="2" t="str">
        <f t="shared" si="7"/>
        <v>New York</v>
      </c>
      <c r="U45" s="12" t="s">
        <v>85</v>
      </c>
      <c r="V45" s="12">
        <f t="shared" si="8"/>
        <v>0.15</v>
      </c>
      <c r="W45" s="13">
        <f t="shared" si="9"/>
        <v>72279.799999999988</v>
      </c>
      <c r="X45" s="2" t="str">
        <f t="shared" si="10"/>
        <v>Normal</v>
      </c>
    </row>
    <row r="46" spans="1:24" ht="14.25" customHeight="1" x14ac:dyDescent="0.5">
      <c r="A46" s="2" t="s">
        <v>227</v>
      </c>
      <c r="B46" s="2" t="s">
        <v>62</v>
      </c>
      <c r="C46" s="2" t="str">
        <f t="shared" si="0"/>
        <v>Chris Brown</v>
      </c>
      <c r="D46" s="2" t="s">
        <v>74</v>
      </c>
      <c r="E46" s="2" t="str">
        <f t="shared" si="1"/>
        <v>mike@company.com</v>
      </c>
      <c r="F46" s="2" t="s">
        <v>50</v>
      </c>
      <c r="G46" s="3">
        <v>44403</v>
      </c>
      <c r="H46" s="3" t="str">
        <f t="shared" si="2"/>
        <v>26-Jul-2021</v>
      </c>
      <c r="I46" s="10" t="s">
        <v>228</v>
      </c>
      <c r="J46" s="10">
        <f t="shared" si="3"/>
        <v>119239</v>
      </c>
      <c r="K46" s="11" t="s">
        <v>17</v>
      </c>
      <c r="L46" s="2" t="s">
        <v>64</v>
      </c>
      <c r="M46" s="2" t="str">
        <f t="shared" si="4"/>
        <v>Terminated</v>
      </c>
      <c r="N46" s="2" t="s">
        <v>28</v>
      </c>
      <c r="O46" s="2" t="str">
        <f t="shared" si="5"/>
        <v>Pending Docs</v>
      </c>
      <c r="P46" s="2" t="s">
        <v>229</v>
      </c>
      <c r="Q46" s="2" t="str">
        <f t="shared" si="6"/>
        <v>WT</v>
      </c>
      <c r="R46" s="2" t="e">
        <f t="array" aca="1" ref="R46" ca="1">_xludf.IFS(Q46="ET", "East", Q46="WT", "West", Q46="ST","South", Q46="NR", "North")</f>
        <v>#NAME?</v>
      </c>
      <c r="S46" s="2" t="s">
        <v>159</v>
      </c>
      <c r="T46" s="2" t="str">
        <f t="shared" si="7"/>
        <v>Berlin</v>
      </c>
      <c r="U46" s="12" t="s">
        <v>39</v>
      </c>
      <c r="V46" s="12">
        <f t="shared" si="8"/>
        <v>0.05</v>
      </c>
      <c r="W46" s="13">
        <f t="shared" si="9"/>
        <v>125200.95000000001</v>
      </c>
      <c r="X46" s="2" t="str">
        <f t="shared" si="10"/>
        <v>High</v>
      </c>
    </row>
    <row r="47" spans="1:24" ht="14.25" customHeight="1" x14ac:dyDescent="0.5">
      <c r="A47" s="2" t="s">
        <v>230</v>
      </c>
      <c r="B47" s="2" t="s">
        <v>156</v>
      </c>
      <c r="C47" s="2" t="str">
        <f t="shared" si="0"/>
        <v>Sam Smith</v>
      </c>
      <c r="D47" s="2" t="s">
        <v>99</v>
      </c>
      <c r="E47" s="2" t="str">
        <f t="shared" si="1"/>
        <v>daniel@company.com</v>
      </c>
      <c r="F47" s="2" t="s">
        <v>34</v>
      </c>
      <c r="G47" s="3">
        <v>45208</v>
      </c>
      <c r="H47" s="3" t="str">
        <f t="shared" si="2"/>
        <v>09-Oct-2023</v>
      </c>
      <c r="I47" s="10" t="s">
        <v>231</v>
      </c>
      <c r="J47" s="10">
        <f t="shared" si="3"/>
        <v>40929</v>
      </c>
      <c r="K47" s="11" t="s">
        <v>36</v>
      </c>
      <c r="L47" s="2" t="s">
        <v>27</v>
      </c>
      <c r="M47" s="2" t="str">
        <f t="shared" si="4"/>
        <v>On Leave</v>
      </c>
      <c r="N47" s="2" t="s">
        <v>65</v>
      </c>
      <c r="O47" s="2" t="str">
        <f t="shared" si="5"/>
        <v>Follow Up</v>
      </c>
      <c r="P47" s="2" t="s">
        <v>232</v>
      </c>
      <c r="Q47" s="2" t="str">
        <f t="shared" si="6"/>
        <v>NR</v>
      </c>
      <c r="R47" s="2" t="e">
        <f t="array" aca="1" ref="R47" ca="1">_xludf.IFS(Q47="ET", "East", Q47="WT", "West", Q47="ST","South", Q47="NR", "North")</f>
        <v>#NAME?</v>
      </c>
      <c r="S47" s="2" t="s">
        <v>53</v>
      </c>
      <c r="T47" s="2" t="str">
        <f t="shared" si="7"/>
        <v>Delhi</v>
      </c>
      <c r="U47" s="12" t="s">
        <v>39</v>
      </c>
      <c r="V47" s="12">
        <f t="shared" si="8"/>
        <v>0.05</v>
      </c>
      <c r="W47" s="13">
        <f t="shared" si="9"/>
        <v>42975.450000000004</v>
      </c>
      <c r="X47" s="2" t="str">
        <f t="shared" si="10"/>
        <v>Normal</v>
      </c>
    </row>
    <row r="48" spans="1:24" ht="14.25" customHeight="1" x14ac:dyDescent="0.5">
      <c r="A48" s="2" t="s">
        <v>233</v>
      </c>
      <c r="B48" s="2" t="s">
        <v>234</v>
      </c>
      <c r="C48" s="2" t="str">
        <f t="shared" si="0"/>
        <v>Emily Lewis</v>
      </c>
      <c r="D48" s="2" t="s">
        <v>235</v>
      </c>
      <c r="E48" s="2" t="str">
        <f t="shared" si="1"/>
        <v>jane@company.com</v>
      </c>
      <c r="F48" s="2" t="s">
        <v>69</v>
      </c>
      <c r="G48" s="3">
        <v>43858</v>
      </c>
      <c r="H48" s="3" t="str">
        <f t="shared" si="2"/>
        <v>28-Jan-2020</v>
      </c>
      <c r="I48" s="10" t="s">
        <v>236</v>
      </c>
      <c r="J48" s="10">
        <f t="shared" si="3"/>
        <v>117487</v>
      </c>
      <c r="K48" s="11" t="s">
        <v>17</v>
      </c>
      <c r="L48" s="2" t="s">
        <v>121</v>
      </c>
      <c r="M48" s="2" t="str">
        <f t="shared" si="4"/>
        <v>On Leave</v>
      </c>
      <c r="N48" s="2" t="s">
        <v>19</v>
      </c>
      <c r="O48" s="2" t="str">
        <f t="shared" si="5"/>
        <v>Urgent Review</v>
      </c>
      <c r="P48" s="2" t="s">
        <v>237</v>
      </c>
      <c r="Q48" s="2" t="str">
        <f t="shared" si="6"/>
        <v>WT</v>
      </c>
      <c r="R48" s="2" t="e">
        <f t="array" aca="1" ref="R48" ca="1">_xludf.IFS(Q48="ET", "East", Q48="WT", "West", Q48="ST","South", Q48="NR", "North")</f>
        <v>#NAME?</v>
      </c>
      <c r="S48" s="2" t="s">
        <v>53</v>
      </c>
      <c r="T48" s="2" t="str">
        <f t="shared" si="7"/>
        <v>Delhi</v>
      </c>
      <c r="U48" s="12" t="s">
        <v>39</v>
      </c>
      <c r="V48" s="12">
        <f t="shared" si="8"/>
        <v>0.05</v>
      </c>
      <c r="W48" s="13">
        <f t="shared" si="9"/>
        <v>123361.35</v>
      </c>
      <c r="X48" s="2" t="str">
        <f t="shared" si="10"/>
        <v>High</v>
      </c>
    </row>
    <row r="49" spans="1:24" ht="14.25" customHeight="1" x14ac:dyDescent="0.5">
      <c r="A49" s="2" t="s">
        <v>238</v>
      </c>
      <c r="B49" s="2" t="s">
        <v>32</v>
      </c>
      <c r="C49" s="2" t="str">
        <f t="shared" si="0"/>
        <v>Sarah Lewis</v>
      </c>
      <c r="D49" s="2" t="s">
        <v>125</v>
      </c>
      <c r="E49" s="2" t="str">
        <f t="shared" si="1"/>
        <v>sarah@company.com</v>
      </c>
      <c r="F49" s="2" t="s">
        <v>69</v>
      </c>
      <c r="G49" s="3">
        <v>44784</v>
      </c>
      <c r="H49" s="3" t="str">
        <f t="shared" si="2"/>
        <v>11-Aug-2022</v>
      </c>
      <c r="I49" s="10" t="s">
        <v>239</v>
      </c>
      <c r="J49" s="10">
        <f t="shared" si="3"/>
        <v>57438</v>
      </c>
      <c r="K49" s="11" t="s">
        <v>57</v>
      </c>
      <c r="L49" s="2" t="s">
        <v>89</v>
      </c>
      <c r="M49" s="2" t="str">
        <f t="shared" si="4"/>
        <v>Active</v>
      </c>
      <c r="N49" s="2" t="s">
        <v>107</v>
      </c>
      <c r="O49" s="2" t="str">
        <f t="shared" si="5"/>
        <v>All Clear</v>
      </c>
      <c r="P49" s="2" t="s">
        <v>240</v>
      </c>
      <c r="Q49" s="2" t="str">
        <f t="shared" si="6"/>
        <v>ET</v>
      </c>
      <c r="R49" s="2" t="e">
        <f t="array" aca="1" ref="R49" ca="1">_xludf.IFS(Q49="ET", "East", Q49="WT", "West", Q49="ST","South", Q49="NR", "North")</f>
        <v>#NAME?</v>
      </c>
      <c r="S49" s="2" t="s">
        <v>96</v>
      </c>
      <c r="T49" s="2" t="str">
        <f t="shared" si="7"/>
        <v>Cairo</v>
      </c>
      <c r="U49" s="12" t="s">
        <v>85</v>
      </c>
      <c r="V49" s="12">
        <f t="shared" si="8"/>
        <v>0.15</v>
      </c>
      <c r="W49" s="13">
        <f t="shared" si="9"/>
        <v>66053.7</v>
      </c>
      <c r="X49" s="2" t="str">
        <f t="shared" si="10"/>
        <v>Normal</v>
      </c>
    </row>
    <row r="50" spans="1:24" ht="14.25" customHeight="1" x14ac:dyDescent="0.5">
      <c r="A50" s="2" t="s">
        <v>241</v>
      </c>
      <c r="B50" s="2" t="s">
        <v>129</v>
      </c>
      <c r="C50" s="2" t="str">
        <f t="shared" si="0"/>
        <v>Katie Wilson</v>
      </c>
      <c r="D50" s="2" t="s">
        <v>235</v>
      </c>
      <c r="E50" s="2" t="str">
        <f t="shared" si="1"/>
        <v>jane@company.com</v>
      </c>
      <c r="F50" s="2" t="s">
        <v>34</v>
      </c>
      <c r="G50" s="3">
        <v>43873</v>
      </c>
      <c r="H50" s="3" t="str">
        <f t="shared" si="2"/>
        <v>12-Feb-2020</v>
      </c>
      <c r="I50" s="10" t="s">
        <v>242</v>
      </c>
      <c r="J50" s="10">
        <f t="shared" si="3"/>
        <v>88515</v>
      </c>
      <c r="K50" s="11" t="s">
        <v>83</v>
      </c>
      <c r="L50" s="2" t="s">
        <v>45</v>
      </c>
      <c r="M50" s="2" t="str">
        <f t="shared" si="4"/>
        <v>Active</v>
      </c>
      <c r="N50" s="2" t="s">
        <v>77</v>
      </c>
      <c r="O50" s="2" t="str">
        <f t="shared" si="5"/>
        <v>All Clear</v>
      </c>
      <c r="P50" s="2" t="s">
        <v>243</v>
      </c>
      <c r="Q50" s="2" t="str">
        <f t="shared" si="6"/>
        <v>ET</v>
      </c>
      <c r="R50" s="2" t="e">
        <f t="array" aca="1" ref="R50" ca="1">_xludf.IFS(Q50="ET", "East", Q50="WT", "West", Q50="ST","South", Q50="NR", "North")</f>
        <v>#NAME?</v>
      </c>
      <c r="S50" s="2" t="s">
        <v>53</v>
      </c>
      <c r="T50" s="2" t="str">
        <f t="shared" si="7"/>
        <v>Delhi</v>
      </c>
      <c r="U50" s="12" t="s">
        <v>30</v>
      </c>
      <c r="V50" s="12">
        <f t="shared" si="8"/>
        <v>0.1</v>
      </c>
      <c r="W50" s="13">
        <f t="shared" si="9"/>
        <v>97366.500000000015</v>
      </c>
      <c r="X50" s="2" t="str">
        <f t="shared" si="10"/>
        <v>Normal</v>
      </c>
    </row>
    <row r="51" spans="1:24" ht="14.25" customHeight="1" x14ac:dyDescent="0.5">
      <c r="A51" s="2" t="s">
        <v>244</v>
      </c>
      <c r="B51" s="2" t="s">
        <v>245</v>
      </c>
      <c r="C51" s="2" t="str">
        <f t="shared" si="0"/>
        <v>Katie Moore</v>
      </c>
      <c r="D51" s="2" t="s">
        <v>235</v>
      </c>
      <c r="E51" s="2" t="str">
        <f t="shared" si="1"/>
        <v>jane@company.com</v>
      </c>
      <c r="F51" s="2" t="s">
        <v>100</v>
      </c>
      <c r="G51" s="3">
        <v>44253</v>
      </c>
      <c r="H51" s="3" t="str">
        <f t="shared" si="2"/>
        <v>26-Feb-2021</v>
      </c>
      <c r="I51" s="10" t="s">
        <v>246</v>
      </c>
      <c r="J51" s="10">
        <f t="shared" si="3"/>
        <v>45744</v>
      </c>
      <c r="K51" s="11" t="s">
        <v>44</v>
      </c>
      <c r="L51" s="2" t="s">
        <v>18</v>
      </c>
      <c r="M51" s="2" t="str">
        <f t="shared" si="4"/>
        <v>Active</v>
      </c>
      <c r="N51" s="2" t="s">
        <v>19</v>
      </c>
      <c r="O51" s="2" t="str">
        <f t="shared" si="5"/>
        <v>Urgent Review</v>
      </c>
      <c r="P51" s="2" t="s">
        <v>247</v>
      </c>
      <c r="Q51" s="2" t="str">
        <f t="shared" si="6"/>
        <v>ST</v>
      </c>
      <c r="R51" s="2" t="e">
        <f t="array" aca="1" ref="R51" ca="1">_xludf.IFS(Q51="ET", "East", Q51="WT", "West", Q51="ST","South", Q51="NR", "North")</f>
        <v>#NAME?</v>
      </c>
      <c r="S51" s="2" t="s">
        <v>79</v>
      </c>
      <c r="T51" s="2" t="str">
        <f t="shared" si="7"/>
        <v>New York</v>
      </c>
      <c r="U51" s="12" t="s">
        <v>22</v>
      </c>
      <c r="V51" s="12">
        <f t="shared" si="8"/>
        <v>0.2</v>
      </c>
      <c r="W51" s="13">
        <f t="shared" si="9"/>
        <v>54892.799999999996</v>
      </c>
      <c r="X51" s="2" t="str">
        <f t="shared" si="10"/>
        <v>Normal</v>
      </c>
    </row>
    <row r="52" spans="1:24" ht="14.25" customHeight="1" x14ac:dyDescent="0.5">
      <c r="A52" s="2" t="s">
        <v>248</v>
      </c>
      <c r="B52" s="2" t="s">
        <v>249</v>
      </c>
      <c r="C52" s="2" t="str">
        <f t="shared" si="0"/>
        <v>Jane Smith</v>
      </c>
      <c r="D52" s="2" t="s">
        <v>14</v>
      </c>
      <c r="E52" s="2" t="str">
        <f t="shared" si="1"/>
        <v>john@company.com</v>
      </c>
      <c r="F52" s="2" t="s">
        <v>34</v>
      </c>
      <c r="G52" s="3">
        <v>44007</v>
      </c>
      <c r="H52" s="3" t="str">
        <f t="shared" si="2"/>
        <v>25-Jun-2020</v>
      </c>
      <c r="I52" s="10" t="s">
        <v>250</v>
      </c>
      <c r="J52" s="10">
        <f t="shared" si="3"/>
        <v>82417</v>
      </c>
      <c r="K52" s="11" t="s">
        <v>83</v>
      </c>
      <c r="L52" s="2" t="s">
        <v>64</v>
      </c>
      <c r="M52" s="2" t="str">
        <f t="shared" si="4"/>
        <v>Terminated</v>
      </c>
      <c r="N52" s="2" t="s">
        <v>77</v>
      </c>
      <c r="O52" s="2" t="str">
        <f t="shared" si="5"/>
        <v>All Clear</v>
      </c>
      <c r="P52" s="2" t="s">
        <v>251</v>
      </c>
      <c r="Q52" s="2" t="str">
        <f t="shared" si="6"/>
        <v>WT</v>
      </c>
      <c r="R52" s="2" t="e">
        <f t="array" aca="1" ref="R52" ca="1">_xludf.IFS(Q52="ET", "East", Q52="WT", "West", Q52="ST","South", Q52="NR", "North")</f>
        <v>#NAME?</v>
      </c>
      <c r="S52" s="2" t="s">
        <v>79</v>
      </c>
      <c r="T52" s="2" t="str">
        <f t="shared" si="7"/>
        <v>New York</v>
      </c>
      <c r="U52" s="12" t="s">
        <v>39</v>
      </c>
      <c r="V52" s="12">
        <f t="shared" si="8"/>
        <v>0.05</v>
      </c>
      <c r="W52" s="13">
        <f t="shared" si="9"/>
        <v>86537.85</v>
      </c>
      <c r="X52" s="2" t="str">
        <f t="shared" si="10"/>
        <v>Normal</v>
      </c>
    </row>
    <row r="53" spans="1:24" ht="14.25" customHeight="1" x14ac:dyDescent="0.5">
      <c r="A53" s="2" t="s">
        <v>252</v>
      </c>
      <c r="B53" s="2" t="s">
        <v>253</v>
      </c>
      <c r="C53" s="2" t="str">
        <f t="shared" si="0"/>
        <v>Sarah Wilson</v>
      </c>
      <c r="D53" s="2" t="s">
        <v>105</v>
      </c>
      <c r="E53" s="2" t="str">
        <f t="shared" si="1"/>
        <v>sam@company.com</v>
      </c>
      <c r="F53" s="2" t="s">
        <v>15</v>
      </c>
      <c r="G53" s="3">
        <v>44359</v>
      </c>
      <c r="H53" s="3" t="str">
        <f t="shared" si="2"/>
        <v>12-Jun-2021</v>
      </c>
      <c r="I53" s="10" t="s">
        <v>254</v>
      </c>
      <c r="J53" s="10">
        <f t="shared" si="3"/>
        <v>47069</v>
      </c>
      <c r="K53" s="11" t="s">
        <v>44</v>
      </c>
      <c r="L53" s="2" t="s">
        <v>64</v>
      </c>
      <c r="M53" s="2" t="str">
        <f t="shared" si="4"/>
        <v>Terminated</v>
      </c>
      <c r="N53" s="2" t="s">
        <v>65</v>
      </c>
      <c r="O53" s="2" t="str">
        <f t="shared" si="5"/>
        <v>Follow Up</v>
      </c>
      <c r="P53" s="2" t="s">
        <v>255</v>
      </c>
      <c r="Q53" s="2" t="str">
        <f t="shared" si="6"/>
        <v>ET</v>
      </c>
      <c r="R53" s="2" t="e">
        <f t="array" aca="1" ref="R53" ca="1">_xludf.IFS(Q53="ET", "East", Q53="WT", "West", Q53="ST","South", Q53="NR", "North")</f>
        <v>#NAME?</v>
      </c>
      <c r="S53" s="2" t="s">
        <v>53</v>
      </c>
      <c r="T53" s="2" t="str">
        <f t="shared" si="7"/>
        <v>Delhi</v>
      </c>
      <c r="U53" s="12" t="s">
        <v>39</v>
      </c>
      <c r="V53" s="12">
        <f t="shared" si="8"/>
        <v>0.05</v>
      </c>
      <c r="W53" s="13">
        <f t="shared" si="9"/>
        <v>49422.450000000004</v>
      </c>
      <c r="X53" s="2" t="str">
        <f t="shared" si="10"/>
        <v>Normal</v>
      </c>
    </row>
    <row r="54" spans="1:24" ht="14.25" customHeight="1" x14ac:dyDescent="0.5">
      <c r="A54" s="2" t="s">
        <v>256</v>
      </c>
      <c r="B54" s="2" t="s">
        <v>24</v>
      </c>
      <c r="C54" s="2" t="str">
        <f t="shared" si="0"/>
        <v>Chris Davis</v>
      </c>
      <c r="D54" s="2" t="s">
        <v>99</v>
      </c>
      <c r="E54" s="2" t="str">
        <f t="shared" si="1"/>
        <v>daniel@company.com</v>
      </c>
      <c r="F54" s="2" t="s">
        <v>15</v>
      </c>
      <c r="G54" s="3">
        <v>44796</v>
      </c>
      <c r="H54" s="3" t="str">
        <f t="shared" si="2"/>
        <v>23-Aug-2022</v>
      </c>
      <c r="I54" s="10" t="s">
        <v>257</v>
      </c>
      <c r="J54" s="10">
        <f t="shared" si="3"/>
        <v>82359</v>
      </c>
      <c r="K54" s="11" t="s">
        <v>57</v>
      </c>
      <c r="L54" s="2" t="s">
        <v>64</v>
      </c>
      <c r="M54" s="2" t="str">
        <f t="shared" si="4"/>
        <v>Terminated</v>
      </c>
      <c r="N54" s="2" t="s">
        <v>107</v>
      </c>
      <c r="O54" s="2" t="str">
        <f t="shared" si="5"/>
        <v>All Clear</v>
      </c>
      <c r="P54" s="2" t="s">
        <v>258</v>
      </c>
      <c r="Q54" s="2" t="str">
        <f t="shared" si="6"/>
        <v>ST</v>
      </c>
      <c r="R54" s="2" t="e">
        <f t="array" aca="1" ref="R54" ca="1">_xludf.IFS(Q54="ET", "East", Q54="WT", "West", Q54="ST","South", Q54="NR", "North")</f>
        <v>#NAME?</v>
      </c>
      <c r="S54" s="2" t="s">
        <v>159</v>
      </c>
      <c r="T54" s="2" t="str">
        <f t="shared" si="7"/>
        <v>Berlin</v>
      </c>
      <c r="U54" s="12" t="s">
        <v>39</v>
      </c>
      <c r="V54" s="12">
        <f t="shared" si="8"/>
        <v>0.05</v>
      </c>
      <c r="W54" s="13">
        <f t="shared" si="9"/>
        <v>86476.95</v>
      </c>
      <c r="X54" s="2" t="str">
        <f t="shared" si="10"/>
        <v>Normal</v>
      </c>
    </row>
    <row r="55" spans="1:24" ht="14.25" customHeight="1" x14ac:dyDescent="0.5">
      <c r="A55" s="2" t="s">
        <v>259</v>
      </c>
      <c r="B55" s="2" t="s">
        <v>260</v>
      </c>
      <c r="C55" s="2" t="str">
        <f t="shared" si="0"/>
        <v>Sam Moore</v>
      </c>
      <c r="D55" s="2" t="s">
        <v>25</v>
      </c>
      <c r="E55" s="2" t="str">
        <f t="shared" si="1"/>
        <v>chris@company.com</v>
      </c>
      <c r="F55" s="2" t="s">
        <v>75</v>
      </c>
      <c r="G55" s="3">
        <v>44028</v>
      </c>
      <c r="H55" s="3" t="str">
        <f t="shared" si="2"/>
        <v>16-Jul-2020</v>
      </c>
      <c r="I55" s="10" t="s">
        <v>261</v>
      </c>
      <c r="J55" s="10">
        <f t="shared" si="3"/>
        <v>59799</v>
      </c>
      <c r="K55" s="11" t="s">
        <v>17</v>
      </c>
      <c r="L55" s="2" t="s">
        <v>58</v>
      </c>
      <c r="M55" s="2" t="str">
        <f t="shared" si="4"/>
        <v>Terminated</v>
      </c>
      <c r="N55" s="2" t="s">
        <v>107</v>
      </c>
      <c r="O55" s="2" t="str">
        <f t="shared" si="5"/>
        <v>All Clear</v>
      </c>
      <c r="P55" s="2" t="s">
        <v>262</v>
      </c>
      <c r="Q55" s="2" t="str">
        <f t="shared" si="6"/>
        <v>WT</v>
      </c>
      <c r="R55" s="2" t="e">
        <f t="array" aca="1" ref="R55" ca="1">_xludf.IFS(Q55="ET", "East", Q55="WT", "West", Q55="ST","South", Q55="NR", "North")</f>
        <v>#NAME?</v>
      </c>
      <c r="S55" s="2" t="s">
        <v>79</v>
      </c>
      <c r="T55" s="2" t="str">
        <f t="shared" si="7"/>
        <v>New York</v>
      </c>
      <c r="U55" s="12" t="s">
        <v>30</v>
      </c>
      <c r="V55" s="12">
        <f t="shared" si="8"/>
        <v>0.1</v>
      </c>
      <c r="W55" s="13">
        <f t="shared" si="9"/>
        <v>65778.900000000009</v>
      </c>
      <c r="X55" s="2" t="str">
        <f t="shared" si="10"/>
        <v>Normal</v>
      </c>
    </row>
    <row r="56" spans="1:24" ht="14.25" customHeight="1" x14ac:dyDescent="0.5">
      <c r="A56" s="2" t="s">
        <v>263</v>
      </c>
      <c r="B56" s="2" t="s">
        <v>264</v>
      </c>
      <c r="C56" s="2" t="str">
        <f t="shared" si="0"/>
        <v>Daniel Brown</v>
      </c>
      <c r="D56" s="2" t="s">
        <v>93</v>
      </c>
      <c r="E56" s="2" t="str">
        <f t="shared" si="1"/>
        <v>k@ie@company.com</v>
      </c>
      <c r="F56" s="2" t="s">
        <v>69</v>
      </c>
      <c r="G56" s="3">
        <v>44440</v>
      </c>
      <c r="H56" s="3" t="str">
        <f t="shared" si="2"/>
        <v>01-Sep-2021</v>
      </c>
      <c r="I56" s="10" t="s">
        <v>265</v>
      </c>
      <c r="J56" s="10">
        <f t="shared" si="3"/>
        <v>110188</v>
      </c>
      <c r="K56" s="11" t="s">
        <v>36</v>
      </c>
      <c r="L56" s="2" t="s">
        <v>27</v>
      </c>
      <c r="M56" s="2" t="str">
        <f t="shared" si="4"/>
        <v>On Leave</v>
      </c>
      <c r="N56" s="2" t="s">
        <v>65</v>
      </c>
      <c r="O56" s="2" t="str">
        <f t="shared" si="5"/>
        <v>Follow Up</v>
      </c>
      <c r="P56" s="2" t="s">
        <v>266</v>
      </c>
      <c r="Q56" s="2" t="str">
        <f t="shared" si="6"/>
        <v>NR</v>
      </c>
      <c r="R56" s="2" t="e">
        <f t="array" aca="1" ref="R56" ca="1">_xludf.IFS(Q56="ET", "East", Q56="WT", "West", Q56="ST","South", Q56="NR", "North")</f>
        <v>#NAME?</v>
      </c>
      <c r="S56" s="2" t="s">
        <v>38</v>
      </c>
      <c r="T56" s="2" t="str">
        <f t="shared" si="7"/>
        <v>London</v>
      </c>
      <c r="U56" s="12" t="s">
        <v>30</v>
      </c>
      <c r="V56" s="12">
        <f t="shared" si="8"/>
        <v>0.1</v>
      </c>
      <c r="W56" s="13">
        <f t="shared" si="9"/>
        <v>121206.8</v>
      </c>
      <c r="X56" s="2" t="str">
        <f t="shared" si="10"/>
        <v>High</v>
      </c>
    </row>
    <row r="57" spans="1:24" ht="14.25" customHeight="1" x14ac:dyDescent="0.5">
      <c r="A57" s="2" t="s">
        <v>267</v>
      </c>
      <c r="B57" s="2" t="s">
        <v>268</v>
      </c>
      <c r="C57" s="2" t="str">
        <f t="shared" si="0"/>
        <v>John Brown</v>
      </c>
      <c r="D57" s="2" t="s">
        <v>125</v>
      </c>
      <c r="E57" s="2" t="str">
        <f t="shared" si="1"/>
        <v>sarah@company.com</v>
      </c>
      <c r="F57" s="2" t="s">
        <v>100</v>
      </c>
      <c r="G57" s="3">
        <v>44672</v>
      </c>
      <c r="H57" s="3" t="str">
        <f t="shared" si="2"/>
        <v>21-Apr-2022</v>
      </c>
      <c r="I57" s="10" t="s">
        <v>269</v>
      </c>
      <c r="J57" s="10">
        <f t="shared" si="3"/>
        <v>47597</v>
      </c>
      <c r="K57" s="11" t="s">
        <v>57</v>
      </c>
      <c r="L57" s="2" t="s">
        <v>18</v>
      </c>
      <c r="M57" s="2" t="str">
        <f t="shared" si="4"/>
        <v>Active</v>
      </c>
      <c r="N57" s="2" t="s">
        <v>65</v>
      </c>
      <c r="O57" s="2" t="str">
        <f t="shared" si="5"/>
        <v>Follow Up</v>
      </c>
      <c r="P57" s="2" t="s">
        <v>270</v>
      </c>
      <c r="Q57" s="2" t="str">
        <f t="shared" si="6"/>
        <v>ET</v>
      </c>
      <c r="R57" s="2" t="e">
        <f t="array" aca="1" ref="R57" ca="1">_xludf.IFS(Q57="ET", "East", Q57="WT", "West", Q57="ST","South", Q57="NR", "North")</f>
        <v>#NAME?</v>
      </c>
      <c r="S57" s="2" t="s">
        <v>53</v>
      </c>
      <c r="T57" s="2" t="str">
        <f t="shared" si="7"/>
        <v>Delhi</v>
      </c>
      <c r="U57" s="12" t="s">
        <v>85</v>
      </c>
      <c r="V57" s="12">
        <f t="shared" si="8"/>
        <v>0.15</v>
      </c>
      <c r="W57" s="13">
        <f t="shared" si="9"/>
        <v>54736.549999999996</v>
      </c>
      <c r="X57" s="2" t="str">
        <f t="shared" si="10"/>
        <v>Normal</v>
      </c>
    </row>
    <row r="58" spans="1:24" ht="14.25" customHeight="1" x14ac:dyDescent="0.5">
      <c r="A58" s="2" t="s">
        <v>271</v>
      </c>
      <c r="B58" s="2" t="s">
        <v>119</v>
      </c>
      <c r="C58" s="2" t="str">
        <f t="shared" si="0"/>
        <v>Emily Brown</v>
      </c>
      <c r="D58" s="2" t="s">
        <v>33</v>
      </c>
      <c r="E58" s="2" t="str">
        <f t="shared" si="1"/>
        <v>alex@company.com</v>
      </c>
      <c r="F58" s="2" t="s">
        <v>100</v>
      </c>
      <c r="G58" s="3">
        <v>44683</v>
      </c>
      <c r="H58" s="3" t="str">
        <f t="shared" si="2"/>
        <v>02-May-2022</v>
      </c>
      <c r="I58" s="10" t="s">
        <v>272</v>
      </c>
      <c r="J58" s="10">
        <f t="shared" si="3"/>
        <v>87093</v>
      </c>
      <c r="K58" s="11" t="s">
        <v>83</v>
      </c>
      <c r="L58" s="2" t="s">
        <v>18</v>
      </c>
      <c r="M58" s="2" t="str">
        <f t="shared" si="4"/>
        <v>Active</v>
      </c>
      <c r="N58" s="2" t="s">
        <v>28</v>
      </c>
      <c r="O58" s="2" t="str">
        <f t="shared" si="5"/>
        <v>Pending Docs</v>
      </c>
      <c r="P58" s="2" t="s">
        <v>273</v>
      </c>
      <c r="Q58" s="2" t="str">
        <f t="shared" si="6"/>
        <v>NR</v>
      </c>
      <c r="R58" s="2" t="e">
        <f t="array" aca="1" ref="R58" ca="1">_xludf.IFS(Q58="ET", "East", Q58="WT", "West", Q58="ST","South", Q58="NR", "North")</f>
        <v>#NAME?</v>
      </c>
      <c r="S58" s="2" t="s">
        <v>79</v>
      </c>
      <c r="T58" s="2" t="str">
        <f t="shared" si="7"/>
        <v>New York</v>
      </c>
      <c r="U58" s="12" t="s">
        <v>30</v>
      </c>
      <c r="V58" s="12">
        <f t="shared" si="8"/>
        <v>0.1</v>
      </c>
      <c r="W58" s="13">
        <f t="shared" si="9"/>
        <v>95802.3</v>
      </c>
      <c r="X58" s="2" t="str">
        <f t="shared" si="10"/>
        <v>Normal</v>
      </c>
    </row>
    <row r="59" spans="1:24" ht="14.25" customHeight="1" x14ac:dyDescent="0.5">
      <c r="A59" s="2" t="s">
        <v>274</v>
      </c>
      <c r="B59" s="2" t="s">
        <v>275</v>
      </c>
      <c r="C59" s="2" t="str">
        <f t="shared" si="0"/>
        <v>John Davis</v>
      </c>
      <c r="D59" s="2" t="s">
        <v>99</v>
      </c>
      <c r="E59" s="2" t="str">
        <f t="shared" si="1"/>
        <v>daniel@company.com</v>
      </c>
      <c r="F59" s="2" t="s">
        <v>50</v>
      </c>
      <c r="G59" s="3">
        <v>43852</v>
      </c>
      <c r="H59" s="3" t="str">
        <f t="shared" si="2"/>
        <v>22-Jan-2020</v>
      </c>
      <c r="I59" s="10" t="s">
        <v>276</v>
      </c>
      <c r="J59" s="10">
        <f t="shared" si="3"/>
        <v>77226</v>
      </c>
      <c r="K59" s="11" t="s">
        <v>36</v>
      </c>
      <c r="L59" s="2" t="s">
        <v>64</v>
      </c>
      <c r="M59" s="2" t="str">
        <f t="shared" si="4"/>
        <v>Terminated</v>
      </c>
      <c r="N59" s="2" t="s">
        <v>65</v>
      </c>
      <c r="O59" s="2" t="str">
        <f t="shared" si="5"/>
        <v>Follow Up</v>
      </c>
      <c r="P59" s="2" t="s">
        <v>277</v>
      </c>
      <c r="Q59" s="2" t="str">
        <f t="shared" si="6"/>
        <v>WT</v>
      </c>
      <c r="R59" s="2" t="e">
        <f t="array" aca="1" ref="R59" ca="1">_xludf.IFS(Q59="ET", "East", Q59="WT", "West", Q59="ST","South", Q59="NR", "North")</f>
        <v>#NAME?</v>
      </c>
      <c r="S59" s="2" t="s">
        <v>60</v>
      </c>
      <c r="T59" s="2" t="str">
        <f t="shared" si="7"/>
        <v>Toronto</v>
      </c>
      <c r="U59" s="12" t="s">
        <v>22</v>
      </c>
      <c r="V59" s="12">
        <f t="shared" si="8"/>
        <v>0.2</v>
      </c>
      <c r="W59" s="13">
        <f t="shared" si="9"/>
        <v>92671.2</v>
      </c>
      <c r="X59" s="2" t="str">
        <f t="shared" si="10"/>
        <v>Normal</v>
      </c>
    </row>
    <row r="60" spans="1:24" ht="14.25" customHeight="1" x14ac:dyDescent="0.5">
      <c r="A60" s="2" t="s">
        <v>278</v>
      </c>
      <c r="B60" s="2" t="s">
        <v>279</v>
      </c>
      <c r="C60" s="2" t="str">
        <f t="shared" si="0"/>
        <v>Mike Wilson</v>
      </c>
      <c r="D60" s="2" t="s">
        <v>49</v>
      </c>
      <c r="E60" s="2" t="str">
        <f t="shared" si="1"/>
        <v>emily@company.com</v>
      </c>
      <c r="F60" s="2" t="s">
        <v>50</v>
      </c>
      <c r="G60" s="3">
        <v>44966</v>
      </c>
      <c r="H60" s="3" t="str">
        <f t="shared" si="2"/>
        <v>09-Feb-2023</v>
      </c>
      <c r="I60" s="10" t="s">
        <v>280</v>
      </c>
      <c r="J60" s="10">
        <f t="shared" si="3"/>
        <v>112127</v>
      </c>
      <c r="K60" s="11" t="s">
        <v>17</v>
      </c>
      <c r="L60" s="2" t="s">
        <v>18</v>
      </c>
      <c r="M60" s="2" t="str">
        <f t="shared" si="4"/>
        <v>Active</v>
      </c>
      <c r="O60" s="2" t="str">
        <f t="shared" si="5"/>
        <v>No Notes</v>
      </c>
      <c r="P60" s="2" t="s">
        <v>281</v>
      </c>
      <c r="Q60" s="2" t="str">
        <f t="shared" si="6"/>
        <v>ET</v>
      </c>
      <c r="R60" s="2" t="e">
        <f t="array" aca="1" ref="R60" ca="1">_xludf.IFS(Q60="ET", "East", Q60="WT", "West", Q60="ST","South", Q60="NR", "North")</f>
        <v>#NAME?</v>
      </c>
      <c r="S60" s="2" t="s">
        <v>96</v>
      </c>
      <c r="T60" s="2" t="str">
        <f t="shared" si="7"/>
        <v>Cairo</v>
      </c>
      <c r="U60" s="12" t="s">
        <v>85</v>
      </c>
      <c r="V60" s="12">
        <f t="shared" si="8"/>
        <v>0.15</v>
      </c>
      <c r="W60" s="13">
        <f t="shared" si="9"/>
        <v>128946.04999999999</v>
      </c>
      <c r="X60" s="2" t="str">
        <f t="shared" si="10"/>
        <v>High</v>
      </c>
    </row>
    <row r="61" spans="1:24" ht="14.25" customHeight="1" x14ac:dyDescent="0.5">
      <c r="A61" s="2" t="s">
        <v>282</v>
      </c>
      <c r="B61" s="2" t="s">
        <v>191</v>
      </c>
      <c r="C61" s="2" t="str">
        <f t="shared" si="0"/>
        <v>Sarah Clark</v>
      </c>
      <c r="D61" s="2" t="s">
        <v>25</v>
      </c>
      <c r="E61" s="2" t="str">
        <f t="shared" si="1"/>
        <v>chris@company.com</v>
      </c>
      <c r="F61" s="2" t="s">
        <v>34</v>
      </c>
      <c r="G61" s="3">
        <v>44911</v>
      </c>
      <c r="H61" s="3" t="str">
        <f t="shared" si="2"/>
        <v>16-Dec-2022</v>
      </c>
      <c r="I61" s="10" t="s">
        <v>283</v>
      </c>
      <c r="J61" s="10">
        <f t="shared" si="3"/>
        <v>117362</v>
      </c>
      <c r="K61" s="11" t="s">
        <v>57</v>
      </c>
      <c r="L61" s="2" t="s">
        <v>27</v>
      </c>
      <c r="M61" s="2" t="str">
        <f t="shared" si="4"/>
        <v>On Leave</v>
      </c>
      <c r="N61" s="2" t="s">
        <v>65</v>
      </c>
      <c r="O61" s="2" t="str">
        <f t="shared" si="5"/>
        <v>Follow Up</v>
      </c>
      <c r="P61" s="2" t="s">
        <v>284</v>
      </c>
      <c r="Q61" s="2" t="str">
        <f t="shared" si="6"/>
        <v>WT</v>
      </c>
      <c r="R61" s="2" t="e">
        <f t="array" aca="1" ref="R61" ca="1">_xludf.IFS(Q61="ET", "East", Q61="WT", "West", Q61="ST","South", Q61="NR", "North")</f>
        <v>#NAME?</v>
      </c>
      <c r="S61" s="2" t="s">
        <v>53</v>
      </c>
      <c r="T61" s="2" t="str">
        <f t="shared" si="7"/>
        <v>Delhi</v>
      </c>
      <c r="U61" s="12" t="s">
        <v>85</v>
      </c>
      <c r="V61" s="12">
        <f t="shared" si="8"/>
        <v>0.15</v>
      </c>
      <c r="W61" s="13">
        <f t="shared" si="9"/>
        <v>134966.29999999999</v>
      </c>
      <c r="X61" s="2" t="str">
        <f t="shared" si="10"/>
        <v>High</v>
      </c>
    </row>
    <row r="62" spans="1:24" ht="14.25" customHeight="1" x14ac:dyDescent="0.5">
      <c r="A62" s="2" t="s">
        <v>285</v>
      </c>
      <c r="B62" s="2" t="s">
        <v>286</v>
      </c>
      <c r="C62" s="2" t="str">
        <f t="shared" si="0"/>
        <v>Mike Lewis</v>
      </c>
      <c r="D62" s="2" t="s">
        <v>14</v>
      </c>
      <c r="E62" s="2" t="str">
        <f t="shared" si="1"/>
        <v>john@company.com</v>
      </c>
      <c r="F62" s="2" t="s">
        <v>100</v>
      </c>
      <c r="G62" s="3">
        <v>44920</v>
      </c>
      <c r="H62" s="3" t="str">
        <f t="shared" si="2"/>
        <v>25-Dec-2022</v>
      </c>
      <c r="I62" s="10" t="s">
        <v>287</v>
      </c>
      <c r="J62" s="10">
        <f t="shared" si="3"/>
        <v>66417</v>
      </c>
      <c r="K62" s="11" t="s">
        <v>36</v>
      </c>
      <c r="L62" s="2" t="s">
        <v>27</v>
      </c>
      <c r="M62" s="2" t="str">
        <f t="shared" si="4"/>
        <v>On Leave</v>
      </c>
      <c r="O62" s="2" t="str">
        <f t="shared" si="5"/>
        <v>No Notes</v>
      </c>
      <c r="P62" s="2" t="s">
        <v>288</v>
      </c>
      <c r="Q62" s="2" t="str">
        <f t="shared" si="6"/>
        <v>NR</v>
      </c>
      <c r="R62" s="2" t="e">
        <f t="array" aca="1" ref="R62" ca="1">_xludf.IFS(Q62="ET", "East", Q62="WT", "West", Q62="ST","South", Q62="NR", "North")</f>
        <v>#NAME?</v>
      </c>
      <c r="S62" s="2" t="s">
        <v>79</v>
      </c>
      <c r="T62" s="2" t="str">
        <f t="shared" si="7"/>
        <v>New York</v>
      </c>
      <c r="U62" s="12" t="s">
        <v>22</v>
      </c>
      <c r="V62" s="12">
        <f t="shared" si="8"/>
        <v>0.2</v>
      </c>
      <c r="W62" s="13">
        <f t="shared" si="9"/>
        <v>79700.399999999994</v>
      </c>
      <c r="X62" s="2" t="str">
        <f t="shared" si="10"/>
        <v>Normal</v>
      </c>
    </row>
    <row r="63" spans="1:24" ht="14.25" customHeight="1" x14ac:dyDescent="0.5">
      <c r="A63" s="2" t="s">
        <v>289</v>
      </c>
      <c r="B63" s="2" t="s">
        <v>41</v>
      </c>
      <c r="C63" s="2" t="str">
        <f t="shared" si="0"/>
        <v>Sam Wilson</v>
      </c>
      <c r="D63" s="2" t="s">
        <v>14</v>
      </c>
      <c r="E63" s="2" t="str">
        <f t="shared" si="1"/>
        <v>john@company.com</v>
      </c>
      <c r="F63" s="2" t="s">
        <v>34</v>
      </c>
      <c r="G63" s="3">
        <v>44672</v>
      </c>
      <c r="H63" s="3" t="str">
        <f t="shared" si="2"/>
        <v>21-Apr-2022</v>
      </c>
      <c r="I63" s="10" t="s">
        <v>290</v>
      </c>
      <c r="J63" s="10">
        <f t="shared" si="3"/>
        <v>58693</v>
      </c>
      <c r="K63" s="11" t="s">
        <v>57</v>
      </c>
      <c r="L63" s="2" t="s">
        <v>112</v>
      </c>
      <c r="M63" s="2" t="str">
        <f t="shared" si="4"/>
        <v>On Leave</v>
      </c>
      <c r="N63" s="2" t="s">
        <v>65</v>
      </c>
      <c r="O63" s="2" t="str">
        <f t="shared" si="5"/>
        <v>Follow Up</v>
      </c>
      <c r="P63" s="2" t="s">
        <v>291</v>
      </c>
      <c r="Q63" s="2" t="str">
        <f t="shared" si="6"/>
        <v>ET</v>
      </c>
      <c r="R63" s="2" t="e">
        <f t="array" aca="1" ref="R63" ca="1">_xludf.IFS(Q63="ET", "East", Q63="WT", "West", Q63="ST","South", Q63="NR", "North")</f>
        <v>#NAME?</v>
      </c>
      <c r="S63" s="2" t="s">
        <v>60</v>
      </c>
      <c r="T63" s="2" t="str">
        <f t="shared" si="7"/>
        <v>Toronto</v>
      </c>
      <c r="U63" s="12" t="s">
        <v>22</v>
      </c>
      <c r="V63" s="12">
        <f t="shared" si="8"/>
        <v>0.2</v>
      </c>
      <c r="W63" s="13">
        <f t="shared" si="9"/>
        <v>70431.599999999991</v>
      </c>
      <c r="X63" s="2" t="str">
        <f t="shared" si="10"/>
        <v>Normal</v>
      </c>
    </row>
    <row r="64" spans="1:24" ht="14.25" customHeight="1" x14ac:dyDescent="0.5">
      <c r="A64" s="2" t="s">
        <v>292</v>
      </c>
      <c r="B64" s="2" t="s">
        <v>293</v>
      </c>
      <c r="C64" s="2" t="str">
        <f t="shared" si="0"/>
        <v>John Taylor</v>
      </c>
      <c r="D64" s="2" t="s">
        <v>99</v>
      </c>
      <c r="E64" s="2" t="str">
        <f t="shared" si="1"/>
        <v>daniel@company.com</v>
      </c>
      <c r="F64" s="2" t="s">
        <v>34</v>
      </c>
      <c r="G64" s="3">
        <v>43928</v>
      </c>
      <c r="H64" s="3" t="str">
        <f t="shared" si="2"/>
        <v>07-Apr-2020</v>
      </c>
      <c r="I64" s="10" t="s">
        <v>294</v>
      </c>
      <c r="J64" s="10">
        <f t="shared" si="3"/>
        <v>119674</v>
      </c>
      <c r="K64" s="11" t="s">
        <v>57</v>
      </c>
      <c r="L64" s="2" t="s">
        <v>89</v>
      </c>
      <c r="M64" s="2" t="str">
        <f t="shared" si="4"/>
        <v>Active</v>
      </c>
      <c r="N64" s="2" t="s">
        <v>28</v>
      </c>
      <c r="O64" s="2" t="str">
        <f t="shared" si="5"/>
        <v>Pending Docs</v>
      </c>
      <c r="P64" s="2" t="s">
        <v>295</v>
      </c>
      <c r="Q64" s="2" t="str">
        <f t="shared" si="6"/>
        <v>NR</v>
      </c>
      <c r="R64" s="2" t="e">
        <f t="array" aca="1" ref="R64" ca="1">_xludf.IFS(Q64="ET", "East", Q64="WT", "West", Q64="ST","South", Q64="NR", "North")</f>
        <v>#NAME?</v>
      </c>
      <c r="S64" s="2" t="s">
        <v>79</v>
      </c>
      <c r="T64" s="2" t="str">
        <f t="shared" si="7"/>
        <v>New York</v>
      </c>
      <c r="U64" s="12" t="s">
        <v>22</v>
      </c>
      <c r="V64" s="12">
        <f t="shared" si="8"/>
        <v>0.2</v>
      </c>
      <c r="W64" s="13">
        <f t="shared" si="9"/>
        <v>143608.79999999999</v>
      </c>
      <c r="X64" s="2" t="str">
        <f t="shared" si="10"/>
        <v>High</v>
      </c>
    </row>
    <row r="65" spans="1:24" ht="14.25" customHeight="1" x14ac:dyDescent="0.5">
      <c r="A65" s="2" t="s">
        <v>296</v>
      </c>
      <c r="B65" s="2" t="s">
        <v>297</v>
      </c>
      <c r="C65" s="2" t="str">
        <f t="shared" si="0"/>
        <v>Alex Davis</v>
      </c>
      <c r="D65" s="2" t="s">
        <v>74</v>
      </c>
      <c r="E65" s="2" t="str">
        <f t="shared" si="1"/>
        <v>mike@company.com</v>
      </c>
      <c r="F65" s="2" t="s">
        <v>50</v>
      </c>
      <c r="G65" s="3">
        <v>44998</v>
      </c>
      <c r="H65" s="3" t="str">
        <f t="shared" si="2"/>
        <v>13-Mar-2023</v>
      </c>
      <c r="I65" s="10" t="s">
        <v>298</v>
      </c>
      <c r="J65" s="10">
        <f t="shared" si="3"/>
        <v>93161</v>
      </c>
      <c r="K65" s="11" t="s">
        <v>17</v>
      </c>
      <c r="L65" s="2" t="s">
        <v>89</v>
      </c>
      <c r="M65" s="2" t="str">
        <f t="shared" si="4"/>
        <v>Active</v>
      </c>
      <c r="O65" s="2" t="str">
        <f t="shared" si="5"/>
        <v>No Notes</v>
      </c>
      <c r="P65" s="2" t="s">
        <v>299</v>
      </c>
      <c r="Q65" s="2" t="str">
        <f t="shared" si="6"/>
        <v>WT</v>
      </c>
      <c r="R65" s="2" t="e">
        <f t="array" aca="1" ref="R65" ca="1">_xludf.IFS(Q65="ET", "East", Q65="WT", "West", Q65="ST","South", Q65="NR", "North")</f>
        <v>#NAME?</v>
      </c>
      <c r="S65" s="2" t="s">
        <v>79</v>
      </c>
      <c r="T65" s="2" t="str">
        <f t="shared" si="7"/>
        <v>New York</v>
      </c>
      <c r="U65" s="12" t="s">
        <v>85</v>
      </c>
      <c r="V65" s="12">
        <f t="shared" si="8"/>
        <v>0.15</v>
      </c>
      <c r="W65" s="13">
        <f t="shared" si="9"/>
        <v>107135.15</v>
      </c>
      <c r="X65" s="2" t="str">
        <f t="shared" si="10"/>
        <v>High</v>
      </c>
    </row>
    <row r="66" spans="1:24" ht="14.25" customHeight="1" x14ac:dyDescent="0.5">
      <c r="A66" s="2" t="s">
        <v>300</v>
      </c>
      <c r="B66" s="2" t="s">
        <v>253</v>
      </c>
      <c r="C66" s="2" t="str">
        <f t="shared" si="0"/>
        <v>Sarah Wilson</v>
      </c>
      <c r="D66" s="2" t="s">
        <v>235</v>
      </c>
      <c r="E66" s="2" t="str">
        <f t="shared" si="1"/>
        <v>jane@company.com</v>
      </c>
      <c r="F66" s="2" t="s">
        <v>69</v>
      </c>
      <c r="G66" s="3">
        <v>44265</v>
      </c>
      <c r="H66" s="3" t="str">
        <f t="shared" si="2"/>
        <v>10-Mar-2021</v>
      </c>
      <c r="I66" s="10" t="s">
        <v>301</v>
      </c>
      <c r="J66" s="10">
        <f t="shared" si="3"/>
        <v>42169</v>
      </c>
      <c r="K66" s="11" t="s">
        <v>44</v>
      </c>
      <c r="L66" s="2" t="s">
        <v>112</v>
      </c>
      <c r="M66" s="2" t="str">
        <f t="shared" si="4"/>
        <v>On Leave</v>
      </c>
      <c r="N66" s="2" t="s">
        <v>19</v>
      </c>
      <c r="O66" s="2" t="str">
        <f t="shared" si="5"/>
        <v>Urgent Review</v>
      </c>
      <c r="P66" s="2" t="s">
        <v>302</v>
      </c>
      <c r="Q66" s="2" t="str">
        <f t="shared" si="6"/>
        <v>WT</v>
      </c>
      <c r="R66" s="2" t="e">
        <f t="array" aca="1" ref="R66" ca="1">_xludf.IFS(Q66="ET", "East", Q66="WT", "West", Q66="ST","South", Q66="NR", "North")</f>
        <v>#NAME?</v>
      </c>
      <c r="S66" s="2" t="s">
        <v>159</v>
      </c>
      <c r="T66" s="2" t="str">
        <f t="shared" si="7"/>
        <v>Berlin</v>
      </c>
      <c r="U66" s="12" t="s">
        <v>85</v>
      </c>
      <c r="V66" s="12">
        <f t="shared" si="8"/>
        <v>0.15</v>
      </c>
      <c r="W66" s="13">
        <f t="shared" si="9"/>
        <v>48494.35</v>
      </c>
      <c r="X66" s="2" t="str">
        <f t="shared" si="10"/>
        <v>Normal</v>
      </c>
    </row>
    <row r="67" spans="1:24" ht="14.25" customHeight="1" x14ac:dyDescent="0.5">
      <c r="A67" s="2" t="s">
        <v>303</v>
      </c>
      <c r="B67" s="2" t="s">
        <v>304</v>
      </c>
      <c r="C67" s="2" t="str">
        <f t="shared" si="0"/>
        <v>Alex Wilson</v>
      </c>
      <c r="D67" s="2" t="s">
        <v>49</v>
      </c>
      <c r="E67" s="2" t="str">
        <f t="shared" si="1"/>
        <v>emily@company.com</v>
      </c>
      <c r="F67" s="2" t="s">
        <v>34</v>
      </c>
      <c r="G67" s="3">
        <v>44467</v>
      </c>
      <c r="H67" s="3" t="str">
        <f t="shared" si="2"/>
        <v>28-Sep-2021</v>
      </c>
      <c r="I67" s="10" t="s">
        <v>305</v>
      </c>
      <c r="J67" s="10">
        <f t="shared" si="3"/>
        <v>62052</v>
      </c>
      <c r="K67" s="11" t="s">
        <v>36</v>
      </c>
      <c r="L67" s="2" t="s">
        <v>45</v>
      </c>
      <c r="M67" s="2" t="str">
        <f t="shared" si="4"/>
        <v>Active</v>
      </c>
      <c r="O67" s="2" t="str">
        <f t="shared" si="5"/>
        <v>No Notes</v>
      </c>
      <c r="P67" s="2" t="s">
        <v>306</v>
      </c>
      <c r="Q67" s="2" t="str">
        <f t="shared" si="6"/>
        <v>NR</v>
      </c>
      <c r="R67" s="2" t="e">
        <f t="array" aca="1" ref="R67" ca="1">_xludf.IFS(Q67="ET", "East", Q67="WT", "West", Q67="ST","South", Q67="NR", "North")</f>
        <v>#NAME?</v>
      </c>
      <c r="S67" s="2" t="s">
        <v>38</v>
      </c>
      <c r="T67" s="2" t="str">
        <f t="shared" si="7"/>
        <v>London</v>
      </c>
      <c r="U67" s="12" t="s">
        <v>85</v>
      </c>
      <c r="V67" s="12">
        <f t="shared" si="8"/>
        <v>0.15</v>
      </c>
      <c r="W67" s="13">
        <f t="shared" si="9"/>
        <v>71359.799999999988</v>
      </c>
      <c r="X67" s="2" t="str">
        <f t="shared" si="10"/>
        <v>Normal</v>
      </c>
    </row>
    <row r="68" spans="1:24" ht="14.25" customHeight="1" x14ac:dyDescent="0.5">
      <c r="A68" s="2" t="s">
        <v>307</v>
      </c>
      <c r="B68" s="2" t="s">
        <v>308</v>
      </c>
      <c r="C68" s="2" t="str">
        <f t="shared" si="0"/>
        <v>Sam Miller</v>
      </c>
      <c r="D68" s="2" t="s">
        <v>14</v>
      </c>
      <c r="E68" s="2" t="str">
        <f t="shared" si="1"/>
        <v>john@company.com</v>
      </c>
      <c r="F68" s="2" t="s">
        <v>42</v>
      </c>
      <c r="G68" s="3">
        <v>44940</v>
      </c>
      <c r="H68" s="3" t="str">
        <f t="shared" si="2"/>
        <v>14-Jan-2023</v>
      </c>
      <c r="I68" s="10" t="s">
        <v>309</v>
      </c>
      <c r="J68" s="10">
        <f t="shared" si="3"/>
        <v>111849</v>
      </c>
      <c r="K68" s="11" t="s">
        <v>17</v>
      </c>
      <c r="L68" s="2" t="s">
        <v>89</v>
      </c>
      <c r="M68" s="2" t="str">
        <f t="shared" si="4"/>
        <v>Active</v>
      </c>
      <c r="N68" s="2" t="s">
        <v>28</v>
      </c>
      <c r="O68" s="2" t="str">
        <f t="shared" si="5"/>
        <v>Pending Docs</v>
      </c>
      <c r="P68" s="2" t="s">
        <v>310</v>
      </c>
      <c r="Q68" s="2" t="str">
        <f t="shared" si="6"/>
        <v>ET</v>
      </c>
      <c r="R68" s="2" t="e">
        <f t="array" aca="1" ref="R68" ca="1">_xludf.IFS(Q68="ET", "East", Q68="WT", "West", Q68="ST","South", Q68="NR", "North")</f>
        <v>#NAME?</v>
      </c>
      <c r="S68" s="2" t="s">
        <v>53</v>
      </c>
      <c r="T68" s="2" t="str">
        <f t="shared" si="7"/>
        <v>Delhi</v>
      </c>
      <c r="U68" s="12" t="s">
        <v>22</v>
      </c>
      <c r="V68" s="12">
        <f t="shared" si="8"/>
        <v>0.2</v>
      </c>
      <c r="W68" s="13">
        <f t="shared" si="9"/>
        <v>134218.79999999999</v>
      </c>
      <c r="X68" s="2" t="str">
        <f t="shared" si="10"/>
        <v>High</v>
      </c>
    </row>
    <row r="69" spans="1:24" ht="14.25" customHeight="1" x14ac:dyDescent="0.5">
      <c r="A69" s="2" t="s">
        <v>311</v>
      </c>
      <c r="B69" s="2" t="s">
        <v>181</v>
      </c>
      <c r="C69" s="2" t="str">
        <f t="shared" si="0"/>
        <v>Jane Lewis</v>
      </c>
      <c r="D69" s="2" t="s">
        <v>125</v>
      </c>
      <c r="E69" s="2" t="str">
        <f t="shared" si="1"/>
        <v>sarah@company.com</v>
      </c>
      <c r="F69" s="2" t="s">
        <v>69</v>
      </c>
      <c r="G69" s="3">
        <v>44418</v>
      </c>
      <c r="H69" s="3" t="str">
        <f t="shared" si="2"/>
        <v>10-Aug-2021</v>
      </c>
      <c r="I69" s="10" t="s">
        <v>312</v>
      </c>
      <c r="J69" s="10">
        <f t="shared" si="3"/>
        <v>113851</v>
      </c>
      <c r="K69" s="11" t="s">
        <v>57</v>
      </c>
      <c r="L69" s="2" t="s">
        <v>27</v>
      </c>
      <c r="M69" s="2" t="str">
        <f t="shared" si="4"/>
        <v>On Leave</v>
      </c>
      <c r="N69" s="2" t="s">
        <v>77</v>
      </c>
      <c r="O69" s="2" t="str">
        <f t="shared" si="5"/>
        <v>All Clear</v>
      </c>
      <c r="P69" s="2" t="s">
        <v>313</v>
      </c>
      <c r="Q69" s="2" t="str">
        <f t="shared" si="6"/>
        <v>NR</v>
      </c>
      <c r="R69" s="2" t="e">
        <f t="array" aca="1" ref="R69" ca="1">_xludf.IFS(Q69="ET", "East", Q69="WT", "West", Q69="ST","South", Q69="NR", "North")</f>
        <v>#NAME?</v>
      </c>
      <c r="S69" s="2" t="s">
        <v>96</v>
      </c>
      <c r="T69" s="2" t="str">
        <f t="shared" si="7"/>
        <v>Cairo</v>
      </c>
      <c r="U69" s="12" t="s">
        <v>22</v>
      </c>
      <c r="V69" s="12">
        <f t="shared" si="8"/>
        <v>0.2</v>
      </c>
      <c r="W69" s="13">
        <f t="shared" si="9"/>
        <v>136621.19999999998</v>
      </c>
      <c r="X69" s="2" t="str">
        <f t="shared" si="10"/>
        <v>High</v>
      </c>
    </row>
    <row r="70" spans="1:24" ht="14.25" customHeight="1" x14ac:dyDescent="0.5">
      <c r="A70" s="2" t="s">
        <v>314</v>
      </c>
      <c r="B70" s="2" t="s">
        <v>315</v>
      </c>
      <c r="C70" s="2" t="str">
        <f t="shared" si="0"/>
        <v>Katie Davis</v>
      </c>
      <c r="D70" s="2" t="s">
        <v>14</v>
      </c>
      <c r="E70" s="2" t="str">
        <f t="shared" si="1"/>
        <v>john@company.com</v>
      </c>
      <c r="F70" s="2" t="s">
        <v>100</v>
      </c>
      <c r="G70" s="3">
        <v>44174</v>
      </c>
      <c r="H70" s="3" t="str">
        <f t="shared" si="2"/>
        <v>09-Dec-2020</v>
      </c>
      <c r="I70" s="10" t="s">
        <v>316</v>
      </c>
      <c r="J70" s="10">
        <f t="shared" si="3"/>
        <v>48036</v>
      </c>
      <c r="K70" s="11" t="s">
        <v>17</v>
      </c>
      <c r="L70" s="2" t="s">
        <v>27</v>
      </c>
      <c r="M70" s="2" t="str">
        <f t="shared" si="4"/>
        <v>On Leave</v>
      </c>
      <c r="O70" s="2" t="str">
        <f t="shared" si="5"/>
        <v>No Notes</v>
      </c>
      <c r="P70" s="2" t="s">
        <v>317</v>
      </c>
      <c r="Q70" s="2" t="str">
        <f t="shared" si="6"/>
        <v>WT</v>
      </c>
      <c r="R70" s="2" t="e">
        <f t="array" aca="1" ref="R70" ca="1">_xludf.IFS(Q70="ET", "East", Q70="WT", "West", Q70="ST","South", Q70="NR", "North")</f>
        <v>#NAME?</v>
      </c>
      <c r="S70" s="2" t="s">
        <v>53</v>
      </c>
      <c r="T70" s="2" t="str">
        <f t="shared" si="7"/>
        <v>Delhi</v>
      </c>
      <c r="U70" s="12" t="s">
        <v>39</v>
      </c>
      <c r="V70" s="12">
        <f t="shared" si="8"/>
        <v>0.05</v>
      </c>
      <c r="W70" s="13">
        <f t="shared" si="9"/>
        <v>50437.8</v>
      </c>
      <c r="X70" s="2" t="str">
        <f t="shared" si="10"/>
        <v>Normal</v>
      </c>
    </row>
    <row r="71" spans="1:24" ht="14.25" customHeight="1" x14ac:dyDescent="0.5">
      <c r="A71" s="2" t="s">
        <v>318</v>
      </c>
      <c r="B71" s="2" t="s">
        <v>319</v>
      </c>
      <c r="C71" s="2" t="str">
        <f t="shared" si="0"/>
        <v>Daniel Taylor</v>
      </c>
      <c r="D71" s="2" t="s">
        <v>33</v>
      </c>
      <c r="E71" s="2" t="str">
        <f t="shared" si="1"/>
        <v>alex@company.com</v>
      </c>
      <c r="F71" s="2" t="s">
        <v>100</v>
      </c>
      <c r="G71" s="3">
        <v>45148</v>
      </c>
      <c r="H71" s="3" t="str">
        <f t="shared" si="2"/>
        <v>10-Aug-2023</v>
      </c>
      <c r="I71" s="10" t="s">
        <v>320</v>
      </c>
      <c r="J71" s="10">
        <f t="shared" si="3"/>
        <v>71778</v>
      </c>
      <c r="K71" s="11" t="s">
        <v>44</v>
      </c>
      <c r="L71" s="2" t="s">
        <v>89</v>
      </c>
      <c r="M71" s="2" t="str">
        <f t="shared" si="4"/>
        <v>Active</v>
      </c>
      <c r="N71" s="2" t="s">
        <v>65</v>
      </c>
      <c r="O71" s="2" t="str">
        <f t="shared" si="5"/>
        <v>Follow Up</v>
      </c>
      <c r="P71" s="2" t="s">
        <v>321</v>
      </c>
      <c r="Q71" s="2" t="str">
        <f t="shared" si="6"/>
        <v>NR</v>
      </c>
      <c r="R71" s="2" t="e">
        <f t="array" aca="1" ref="R71" ca="1">_xludf.IFS(Q71="ET", "East", Q71="WT", "West", Q71="ST","South", Q71="NR", "North")</f>
        <v>#NAME?</v>
      </c>
      <c r="S71" s="2" t="s">
        <v>38</v>
      </c>
      <c r="T71" s="2" t="str">
        <f t="shared" si="7"/>
        <v>London</v>
      </c>
      <c r="U71" s="12" t="s">
        <v>30</v>
      </c>
      <c r="V71" s="12">
        <f t="shared" si="8"/>
        <v>0.1</v>
      </c>
      <c r="W71" s="13">
        <f t="shared" si="9"/>
        <v>78955.8</v>
      </c>
      <c r="X71" s="2" t="str">
        <f t="shared" si="10"/>
        <v>Normal</v>
      </c>
    </row>
    <row r="72" spans="1:24" ht="14.25" customHeight="1" x14ac:dyDescent="0.5">
      <c r="A72" s="2" t="s">
        <v>322</v>
      </c>
      <c r="B72" s="2" t="s">
        <v>279</v>
      </c>
      <c r="C72" s="2" t="str">
        <f t="shared" si="0"/>
        <v>Mike Wilson</v>
      </c>
      <c r="D72" s="2" t="s">
        <v>93</v>
      </c>
      <c r="E72" s="2" t="str">
        <f t="shared" si="1"/>
        <v>k@ie@company.com</v>
      </c>
      <c r="F72" s="2" t="s">
        <v>34</v>
      </c>
      <c r="G72" s="3">
        <v>44401</v>
      </c>
      <c r="H72" s="3" t="str">
        <f t="shared" si="2"/>
        <v>24-Jul-2021</v>
      </c>
      <c r="I72" s="10" t="s">
        <v>323</v>
      </c>
      <c r="J72" s="10">
        <f t="shared" si="3"/>
        <v>67734</v>
      </c>
      <c r="K72" s="11" t="s">
        <v>36</v>
      </c>
      <c r="L72" s="2" t="s">
        <v>27</v>
      </c>
      <c r="M72" s="2" t="str">
        <f t="shared" si="4"/>
        <v>On Leave</v>
      </c>
      <c r="N72" s="2" t="s">
        <v>65</v>
      </c>
      <c r="O72" s="2" t="str">
        <f t="shared" si="5"/>
        <v>Follow Up</v>
      </c>
      <c r="P72" s="2" t="s">
        <v>324</v>
      </c>
      <c r="Q72" s="2" t="str">
        <f t="shared" si="6"/>
        <v>WT</v>
      </c>
      <c r="R72" s="2" t="e">
        <f t="array" aca="1" ref="R72" ca="1">_xludf.IFS(Q72="ET", "East", Q72="WT", "West", Q72="ST","South", Q72="NR", "North")</f>
        <v>#NAME?</v>
      </c>
      <c r="S72" s="2" t="s">
        <v>47</v>
      </c>
      <c r="T72" s="2" t="str">
        <f t="shared" si="7"/>
        <v>Lagos</v>
      </c>
      <c r="U72" s="12" t="s">
        <v>39</v>
      </c>
      <c r="V72" s="12">
        <f t="shared" si="8"/>
        <v>0.05</v>
      </c>
      <c r="W72" s="13">
        <f t="shared" si="9"/>
        <v>71120.7</v>
      </c>
      <c r="X72" s="2" t="str">
        <f t="shared" si="10"/>
        <v>Normal</v>
      </c>
    </row>
    <row r="73" spans="1:24" ht="14.25" customHeight="1" x14ac:dyDescent="0.5">
      <c r="A73" s="2" t="s">
        <v>325</v>
      </c>
      <c r="B73" s="2" t="s">
        <v>129</v>
      </c>
      <c r="C73" s="2" t="str">
        <f t="shared" si="0"/>
        <v>Katie Wilson</v>
      </c>
      <c r="D73" s="2" t="s">
        <v>14</v>
      </c>
      <c r="E73" s="2" t="str">
        <f t="shared" si="1"/>
        <v>john@company.com</v>
      </c>
      <c r="F73" s="2" t="s">
        <v>69</v>
      </c>
      <c r="G73" s="3">
        <v>44441</v>
      </c>
      <c r="H73" s="3" t="str">
        <f t="shared" si="2"/>
        <v>02-Sep-2021</v>
      </c>
      <c r="I73" s="10" t="s">
        <v>326</v>
      </c>
      <c r="J73" s="10">
        <f t="shared" si="3"/>
        <v>63173</v>
      </c>
      <c r="K73" s="11" t="s">
        <v>44</v>
      </c>
      <c r="L73" s="2" t="s">
        <v>112</v>
      </c>
      <c r="M73" s="2" t="str">
        <f t="shared" si="4"/>
        <v>On Leave</v>
      </c>
      <c r="N73" s="2" t="s">
        <v>77</v>
      </c>
      <c r="O73" s="2" t="str">
        <f t="shared" si="5"/>
        <v>All Clear</v>
      </c>
      <c r="P73" s="2" t="s">
        <v>327</v>
      </c>
      <c r="Q73" s="2" t="str">
        <f t="shared" si="6"/>
        <v>NR</v>
      </c>
      <c r="R73" s="2" t="e">
        <f t="array" aca="1" ref="R73" ca="1">_xludf.IFS(Q73="ET", "East", Q73="WT", "West", Q73="ST","South", Q73="NR", "North")</f>
        <v>#NAME?</v>
      </c>
      <c r="S73" s="2" t="s">
        <v>159</v>
      </c>
      <c r="T73" s="2" t="str">
        <f t="shared" si="7"/>
        <v>Berlin</v>
      </c>
      <c r="U73" s="12" t="s">
        <v>22</v>
      </c>
      <c r="V73" s="12">
        <f t="shared" si="8"/>
        <v>0.2</v>
      </c>
      <c r="W73" s="13">
        <f t="shared" si="9"/>
        <v>75807.599999999991</v>
      </c>
      <c r="X73" s="2" t="str">
        <f t="shared" si="10"/>
        <v>Normal</v>
      </c>
    </row>
    <row r="74" spans="1:24" ht="14.25" customHeight="1" x14ac:dyDescent="0.5">
      <c r="A74" s="2" t="s">
        <v>328</v>
      </c>
      <c r="B74" s="2" t="s">
        <v>329</v>
      </c>
      <c r="C74" s="2" t="str">
        <f t="shared" si="0"/>
        <v>John Smith</v>
      </c>
      <c r="D74" s="2" t="s">
        <v>33</v>
      </c>
      <c r="E74" s="2" t="str">
        <f t="shared" si="1"/>
        <v>alex@company.com</v>
      </c>
      <c r="F74" s="2" t="s">
        <v>50</v>
      </c>
      <c r="G74" s="3">
        <v>44073</v>
      </c>
      <c r="H74" s="3" t="str">
        <f t="shared" si="2"/>
        <v>30-Aug-2020</v>
      </c>
      <c r="I74" s="10" t="s">
        <v>330</v>
      </c>
      <c r="J74" s="10">
        <f t="shared" si="3"/>
        <v>70403</v>
      </c>
      <c r="K74" s="11" t="s">
        <v>83</v>
      </c>
      <c r="L74" s="2" t="s">
        <v>64</v>
      </c>
      <c r="M74" s="2" t="str">
        <f t="shared" si="4"/>
        <v>Terminated</v>
      </c>
      <c r="N74" s="2" t="s">
        <v>28</v>
      </c>
      <c r="O74" s="2" t="str">
        <f t="shared" si="5"/>
        <v>Pending Docs</v>
      </c>
      <c r="P74" s="2" t="s">
        <v>331</v>
      </c>
      <c r="Q74" s="2" t="str">
        <f t="shared" si="6"/>
        <v>ET</v>
      </c>
      <c r="R74" s="2" t="e">
        <f t="array" aca="1" ref="R74" ca="1">_xludf.IFS(Q74="ET", "East", Q74="WT", "West", Q74="ST","South", Q74="NR", "North")</f>
        <v>#NAME?</v>
      </c>
      <c r="S74" s="2" t="s">
        <v>159</v>
      </c>
      <c r="T74" s="2" t="str">
        <f t="shared" si="7"/>
        <v>Berlin</v>
      </c>
      <c r="U74" s="12" t="s">
        <v>85</v>
      </c>
      <c r="V74" s="12">
        <f t="shared" si="8"/>
        <v>0.15</v>
      </c>
      <c r="W74" s="13">
        <f t="shared" si="9"/>
        <v>80963.45</v>
      </c>
      <c r="X74" s="2" t="str">
        <f t="shared" si="10"/>
        <v>Normal</v>
      </c>
    </row>
    <row r="75" spans="1:24" ht="14.25" customHeight="1" x14ac:dyDescent="0.5">
      <c r="A75" s="2" t="s">
        <v>332</v>
      </c>
      <c r="B75" s="2" t="s">
        <v>206</v>
      </c>
      <c r="C75" s="2" t="str">
        <f t="shared" si="0"/>
        <v>Katie Clark</v>
      </c>
      <c r="D75" s="2" t="s">
        <v>99</v>
      </c>
      <c r="E75" s="2" t="str">
        <f t="shared" si="1"/>
        <v>daniel@company.com</v>
      </c>
      <c r="F75" s="2" t="s">
        <v>50</v>
      </c>
      <c r="G75" s="3">
        <v>44391</v>
      </c>
      <c r="H75" s="3" t="str">
        <f t="shared" si="2"/>
        <v>14-Jul-2021</v>
      </c>
      <c r="I75" s="10" t="s">
        <v>333</v>
      </c>
      <c r="J75" s="10">
        <f t="shared" si="3"/>
        <v>106321</v>
      </c>
      <c r="K75" s="11" t="s">
        <v>36</v>
      </c>
      <c r="L75" s="2" t="s">
        <v>64</v>
      </c>
      <c r="M75" s="2" t="str">
        <f t="shared" si="4"/>
        <v>Terminated</v>
      </c>
      <c r="N75" s="2" t="s">
        <v>107</v>
      </c>
      <c r="O75" s="2" t="str">
        <f t="shared" si="5"/>
        <v>All Clear</v>
      </c>
      <c r="P75" s="2" t="s">
        <v>334</v>
      </c>
      <c r="Q75" s="2" t="str">
        <f t="shared" si="6"/>
        <v>ET</v>
      </c>
      <c r="R75" s="2" t="e">
        <f t="array" aca="1" ref="R75" ca="1">_xludf.IFS(Q75="ET", "East", Q75="WT", "West", Q75="ST","South", Q75="NR", "North")</f>
        <v>#NAME?</v>
      </c>
      <c r="S75" s="2" t="s">
        <v>38</v>
      </c>
      <c r="T75" s="2" t="str">
        <f t="shared" si="7"/>
        <v>London</v>
      </c>
      <c r="U75" s="12" t="s">
        <v>22</v>
      </c>
      <c r="V75" s="12">
        <f t="shared" si="8"/>
        <v>0.2</v>
      </c>
      <c r="W75" s="13">
        <f t="shared" si="9"/>
        <v>127585.2</v>
      </c>
      <c r="X75" s="2" t="str">
        <f t="shared" si="10"/>
        <v>High</v>
      </c>
    </row>
    <row r="76" spans="1:24" ht="14.25" customHeight="1" x14ac:dyDescent="0.5">
      <c r="A76" s="2" t="s">
        <v>335</v>
      </c>
      <c r="B76" s="2" t="s">
        <v>336</v>
      </c>
      <c r="C76" s="2" t="str">
        <f t="shared" si="0"/>
        <v>Alex Clark</v>
      </c>
      <c r="D76" s="2" t="s">
        <v>99</v>
      </c>
      <c r="E76" s="2" t="str">
        <f t="shared" si="1"/>
        <v>daniel@company.com</v>
      </c>
      <c r="F76" s="2" t="s">
        <v>15</v>
      </c>
      <c r="G76" s="3">
        <v>44790</v>
      </c>
      <c r="H76" s="3" t="str">
        <f t="shared" si="2"/>
        <v>17-Aug-2022</v>
      </c>
      <c r="I76" s="10" t="s">
        <v>337</v>
      </c>
      <c r="J76" s="10">
        <f t="shared" si="3"/>
        <v>111675</v>
      </c>
      <c r="K76" s="11" t="s">
        <v>44</v>
      </c>
      <c r="L76" s="2" t="s">
        <v>18</v>
      </c>
      <c r="M76" s="2" t="str">
        <f t="shared" si="4"/>
        <v>Active</v>
      </c>
      <c r="N76" s="2" t="s">
        <v>65</v>
      </c>
      <c r="O76" s="2" t="str">
        <f t="shared" si="5"/>
        <v>Follow Up</v>
      </c>
      <c r="P76" s="2" t="s">
        <v>338</v>
      </c>
      <c r="Q76" s="2" t="str">
        <f t="shared" si="6"/>
        <v>NR</v>
      </c>
      <c r="R76" s="2" t="e">
        <f t="array" aca="1" ref="R76" ca="1">_xludf.IFS(Q76="ET", "East", Q76="WT", "West", Q76="ST","South", Q76="NR", "North")</f>
        <v>#NAME?</v>
      </c>
      <c r="S76" s="2" t="s">
        <v>21</v>
      </c>
      <c r="T76" s="2" t="str">
        <f t="shared" si="7"/>
        <v>Sao Paulo</v>
      </c>
      <c r="U76" s="12" t="s">
        <v>30</v>
      </c>
      <c r="V76" s="12">
        <f t="shared" si="8"/>
        <v>0.1</v>
      </c>
      <c r="W76" s="13">
        <f t="shared" si="9"/>
        <v>122842.50000000001</v>
      </c>
      <c r="X76" s="2" t="str">
        <f t="shared" si="10"/>
        <v>High</v>
      </c>
    </row>
    <row r="77" spans="1:24" ht="14.25" customHeight="1" x14ac:dyDescent="0.5">
      <c r="A77" s="2" t="s">
        <v>339</v>
      </c>
      <c r="B77" s="2" t="s">
        <v>41</v>
      </c>
      <c r="C77" s="2" t="str">
        <f t="shared" si="0"/>
        <v>Sam Wilson</v>
      </c>
      <c r="D77" s="2" t="s">
        <v>25</v>
      </c>
      <c r="E77" s="2" t="str">
        <f t="shared" si="1"/>
        <v>chris@company.com</v>
      </c>
      <c r="F77" s="2" t="s">
        <v>100</v>
      </c>
      <c r="G77" s="3">
        <v>43862</v>
      </c>
      <c r="H77" s="3" t="str">
        <f t="shared" si="2"/>
        <v>01-Feb-2020</v>
      </c>
      <c r="I77" s="10" t="s">
        <v>340</v>
      </c>
      <c r="J77" s="10">
        <f t="shared" si="3"/>
        <v>46344</v>
      </c>
      <c r="K77" s="11" t="s">
        <v>57</v>
      </c>
      <c r="L77" s="2" t="s">
        <v>121</v>
      </c>
      <c r="M77" s="2" t="str">
        <f t="shared" si="4"/>
        <v>On Leave</v>
      </c>
      <c r="N77" s="2" t="s">
        <v>19</v>
      </c>
      <c r="O77" s="2" t="str">
        <f t="shared" si="5"/>
        <v>Urgent Review</v>
      </c>
      <c r="P77" s="2" t="s">
        <v>341</v>
      </c>
      <c r="Q77" s="2" t="str">
        <f t="shared" si="6"/>
        <v>NR</v>
      </c>
      <c r="R77" s="2" t="e">
        <f t="array" aca="1" ref="R77" ca="1">_xludf.IFS(Q77="ET", "East", Q77="WT", "West", Q77="ST","South", Q77="NR", "North")</f>
        <v>#NAME?</v>
      </c>
      <c r="S77" s="2" t="s">
        <v>159</v>
      </c>
      <c r="T77" s="2" t="str">
        <f t="shared" si="7"/>
        <v>Berlin</v>
      </c>
      <c r="U77" s="12" t="s">
        <v>39</v>
      </c>
      <c r="V77" s="12">
        <f t="shared" si="8"/>
        <v>0.05</v>
      </c>
      <c r="W77" s="13">
        <f t="shared" si="9"/>
        <v>48661.200000000004</v>
      </c>
      <c r="X77" s="2" t="str">
        <f t="shared" si="10"/>
        <v>Normal</v>
      </c>
    </row>
    <row r="78" spans="1:24" ht="14.25" customHeight="1" x14ac:dyDescent="0.5">
      <c r="A78" s="2" t="s">
        <v>342</v>
      </c>
      <c r="B78" s="2" t="s">
        <v>343</v>
      </c>
      <c r="C78" s="2" t="str">
        <f t="shared" si="0"/>
        <v>Daniel Moore</v>
      </c>
      <c r="D78" s="2" t="s">
        <v>14</v>
      </c>
      <c r="E78" s="2" t="str">
        <f t="shared" si="1"/>
        <v>john@company.com</v>
      </c>
      <c r="F78" s="2" t="s">
        <v>75</v>
      </c>
      <c r="G78" s="3">
        <v>44221</v>
      </c>
      <c r="H78" s="3" t="str">
        <f t="shared" si="2"/>
        <v>25-Jan-2021</v>
      </c>
      <c r="I78" s="10" t="s">
        <v>344</v>
      </c>
      <c r="J78" s="10">
        <f t="shared" si="3"/>
        <v>58800</v>
      </c>
      <c r="K78" s="11" t="s">
        <v>36</v>
      </c>
      <c r="L78" s="2" t="s">
        <v>121</v>
      </c>
      <c r="M78" s="2" t="str">
        <f t="shared" si="4"/>
        <v>On Leave</v>
      </c>
      <c r="N78" s="2" t="s">
        <v>28</v>
      </c>
      <c r="O78" s="2" t="str">
        <f t="shared" si="5"/>
        <v>Pending Docs</v>
      </c>
      <c r="P78" s="2" t="s">
        <v>345</v>
      </c>
      <c r="Q78" s="2" t="str">
        <f t="shared" si="6"/>
        <v>ET</v>
      </c>
      <c r="R78" s="2" t="e">
        <f t="array" aca="1" ref="R78" ca="1">_xludf.IFS(Q78="ET", "East", Q78="WT", "West", Q78="ST","South", Q78="NR", "North")</f>
        <v>#NAME?</v>
      </c>
      <c r="S78" s="2" t="s">
        <v>53</v>
      </c>
      <c r="T78" s="2" t="str">
        <f t="shared" si="7"/>
        <v>Delhi</v>
      </c>
      <c r="U78" s="12" t="s">
        <v>39</v>
      </c>
      <c r="V78" s="12">
        <f t="shared" si="8"/>
        <v>0.05</v>
      </c>
      <c r="W78" s="13">
        <f t="shared" si="9"/>
        <v>61740</v>
      </c>
      <c r="X78" s="2" t="str">
        <f t="shared" si="10"/>
        <v>Normal</v>
      </c>
    </row>
    <row r="79" spans="1:24" ht="14.25" customHeight="1" x14ac:dyDescent="0.5">
      <c r="A79" s="2" t="s">
        <v>346</v>
      </c>
      <c r="B79" s="2" t="s">
        <v>315</v>
      </c>
      <c r="C79" s="2" t="str">
        <f t="shared" si="0"/>
        <v>Katie Davis</v>
      </c>
      <c r="D79" s="2" t="s">
        <v>125</v>
      </c>
      <c r="E79" s="2" t="str">
        <f t="shared" si="1"/>
        <v>sarah@company.com</v>
      </c>
      <c r="F79" s="2" t="s">
        <v>15</v>
      </c>
      <c r="G79" s="3">
        <v>44107</v>
      </c>
      <c r="H79" s="3" t="str">
        <f t="shared" si="2"/>
        <v>03-Oct-2020</v>
      </c>
      <c r="I79" s="10" t="s">
        <v>347</v>
      </c>
      <c r="J79" s="10">
        <f t="shared" si="3"/>
        <v>65372</v>
      </c>
      <c r="K79" s="11" t="s">
        <v>36</v>
      </c>
      <c r="L79" s="2" t="s">
        <v>64</v>
      </c>
      <c r="M79" s="2" t="str">
        <f t="shared" si="4"/>
        <v>Terminated</v>
      </c>
      <c r="O79" s="2" t="str">
        <f t="shared" si="5"/>
        <v>No Notes</v>
      </c>
      <c r="P79" s="2" t="s">
        <v>348</v>
      </c>
      <c r="Q79" s="2" t="str">
        <f t="shared" si="6"/>
        <v>WT</v>
      </c>
      <c r="R79" s="2" t="e">
        <f t="array" aca="1" ref="R79" ca="1">_xludf.IFS(Q79="ET", "East", Q79="WT", "West", Q79="ST","South", Q79="NR", "North")</f>
        <v>#NAME?</v>
      </c>
      <c r="S79" s="2" t="s">
        <v>38</v>
      </c>
      <c r="T79" s="2" t="str">
        <f t="shared" si="7"/>
        <v>London</v>
      </c>
      <c r="U79" s="12" t="s">
        <v>85</v>
      </c>
      <c r="V79" s="12">
        <f t="shared" si="8"/>
        <v>0.15</v>
      </c>
      <c r="W79" s="13">
        <f t="shared" si="9"/>
        <v>75177.799999999988</v>
      </c>
      <c r="X79" s="2" t="str">
        <f t="shared" si="10"/>
        <v>Normal</v>
      </c>
    </row>
    <row r="80" spans="1:24" ht="14.25" customHeight="1" x14ac:dyDescent="0.5">
      <c r="A80" s="2" t="s">
        <v>349</v>
      </c>
      <c r="B80" s="2" t="s">
        <v>268</v>
      </c>
      <c r="C80" s="2" t="str">
        <f t="shared" si="0"/>
        <v>John Brown</v>
      </c>
      <c r="D80" s="2" t="s">
        <v>14</v>
      </c>
      <c r="E80" s="2" t="str">
        <f t="shared" si="1"/>
        <v>john@company.com</v>
      </c>
      <c r="F80" s="2" t="s">
        <v>50</v>
      </c>
      <c r="G80" s="3">
        <v>44362</v>
      </c>
      <c r="H80" s="3" t="str">
        <f t="shared" si="2"/>
        <v>15-Jun-2021</v>
      </c>
      <c r="I80" s="10" t="s">
        <v>350</v>
      </c>
      <c r="J80" s="10">
        <f t="shared" si="3"/>
        <v>101516</v>
      </c>
      <c r="K80" s="11" t="s">
        <v>17</v>
      </c>
      <c r="L80" s="2" t="s">
        <v>58</v>
      </c>
      <c r="M80" s="2" t="str">
        <f t="shared" si="4"/>
        <v>Terminated</v>
      </c>
      <c r="O80" s="2" t="str">
        <f t="shared" si="5"/>
        <v>No Notes</v>
      </c>
      <c r="P80" s="2" t="s">
        <v>351</v>
      </c>
      <c r="Q80" s="2" t="str">
        <f t="shared" si="6"/>
        <v>ET</v>
      </c>
      <c r="R80" s="2" t="e">
        <f t="array" aca="1" ref="R80" ca="1">_xludf.IFS(Q80="ET", "East", Q80="WT", "West", Q80="ST","South", Q80="NR", "North")</f>
        <v>#NAME?</v>
      </c>
      <c r="S80" s="2" t="s">
        <v>159</v>
      </c>
      <c r="T80" s="2" t="str">
        <f t="shared" si="7"/>
        <v>Berlin</v>
      </c>
      <c r="U80" s="12" t="s">
        <v>39</v>
      </c>
      <c r="V80" s="12">
        <f t="shared" si="8"/>
        <v>0.05</v>
      </c>
      <c r="W80" s="13">
        <f t="shared" si="9"/>
        <v>106591.8</v>
      </c>
      <c r="X80" s="2" t="str">
        <f t="shared" si="10"/>
        <v>High</v>
      </c>
    </row>
    <row r="81" spans="1:24" ht="14.25" customHeight="1" x14ac:dyDescent="0.5">
      <c r="A81" s="2" t="s">
        <v>352</v>
      </c>
      <c r="B81" s="2" t="s">
        <v>353</v>
      </c>
      <c r="C81" s="2" t="str">
        <f t="shared" si="0"/>
        <v>Mike Moore</v>
      </c>
      <c r="D81" s="2" t="s">
        <v>125</v>
      </c>
      <c r="E81" s="2" t="str">
        <f t="shared" si="1"/>
        <v>sarah@company.com</v>
      </c>
      <c r="F81" s="2" t="s">
        <v>69</v>
      </c>
      <c r="G81" s="3">
        <v>45008</v>
      </c>
      <c r="H81" s="3" t="str">
        <f t="shared" si="2"/>
        <v>23-Mar-2023</v>
      </c>
      <c r="I81" s="10" t="s">
        <v>354</v>
      </c>
      <c r="J81" s="10">
        <f t="shared" si="3"/>
        <v>60538</v>
      </c>
      <c r="K81" s="11" t="s">
        <v>57</v>
      </c>
      <c r="L81" s="2" t="s">
        <v>112</v>
      </c>
      <c r="M81" s="2" t="str">
        <f t="shared" si="4"/>
        <v>On Leave</v>
      </c>
      <c r="N81" s="2" t="s">
        <v>19</v>
      </c>
      <c r="O81" s="2" t="str">
        <f t="shared" si="5"/>
        <v>Urgent Review</v>
      </c>
      <c r="P81" s="2" t="s">
        <v>355</v>
      </c>
      <c r="Q81" s="2" t="str">
        <f t="shared" si="6"/>
        <v>WT</v>
      </c>
      <c r="R81" s="2" t="e">
        <f t="array" aca="1" ref="R81" ca="1">_xludf.IFS(Q81="ET", "East", Q81="WT", "West", Q81="ST","South", Q81="NR", "North")</f>
        <v>#NAME?</v>
      </c>
      <c r="S81" s="2" t="s">
        <v>79</v>
      </c>
      <c r="T81" s="2" t="str">
        <f t="shared" si="7"/>
        <v>New York</v>
      </c>
      <c r="U81" s="12" t="s">
        <v>39</v>
      </c>
      <c r="V81" s="12">
        <f t="shared" si="8"/>
        <v>0.05</v>
      </c>
      <c r="W81" s="13">
        <f t="shared" si="9"/>
        <v>63564.9</v>
      </c>
      <c r="X81" s="2" t="str">
        <f t="shared" si="10"/>
        <v>Normal</v>
      </c>
    </row>
    <row r="82" spans="1:24" ht="14.25" customHeight="1" x14ac:dyDescent="0.5">
      <c r="A82" s="2" t="s">
        <v>356</v>
      </c>
      <c r="B82" s="2" t="s">
        <v>343</v>
      </c>
      <c r="C82" s="2" t="str">
        <f t="shared" si="0"/>
        <v>Daniel Moore</v>
      </c>
      <c r="D82" s="2" t="s">
        <v>105</v>
      </c>
      <c r="E82" s="2" t="str">
        <f t="shared" si="1"/>
        <v>sam@company.com</v>
      </c>
      <c r="F82" s="2" t="s">
        <v>50</v>
      </c>
      <c r="G82" s="3">
        <v>44213</v>
      </c>
      <c r="H82" s="3" t="str">
        <f t="shared" si="2"/>
        <v>17-Jan-2021</v>
      </c>
      <c r="I82" s="10" t="s">
        <v>357</v>
      </c>
      <c r="J82" s="10">
        <f t="shared" si="3"/>
        <v>103918</v>
      </c>
      <c r="K82" s="11" t="s">
        <v>83</v>
      </c>
      <c r="L82" s="2" t="s">
        <v>27</v>
      </c>
      <c r="M82" s="2" t="str">
        <f t="shared" si="4"/>
        <v>On Leave</v>
      </c>
      <c r="N82" s="2" t="s">
        <v>65</v>
      </c>
      <c r="O82" s="2" t="str">
        <f t="shared" si="5"/>
        <v>Follow Up</v>
      </c>
      <c r="P82" s="2" t="s">
        <v>358</v>
      </c>
      <c r="Q82" s="2" t="str">
        <f t="shared" si="6"/>
        <v>NR</v>
      </c>
      <c r="R82" s="2" t="e">
        <f t="array" aca="1" ref="R82" ca="1">_xludf.IFS(Q82="ET", "East", Q82="WT", "West", Q82="ST","South", Q82="NR", "North")</f>
        <v>#NAME?</v>
      </c>
      <c r="S82" s="2" t="s">
        <v>38</v>
      </c>
      <c r="T82" s="2" t="str">
        <f t="shared" si="7"/>
        <v>London</v>
      </c>
      <c r="U82" s="12" t="s">
        <v>22</v>
      </c>
      <c r="V82" s="12">
        <f t="shared" si="8"/>
        <v>0.2</v>
      </c>
      <c r="W82" s="13">
        <f t="shared" si="9"/>
        <v>124701.59999999999</v>
      </c>
      <c r="X82" s="2" t="str">
        <f t="shared" si="10"/>
        <v>High</v>
      </c>
    </row>
    <row r="83" spans="1:24" ht="14.25" customHeight="1" x14ac:dyDescent="0.5">
      <c r="A83" s="2" t="s">
        <v>359</v>
      </c>
      <c r="B83" s="2" t="s">
        <v>360</v>
      </c>
      <c r="C83" s="2" t="str">
        <f t="shared" si="0"/>
        <v>Katie Taylor</v>
      </c>
      <c r="D83" s="2" t="s">
        <v>25</v>
      </c>
      <c r="E83" s="2" t="str">
        <f t="shared" si="1"/>
        <v>chris@company.com</v>
      </c>
      <c r="F83" s="2" t="s">
        <v>69</v>
      </c>
      <c r="G83" s="3">
        <v>44922</v>
      </c>
      <c r="H83" s="3" t="str">
        <f t="shared" si="2"/>
        <v>27-Dec-2022</v>
      </c>
      <c r="I83" s="10" t="s">
        <v>361</v>
      </c>
      <c r="J83" s="10">
        <f t="shared" si="3"/>
        <v>54973</v>
      </c>
      <c r="K83" s="11" t="s">
        <v>44</v>
      </c>
      <c r="L83" s="2" t="s">
        <v>89</v>
      </c>
      <c r="M83" s="2" t="str">
        <f t="shared" si="4"/>
        <v>Active</v>
      </c>
      <c r="N83" s="2" t="s">
        <v>28</v>
      </c>
      <c r="O83" s="2" t="str">
        <f t="shared" si="5"/>
        <v>Pending Docs</v>
      </c>
      <c r="P83" s="2" t="s">
        <v>362</v>
      </c>
      <c r="Q83" s="2" t="str">
        <f t="shared" si="6"/>
        <v>NR</v>
      </c>
      <c r="R83" s="2" t="e">
        <f t="array" aca="1" ref="R83" ca="1">_xludf.IFS(Q83="ET", "East", Q83="WT", "West", Q83="ST","South", Q83="NR", "North")</f>
        <v>#NAME?</v>
      </c>
      <c r="S83" s="2" t="s">
        <v>38</v>
      </c>
      <c r="T83" s="2" t="str">
        <f t="shared" si="7"/>
        <v>London</v>
      </c>
      <c r="U83" s="12" t="s">
        <v>39</v>
      </c>
      <c r="V83" s="12">
        <f t="shared" si="8"/>
        <v>0.05</v>
      </c>
      <c r="W83" s="13">
        <f t="shared" si="9"/>
        <v>57721.65</v>
      </c>
      <c r="X83" s="2" t="str">
        <f t="shared" si="10"/>
        <v>Normal</v>
      </c>
    </row>
    <row r="84" spans="1:24" ht="14.25" customHeight="1" x14ac:dyDescent="0.5">
      <c r="A84" s="2" t="s">
        <v>363</v>
      </c>
      <c r="B84" s="2" t="s">
        <v>329</v>
      </c>
      <c r="C84" s="2" t="str">
        <f t="shared" si="0"/>
        <v>John Smith</v>
      </c>
      <c r="D84" s="2" t="s">
        <v>105</v>
      </c>
      <c r="E84" s="2" t="str">
        <f t="shared" si="1"/>
        <v>sam@company.com</v>
      </c>
      <c r="F84" s="2" t="s">
        <v>15</v>
      </c>
      <c r="G84" s="3">
        <v>44714</v>
      </c>
      <c r="H84" s="3" t="str">
        <f t="shared" si="2"/>
        <v>02-Jun-2022</v>
      </c>
      <c r="I84" s="10" t="s">
        <v>364</v>
      </c>
      <c r="J84" s="10">
        <f t="shared" si="3"/>
        <v>111155</v>
      </c>
      <c r="K84" s="11" t="s">
        <v>17</v>
      </c>
      <c r="L84" s="2" t="s">
        <v>64</v>
      </c>
      <c r="M84" s="2" t="str">
        <f t="shared" si="4"/>
        <v>Terminated</v>
      </c>
      <c r="N84" s="2" t="s">
        <v>19</v>
      </c>
      <c r="O84" s="2" t="str">
        <f t="shared" si="5"/>
        <v>Urgent Review</v>
      </c>
      <c r="P84" s="2" t="s">
        <v>365</v>
      </c>
      <c r="Q84" s="2" t="str">
        <f t="shared" si="6"/>
        <v>WT</v>
      </c>
      <c r="R84" s="2" t="e">
        <f t="array" aca="1" ref="R84" ca="1">_xludf.IFS(Q84="ET", "East", Q84="WT", "West", Q84="ST","South", Q84="NR", "North")</f>
        <v>#NAME?</v>
      </c>
      <c r="S84" s="2" t="s">
        <v>53</v>
      </c>
      <c r="T84" s="2" t="str">
        <f t="shared" si="7"/>
        <v>Delhi</v>
      </c>
      <c r="U84" s="12" t="s">
        <v>39</v>
      </c>
      <c r="V84" s="12">
        <f t="shared" si="8"/>
        <v>0.05</v>
      </c>
      <c r="W84" s="13">
        <f t="shared" si="9"/>
        <v>116712.75</v>
      </c>
      <c r="X84" s="2" t="str">
        <f t="shared" si="10"/>
        <v>High</v>
      </c>
    </row>
    <row r="85" spans="1:24" ht="14.25" customHeight="1" x14ac:dyDescent="0.5">
      <c r="A85" s="2" t="s">
        <v>366</v>
      </c>
      <c r="B85" s="2" t="s">
        <v>367</v>
      </c>
      <c r="C85" s="2" t="str">
        <f t="shared" si="0"/>
        <v>Mike Taylor</v>
      </c>
      <c r="D85" s="2" t="s">
        <v>14</v>
      </c>
      <c r="E85" s="2" t="str">
        <f t="shared" si="1"/>
        <v>john@company.com</v>
      </c>
      <c r="F85" s="2" t="s">
        <v>100</v>
      </c>
      <c r="G85" s="3">
        <v>44044</v>
      </c>
      <c r="H85" s="3" t="str">
        <f t="shared" si="2"/>
        <v>01-Aug-2020</v>
      </c>
      <c r="I85" s="10" t="s">
        <v>368</v>
      </c>
      <c r="J85" s="10">
        <f t="shared" si="3"/>
        <v>99500</v>
      </c>
      <c r="K85" s="11" t="s">
        <v>44</v>
      </c>
      <c r="L85" s="2" t="s">
        <v>112</v>
      </c>
      <c r="M85" s="2" t="str">
        <f t="shared" si="4"/>
        <v>On Leave</v>
      </c>
      <c r="N85" s="2" t="s">
        <v>65</v>
      </c>
      <c r="O85" s="2" t="str">
        <f t="shared" si="5"/>
        <v>Follow Up</v>
      </c>
      <c r="P85" s="2" t="s">
        <v>369</v>
      </c>
      <c r="Q85" s="2" t="str">
        <f t="shared" si="6"/>
        <v>NR</v>
      </c>
      <c r="R85" s="2" t="e">
        <f t="array" aca="1" ref="R85" ca="1">_xludf.IFS(Q85="ET", "East", Q85="WT", "West", Q85="ST","South", Q85="NR", "North")</f>
        <v>#NAME?</v>
      </c>
      <c r="S85" s="2" t="s">
        <v>60</v>
      </c>
      <c r="T85" s="2" t="str">
        <f t="shared" si="7"/>
        <v>Toronto</v>
      </c>
      <c r="U85" s="12" t="s">
        <v>39</v>
      </c>
      <c r="V85" s="12">
        <f t="shared" si="8"/>
        <v>0.05</v>
      </c>
      <c r="W85" s="13">
        <f t="shared" si="9"/>
        <v>104475</v>
      </c>
      <c r="X85" s="2" t="str">
        <f t="shared" si="10"/>
        <v>High</v>
      </c>
    </row>
    <row r="86" spans="1:24" ht="14.25" customHeight="1" x14ac:dyDescent="0.5">
      <c r="A86" s="2" t="s">
        <v>370</v>
      </c>
      <c r="B86" s="2" t="s">
        <v>371</v>
      </c>
      <c r="C86" s="2" t="str">
        <f t="shared" si="0"/>
        <v>Sarah Johnson</v>
      </c>
      <c r="D86" s="2" t="s">
        <v>25</v>
      </c>
      <c r="E86" s="2" t="str">
        <f t="shared" si="1"/>
        <v>chris@company.com</v>
      </c>
      <c r="F86" s="2" t="s">
        <v>50</v>
      </c>
      <c r="G86" s="3">
        <v>44206</v>
      </c>
      <c r="H86" s="3" t="str">
        <f t="shared" si="2"/>
        <v>10-Jan-2021</v>
      </c>
      <c r="I86" s="10" t="s">
        <v>372</v>
      </c>
      <c r="J86" s="10">
        <f t="shared" si="3"/>
        <v>76575</v>
      </c>
      <c r="K86" s="11" t="s">
        <v>83</v>
      </c>
      <c r="L86" s="2" t="s">
        <v>64</v>
      </c>
      <c r="M86" s="2" t="str">
        <f t="shared" si="4"/>
        <v>Terminated</v>
      </c>
      <c r="N86" s="2" t="s">
        <v>28</v>
      </c>
      <c r="O86" s="2" t="str">
        <f t="shared" si="5"/>
        <v>Pending Docs</v>
      </c>
      <c r="P86" s="2" t="s">
        <v>373</v>
      </c>
      <c r="Q86" s="2" t="str">
        <f t="shared" si="6"/>
        <v>WT</v>
      </c>
      <c r="R86" s="2" t="e">
        <f t="array" aca="1" ref="R86" ca="1">_xludf.IFS(Q86="ET", "East", Q86="WT", "West", Q86="ST","South", Q86="NR", "North")</f>
        <v>#NAME?</v>
      </c>
      <c r="S86" s="2" t="s">
        <v>159</v>
      </c>
      <c r="T86" s="2" t="str">
        <f t="shared" si="7"/>
        <v>Berlin</v>
      </c>
      <c r="U86" s="12" t="s">
        <v>85</v>
      </c>
      <c r="V86" s="12">
        <f t="shared" si="8"/>
        <v>0.15</v>
      </c>
      <c r="W86" s="13">
        <f t="shared" si="9"/>
        <v>88061.25</v>
      </c>
      <c r="X86" s="2" t="str">
        <f t="shared" si="10"/>
        <v>Normal</v>
      </c>
    </row>
    <row r="87" spans="1:24" ht="14.25" customHeight="1" x14ac:dyDescent="0.5">
      <c r="A87" s="2" t="s">
        <v>374</v>
      </c>
      <c r="B87" s="2" t="s">
        <v>156</v>
      </c>
      <c r="C87" s="2" t="str">
        <f t="shared" si="0"/>
        <v>Sam Smith</v>
      </c>
      <c r="D87" s="2" t="s">
        <v>105</v>
      </c>
      <c r="E87" s="2" t="str">
        <f t="shared" si="1"/>
        <v>sam@company.com</v>
      </c>
      <c r="F87" s="2" t="s">
        <v>34</v>
      </c>
      <c r="G87" s="3">
        <v>44574</v>
      </c>
      <c r="H87" s="3" t="str">
        <f t="shared" si="2"/>
        <v>13-Jan-2022</v>
      </c>
      <c r="I87" s="10" t="s">
        <v>375</v>
      </c>
      <c r="J87" s="10">
        <f t="shared" si="3"/>
        <v>82261</v>
      </c>
      <c r="K87" s="11" t="s">
        <v>83</v>
      </c>
      <c r="L87" s="2" t="s">
        <v>45</v>
      </c>
      <c r="M87" s="2" t="str">
        <f t="shared" si="4"/>
        <v>Active</v>
      </c>
      <c r="O87" s="2" t="str">
        <f t="shared" si="5"/>
        <v>No Notes</v>
      </c>
      <c r="P87" s="2" t="s">
        <v>376</v>
      </c>
      <c r="Q87" s="2" t="str">
        <f t="shared" si="6"/>
        <v>ST</v>
      </c>
      <c r="R87" s="2" t="e">
        <f t="array" aca="1" ref="R87" ca="1">_xludf.IFS(Q87="ET", "East", Q87="WT", "West", Q87="ST","South", Q87="NR", "North")</f>
        <v>#NAME?</v>
      </c>
      <c r="S87" s="2" t="s">
        <v>159</v>
      </c>
      <c r="T87" s="2" t="str">
        <f t="shared" si="7"/>
        <v>Berlin</v>
      </c>
      <c r="U87" s="12" t="s">
        <v>85</v>
      </c>
      <c r="V87" s="12">
        <f t="shared" si="8"/>
        <v>0.15</v>
      </c>
      <c r="W87" s="13">
        <f t="shared" si="9"/>
        <v>94600.15</v>
      </c>
      <c r="X87" s="2" t="str">
        <f t="shared" si="10"/>
        <v>Normal</v>
      </c>
    </row>
    <row r="88" spans="1:24" ht="14.25" customHeight="1" x14ac:dyDescent="0.5">
      <c r="A88" s="2" t="s">
        <v>377</v>
      </c>
      <c r="B88" s="2" t="s">
        <v>378</v>
      </c>
      <c r="C88" s="2" t="str">
        <f t="shared" si="0"/>
        <v>Emily Smith</v>
      </c>
      <c r="D88" s="2" t="s">
        <v>235</v>
      </c>
      <c r="E88" s="2" t="str">
        <f t="shared" si="1"/>
        <v>jane@company.com</v>
      </c>
      <c r="F88" s="2" t="s">
        <v>69</v>
      </c>
      <c r="G88" s="3">
        <v>44043</v>
      </c>
      <c r="H88" s="3" t="str">
        <f t="shared" si="2"/>
        <v>31-Jul-2020</v>
      </c>
      <c r="I88" s="10" t="s">
        <v>379</v>
      </c>
      <c r="J88" s="10">
        <f t="shared" si="3"/>
        <v>67716</v>
      </c>
      <c r="K88" s="11" t="s">
        <v>36</v>
      </c>
      <c r="L88" s="2" t="s">
        <v>27</v>
      </c>
      <c r="M88" s="2" t="str">
        <f t="shared" si="4"/>
        <v>On Leave</v>
      </c>
      <c r="N88" s="2" t="s">
        <v>28</v>
      </c>
      <c r="O88" s="2" t="str">
        <f t="shared" si="5"/>
        <v>Pending Docs</v>
      </c>
      <c r="P88" s="2" t="s">
        <v>380</v>
      </c>
      <c r="Q88" s="2" t="str">
        <f t="shared" si="6"/>
        <v>ET</v>
      </c>
      <c r="R88" s="2" t="e">
        <f t="array" aca="1" ref="R88" ca="1">_xludf.IFS(Q88="ET", "East", Q88="WT", "West", Q88="ST","South", Q88="NR", "North")</f>
        <v>#NAME?</v>
      </c>
      <c r="S88" s="2" t="s">
        <v>38</v>
      </c>
      <c r="T88" s="2" t="str">
        <f t="shared" si="7"/>
        <v>London</v>
      </c>
      <c r="U88" s="12" t="s">
        <v>22</v>
      </c>
      <c r="V88" s="12">
        <f t="shared" si="8"/>
        <v>0.2</v>
      </c>
      <c r="W88" s="13">
        <f t="shared" si="9"/>
        <v>81259.199999999997</v>
      </c>
      <c r="X88" s="2" t="str">
        <f t="shared" si="10"/>
        <v>Normal</v>
      </c>
    </row>
    <row r="89" spans="1:24" ht="14.25" customHeight="1" x14ac:dyDescent="0.5">
      <c r="A89" s="2" t="s">
        <v>381</v>
      </c>
      <c r="B89" s="2" t="s">
        <v>217</v>
      </c>
      <c r="C89" s="2" t="str">
        <f t="shared" si="0"/>
        <v>Chris Smith</v>
      </c>
      <c r="D89" s="2" t="s">
        <v>14</v>
      </c>
      <c r="E89" s="2" t="str">
        <f t="shared" si="1"/>
        <v>john@company.com</v>
      </c>
      <c r="F89" s="2" t="s">
        <v>100</v>
      </c>
      <c r="G89" s="3">
        <v>43909</v>
      </c>
      <c r="H89" s="3" t="str">
        <f t="shared" si="2"/>
        <v>19-Mar-2020</v>
      </c>
      <c r="I89" s="10" t="s">
        <v>382</v>
      </c>
      <c r="J89" s="10">
        <f t="shared" si="3"/>
        <v>43236</v>
      </c>
      <c r="K89" s="11" t="s">
        <v>83</v>
      </c>
      <c r="L89" s="2" t="s">
        <v>45</v>
      </c>
      <c r="M89" s="2" t="str">
        <f t="shared" si="4"/>
        <v>Active</v>
      </c>
      <c r="N89" s="2" t="s">
        <v>77</v>
      </c>
      <c r="O89" s="2" t="str">
        <f t="shared" si="5"/>
        <v>All Clear</v>
      </c>
      <c r="P89" s="2" t="s">
        <v>383</v>
      </c>
      <c r="Q89" s="2" t="str">
        <f t="shared" si="6"/>
        <v>ST</v>
      </c>
      <c r="R89" s="2" t="e">
        <f t="array" aca="1" ref="R89" ca="1">_xludf.IFS(Q89="ET", "East", Q89="WT", "West", Q89="ST","South", Q89="NR", "North")</f>
        <v>#NAME?</v>
      </c>
      <c r="S89" s="2" t="s">
        <v>79</v>
      </c>
      <c r="T89" s="2" t="str">
        <f t="shared" si="7"/>
        <v>New York</v>
      </c>
      <c r="U89" s="12" t="s">
        <v>39</v>
      </c>
      <c r="V89" s="12">
        <f t="shared" si="8"/>
        <v>0.05</v>
      </c>
      <c r="W89" s="13">
        <f t="shared" si="9"/>
        <v>45397.8</v>
      </c>
      <c r="X89" s="2" t="str">
        <f t="shared" si="10"/>
        <v>Normal</v>
      </c>
    </row>
    <row r="90" spans="1:24" ht="14.25" customHeight="1" x14ac:dyDescent="0.5">
      <c r="A90" s="2" t="s">
        <v>384</v>
      </c>
      <c r="B90" s="2" t="s">
        <v>385</v>
      </c>
      <c r="C90" s="2" t="str">
        <f t="shared" si="0"/>
        <v>John Johnson</v>
      </c>
      <c r="D90" s="2" t="s">
        <v>105</v>
      </c>
      <c r="E90" s="2" t="str">
        <f t="shared" si="1"/>
        <v>sam@company.com</v>
      </c>
      <c r="F90" s="2" t="s">
        <v>75</v>
      </c>
      <c r="G90" s="3">
        <v>44458</v>
      </c>
      <c r="H90" s="3" t="str">
        <f t="shared" si="2"/>
        <v>19-Sep-2021</v>
      </c>
      <c r="I90" s="10" t="s">
        <v>386</v>
      </c>
      <c r="J90" s="10">
        <f t="shared" si="3"/>
        <v>55848</v>
      </c>
      <c r="K90" s="11" t="s">
        <v>44</v>
      </c>
      <c r="L90" s="2" t="s">
        <v>27</v>
      </c>
      <c r="M90" s="2" t="str">
        <f t="shared" si="4"/>
        <v>On Leave</v>
      </c>
      <c r="N90" s="2" t="s">
        <v>107</v>
      </c>
      <c r="O90" s="2" t="str">
        <f t="shared" si="5"/>
        <v>All Clear</v>
      </c>
      <c r="P90" s="2" t="s">
        <v>387</v>
      </c>
      <c r="Q90" s="2" t="str">
        <f t="shared" si="6"/>
        <v>WT</v>
      </c>
      <c r="R90" s="2" t="e">
        <f t="array" aca="1" ref="R90" ca="1">_xludf.IFS(Q90="ET", "East", Q90="WT", "West", Q90="ST","South", Q90="NR", "North")</f>
        <v>#NAME?</v>
      </c>
      <c r="S90" s="2" t="s">
        <v>79</v>
      </c>
      <c r="T90" s="2" t="str">
        <f t="shared" si="7"/>
        <v>New York</v>
      </c>
      <c r="U90" s="12" t="s">
        <v>85</v>
      </c>
      <c r="V90" s="12">
        <f t="shared" si="8"/>
        <v>0.15</v>
      </c>
      <c r="W90" s="13">
        <f t="shared" si="9"/>
        <v>64225.2</v>
      </c>
      <c r="X90" s="2" t="str">
        <f t="shared" si="10"/>
        <v>Normal</v>
      </c>
    </row>
    <row r="91" spans="1:24" ht="14.25" customHeight="1" x14ac:dyDescent="0.5">
      <c r="A91" s="2" t="s">
        <v>388</v>
      </c>
      <c r="B91" s="2" t="s">
        <v>169</v>
      </c>
      <c r="C91" s="2" t="str">
        <f t="shared" si="0"/>
        <v>Jane Miller</v>
      </c>
      <c r="D91" s="2" t="s">
        <v>235</v>
      </c>
      <c r="E91" s="2" t="str">
        <f t="shared" si="1"/>
        <v>jane@company.com</v>
      </c>
      <c r="F91" s="2" t="s">
        <v>69</v>
      </c>
      <c r="G91" s="3">
        <v>44434</v>
      </c>
      <c r="H91" s="3" t="str">
        <f t="shared" si="2"/>
        <v>26-Aug-2021</v>
      </c>
      <c r="I91" s="10" t="s">
        <v>389</v>
      </c>
      <c r="J91" s="10">
        <f t="shared" si="3"/>
        <v>42352</v>
      </c>
      <c r="K91" s="11" t="s">
        <v>57</v>
      </c>
      <c r="L91" s="2" t="s">
        <v>112</v>
      </c>
      <c r="M91" s="2" t="str">
        <f t="shared" si="4"/>
        <v>On Leave</v>
      </c>
      <c r="N91" s="2" t="s">
        <v>28</v>
      </c>
      <c r="O91" s="2" t="str">
        <f t="shared" si="5"/>
        <v>Pending Docs</v>
      </c>
      <c r="P91" s="2" t="s">
        <v>390</v>
      </c>
      <c r="Q91" s="2" t="str">
        <f t="shared" si="6"/>
        <v>ET</v>
      </c>
      <c r="R91" s="2" t="e">
        <f t="array" aca="1" ref="R91" ca="1">_xludf.IFS(Q91="ET", "East", Q91="WT", "West", Q91="ST","South", Q91="NR", "North")</f>
        <v>#NAME?</v>
      </c>
      <c r="S91" s="2" t="s">
        <v>96</v>
      </c>
      <c r="T91" s="2" t="str">
        <f t="shared" si="7"/>
        <v>Cairo</v>
      </c>
      <c r="U91" s="12" t="s">
        <v>85</v>
      </c>
      <c r="V91" s="12">
        <f t="shared" si="8"/>
        <v>0.15</v>
      </c>
      <c r="W91" s="13">
        <f t="shared" si="9"/>
        <v>48704.799999999996</v>
      </c>
      <c r="X91" s="2" t="str">
        <f t="shared" si="10"/>
        <v>Normal</v>
      </c>
    </row>
    <row r="92" spans="1:24" ht="14.25" customHeight="1" x14ac:dyDescent="0.5">
      <c r="A92" s="2" t="s">
        <v>391</v>
      </c>
      <c r="B92" s="2" t="s">
        <v>124</v>
      </c>
      <c r="C92" s="2" t="str">
        <f t="shared" si="0"/>
        <v>Sarah Davis</v>
      </c>
      <c r="D92" s="2" t="s">
        <v>235</v>
      </c>
      <c r="E92" s="2" t="str">
        <f t="shared" si="1"/>
        <v>jane@company.com</v>
      </c>
      <c r="F92" s="2" t="s">
        <v>15</v>
      </c>
      <c r="G92" s="3">
        <v>44612</v>
      </c>
      <c r="H92" s="3" t="str">
        <f t="shared" si="2"/>
        <v>20-Feb-2022</v>
      </c>
      <c r="I92" s="10" t="s">
        <v>392</v>
      </c>
      <c r="J92" s="10">
        <f t="shared" si="3"/>
        <v>41932</v>
      </c>
      <c r="K92" s="11" t="s">
        <v>57</v>
      </c>
      <c r="L92" s="2" t="s">
        <v>18</v>
      </c>
      <c r="M92" s="2" t="str">
        <f t="shared" si="4"/>
        <v>Active</v>
      </c>
      <c r="N92" s="2" t="s">
        <v>107</v>
      </c>
      <c r="O92" s="2" t="str">
        <f t="shared" si="5"/>
        <v>All Clear</v>
      </c>
      <c r="P92" s="2" t="s">
        <v>393</v>
      </c>
      <c r="Q92" s="2" t="str">
        <f t="shared" si="6"/>
        <v>WT</v>
      </c>
      <c r="R92" s="2" t="e">
        <f t="array" aca="1" ref="R92" ca="1">_xludf.IFS(Q92="ET", "East", Q92="WT", "West", Q92="ST","South", Q92="NR", "North")</f>
        <v>#NAME?</v>
      </c>
      <c r="S92" s="2" t="s">
        <v>79</v>
      </c>
      <c r="T92" s="2" t="str">
        <f t="shared" si="7"/>
        <v>New York</v>
      </c>
      <c r="U92" s="12" t="s">
        <v>22</v>
      </c>
      <c r="V92" s="12">
        <f t="shared" si="8"/>
        <v>0.2</v>
      </c>
      <c r="W92" s="13">
        <f t="shared" si="9"/>
        <v>50318.400000000001</v>
      </c>
      <c r="X92" s="2" t="str">
        <f t="shared" si="10"/>
        <v>Normal</v>
      </c>
    </row>
    <row r="93" spans="1:24" ht="14.25" customHeight="1" x14ac:dyDescent="0.5">
      <c r="A93" s="2" t="s">
        <v>394</v>
      </c>
      <c r="B93" s="2" t="s">
        <v>329</v>
      </c>
      <c r="C93" s="2" t="str">
        <f t="shared" si="0"/>
        <v>John Smith</v>
      </c>
      <c r="D93" s="2" t="s">
        <v>99</v>
      </c>
      <c r="E93" s="2" t="str">
        <f t="shared" si="1"/>
        <v>daniel@company.com</v>
      </c>
      <c r="F93" s="2" t="s">
        <v>75</v>
      </c>
      <c r="G93" s="3">
        <v>45235</v>
      </c>
      <c r="H93" s="3" t="str">
        <f t="shared" si="2"/>
        <v>05-Nov-2023</v>
      </c>
      <c r="I93" s="10" t="s">
        <v>395</v>
      </c>
      <c r="J93" s="10">
        <f t="shared" si="3"/>
        <v>116449</v>
      </c>
      <c r="K93" s="11" t="s">
        <v>36</v>
      </c>
      <c r="L93" s="2" t="s">
        <v>64</v>
      </c>
      <c r="M93" s="2" t="str">
        <f t="shared" si="4"/>
        <v>Terminated</v>
      </c>
      <c r="N93" s="2" t="s">
        <v>28</v>
      </c>
      <c r="O93" s="2" t="str">
        <f t="shared" si="5"/>
        <v>Pending Docs</v>
      </c>
      <c r="P93" s="2" t="s">
        <v>396</v>
      </c>
      <c r="Q93" s="2" t="str">
        <f t="shared" si="6"/>
        <v>ET</v>
      </c>
      <c r="R93" s="2" t="e">
        <f t="array" aca="1" ref="R93" ca="1">_xludf.IFS(Q93="ET", "East", Q93="WT", "West", Q93="ST","South", Q93="NR", "North")</f>
        <v>#NAME?</v>
      </c>
      <c r="S93" s="2" t="s">
        <v>159</v>
      </c>
      <c r="T93" s="2" t="str">
        <f t="shared" si="7"/>
        <v>Berlin</v>
      </c>
      <c r="U93" s="12" t="s">
        <v>30</v>
      </c>
      <c r="V93" s="12">
        <f t="shared" si="8"/>
        <v>0.1</v>
      </c>
      <c r="W93" s="13">
        <f t="shared" si="9"/>
        <v>128093.90000000001</v>
      </c>
      <c r="X93" s="2" t="str">
        <f t="shared" si="10"/>
        <v>High</v>
      </c>
    </row>
    <row r="94" spans="1:24" ht="14.25" customHeight="1" x14ac:dyDescent="0.5">
      <c r="A94" s="2" t="s">
        <v>397</v>
      </c>
      <c r="B94" s="2" t="s">
        <v>398</v>
      </c>
      <c r="C94" s="2" t="str">
        <f t="shared" si="0"/>
        <v>Sam Johnson</v>
      </c>
      <c r="D94" s="2" t="s">
        <v>14</v>
      </c>
      <c r="E94" s="2" t="str">
        <f t="shared" si="1"/>
        <v>john@company.com</v>
      </c>
      <c r="F94" s="2" t="s">
        <v>75</v>
      </c>
      <c r="G94" s="3">
        <v>44831</v>
      </c>
      <c r="H94" s="3" t="str">
        <f t="shared" si="2"/>
        <v>27-Sep-2022</v>
      </c>
      <c r="I94" s="10" t="s">
        <v>399</v>
      </c>
      <c r="J94" s="10">
        <f t="shared" si="3"/>
        <v>48556</v>
      </c>
      <c r="K94" s="11" t="s">
        <v>44</v>
      </c>
      <c r="L94" s="2" t="s">
        <v>64</v>
      </c>
      <c r="M94" s="2" t="str">
        <f t="shared" si="4"/>
        <v>Terminated</v>
      </c>
      <c r="N94" s="2" t="s">
        <v>107</v>
      </c>
      <c r="O94" s="2" t="str">
        <f t="shared" si="5"/>
        <v>All Clear</v>
      </c>
      <c r="P94" s="2" t="s">
        <v>400</v>
      </c>
      <c r="Q94" s="2" t="str">
        <f t="shared" si="6"/>
        <v>ET</v>
      </c>
      <c r="R94" s="2" t="e">
        <f t="array" aca="1" ref="R94" ca="1">_xludf.IFS(Q94="ET", "East", Q94="WT", "West", Q94="ST","South", Q94="NR", "North")</f>
        <v>#NAME?</v>
      </c>
      <c r="S94" s="2" t="s">
        <v>21</v>
      </c>
      <c r="T94" s="2" t="str">
        <f t="shared" si="7"/>
        <v>Sao Paulo</v>
      </c>
      <c r="U94" s="12" t="s">
        <v>39</v>
      </c>
      <c r="V94" s="12">
        <f t="shared" si="8"/>
        <v>0.05</v>
      </c>
      <c r="W94" s="13">
        <f t="shared" si="9"/>
        <v>50983.8</v>
      </c>
      <c r="X94" s="2" t="str">
        <f t="shared" si="10"/>
        <v>Normal</v>
      </c>
    </row>
    <row r="95" spans="1:24" ht="14.25" customHeight="1" x14ac:dyDescent="0.5">
      <c r="A95" s="2" t="s">
        <v>401</v>
      </c>
      <c r="B95" s="2" t="s">
        <v>234</v>
      </c>
      <c r="C95" s="2" t="str">
        <f t="shared" si="0"/>
        <v>Emily Lewis</v>
      </c>
      <c r="D95" s="2" t="s">
        <v>235</v>
      </c>
      <c r="E95" s="2" t="str">
        <f t="shared" si="1"/>
        <v>jane@company.com</v>
      </c>
      <c r="F95" s="2" t="s">
        <v>42</v>
      </c>
      <c r="G95" s="3">
        <v>44510</v>
      </c>
      <c r="H95" s="3" t="str">
        <f t="shared" si="2"/>
        <v>10-Nov-2021</v>
      </c>
      <c r="I95" s="10" t="s">
        <v>402</v>
      </c>
      <c r="J95" s="10">
        <f t="shared" si="3"/>
        <v>45498</v>
      </c>
      <c r="K95" s="11" t="s">
        <v>44</v>
      </c>
      <c r="L95" s="2" t="s">
        <v>58</v>
      </c>
      <c r="M95" s="2" t="str">
        <f t="shared" si="4"/>
        <v>Terminated</v>
      </c>
      <c r="N95" s="2" t="s">
        <v>77</v>
      </c>
      <c r="O95" s="2" t="str">
        <f t="shared" si="5"/>
        <v>All Clear</v>
      </c>
      <c r="P95" s="2" t="s">
        <v>403</v>
      </c>
      <c r="Q95" s="2" t="str">
        <f t="shared" si="6"/>
        <v>ET</v>
      </c>
      <c r="R95" s="2" t="e">
        <f t="array" aca="1" ref="R95" ca="1">_xludf.IFS(Q95="ET", "East", Q95="WT", "West", Q95="ST","South", Q95="NR", "North")</f>
        <v>#NAME?</v>
      </c>
      <c r="S95" s="2" t="s">
        <v>60</v>
      </c>
      <c r="T95" s="2" t="str">
        <f t="shared" si="7"/>
        <v>Toronto</v>
      </c>
      <c r="U95" s="12" t="s">
        <v>85</v>
      </c>
      <c r="V95" s="12">
        <f t="shared" si="8"/>
        <v>0.15</v>
      </c>
      <c r="W95" s="13">
        <f t="shared" si="9"/>
        <v>52322.7</v>
      </c>
      <c r="X95" s="2" t="str">
        <f t="shared" si="10"/>
        <v>Normal</v>
      </c>
    </row>
    <row r="96" spans="1:24" ht="14.25" customHeight="1" x14ac:dyDescent="0.5">
      <c r="A96" s="2" t="s">
        <v>404</v>
      </c>
      <c r="B96" s="2" t="s">
        <v>405</v>
      </c>
      <c r="C96" s="2" t="str">
        <f t="shared" si="0"/>
        <v>Daniel Wilson</v>
      </c>
      <c r="D96" s="2" t="s">
        <v>99</v>
      </c>
      <c r="E96" s="2" t="str">
        <f t="shared" si="1"/>
        <v>daniel@company.com</v>
      </c>
      <c r="F96" s="2" t="s">
        <v>50</v>
      </c>
      <c r="G96" s="3">
        <v>43888</v>
      </c>
      <c r="H96" s="3" t="str">
        <f t="shared" si="2"/>
        <v>27-Feb-2020</v>
      </c>
      <c r="I96" s="10" t="s">
        <v>406</v>
      </c>
      <c r="J96" s="10">
        <f t="shared" si="3"/>
        <v>116118</v>
      </c>
      <c r="K96" s="11" t="s">
        <v>83</v>
      </c>
      <c r="L96" s="2" t="s">
        <v>89</v>
      </c>
      <c r="M96" s="2" t="str">
        <f t="shared" si="4"/>
        <v>Active</v>
      </c>
      <c r="O96" s="2" t="str">
        <f t="shared" si="5"/>
        <v>No Notes</v>
      </c>
      <c r="P96" s="2" t="s">
        <v>407</v>
      </c>
      <c r="Q96" s="2" t="str">
        <f t="shared" si="6"/>
        <v>ET</v>
      </c>
      <c r="R96" s="2" t="e">
        <f t="array" aca="1" ref="R96" ca="1">_xludf.IFS(Q96="ET", "East", Q96="WT", "West", Q96="ST","South", Q96="NR", "North")</f>
        <v>#NAME?</v>
      </c>
      <c r="S96" s="2" t="s">
        <v>38</v>
      </c>
      <c r="T96" s="2" t="str">
        <f t="shared" si="7"/>
        <v>London</v>
      </c>
      <c r="U96" s="12" t="s">
        <v>22</v>
      </c>
      <c r="V96" s="12">
        <f t="shared" si="8"/>
        <v>0.2</v>
      </c>
      <c r="W96" s="13">
        <f t="shared" si="9"/>
        <v>139341.6</v>
      </c>
      <c r="X96" s="2" t="str">
        <f t="shared" si="10"/>
        <v>High</v>
      </c>
    </row>
    <row r="97" spans="1:24" ht="14.25" customHeight="1" x14ac:dyDescent="0.5">
      <c r="A97" s="2" t="s">
        <v>408</v>
      </c>
      <c r="B97" s="2" t="s">
        <v>304</v>
      </c>
      <c r="C97" s="2" t="str">
        <f t="shared" si="0"/>
        <v>Alex Wilson</v>
      </c>
      <c r="D97" s="2" t="s">
        <v>105</v>
      </c>
      <c r="E97" s="2" t="str">
        <f t="shared" si="1"/>
        <v>sam@company.com</v>
      </c>
      <c r="F97" s="2" t="s">
        <v>69</v>
      </c>
      <c r="G97" s="3">
        <v>44880</v>
      </c>
      <c r="H97" s="3" t="str">
        <f t="shared" si="2"/>
        <v>15-Nov-2022</v>
      </c>
      <c r="I97" s="10" t="s">
        <v>409</v>
      </c>
      <c r="J97" s="10">
        <f t="shared" si="3"/>
        <v>90098</v>
      </c>
      <c r="K97" s="11" t="s">
        <v>44</v>
      </c>
      <c r="L97" s="2" t="s">
        <v>45</v>
      </c>
      <c r="M97" s="2" t="str">
        <f t="shared" si="4"/>
        <v>Active</v>
      </c>
      <c r="N97" s="2" t="s">
        <v>65</v>
      </c>
      <c r="O97" s="2" t="str">
        <f t="shared" si="5"/>
        <v>Follow Up</v>
      </c>
      <c r="P97" s="2" t="s">
        <v>410</v>
      </c>
      <c r="Q97" s="2" t="str">
        <f t="shared" si="6"/>
        <v>WT</v>
      </c>
      <c r="R97" s="2" t="e">
        <f t="array" aca="1" ref="R97" ca="1">_xludf.IFS(Q97="ET", "East", Q97="WT", "West", Q97="ST","South", Q97="NR", "North")</f>
        <v>#NAME?</v>
      </c>
      <c r="S97" s="2" t="s">
        <v>47</v>
      </c>
      <c r="T97" s="2" t="str">
        <f t="shared" si="7"/>
        <v>Lagos</v>
      </c>
      <c r="U97" s="12" t="s">
        <v>22</v>
      </c>
      <c r="V97" s="12">
        <f t="shared" si="8"/>
        <v>0.2</v>
      </c>
      <c r="W97" s="13">
        <f t="shared" si="9"/>
        <v>108117.59999999999</v>
      </c>
      <c r="X97" s="2" t="str">
        <f t="shared" si="10"/>
        <v>High</v>
      </c>
    </row>
    <row r="98" spans="1:24" ht="14.25" customHeight="1" x14ac:dyDescent="0.5">
      <c r="A98" s="2" t="s">
        <v>411</v>
      </c>
      <c r="B98" s="2" t="s">
        <v>217</v>
      </c>
      <c r="C98" s="2" t="str">
        <f t="shared" si="0"/>
        <v>Chris Smith</v>
      </c>
      <c r="D98" s="2" t="s">
        <v>33</v>
      </c>
      <c r="E98" s="2" t="str">
        <f t="shared" si="1"/>
        <v>alex@company.com</v>
      </c>
      <c r="F98" s="2" t="s">
        <v>75</v>
      </c>
      <c r="G98" s="3">
        <v>44711</v>
      </c>
      <c r="H98" s="3" t="str">
        <f t="shared" si="2"/>
        <v>30-May-2022</v>
      </c>
      <c r="I98" s="10" t="s">
        <v>412</v>
      </c>
      <c r="J98" s="10">
        <f t="shared" si="3"/>
        <v>104386</v>
      </c>
      <c r="K98" s="11" t="s">
        <v>17</v>
      </c>
      <c r="L98" s="2" t="s">
        <v>64</v>
      </c>
      <c r="M98" s="2" t="str">
        <f t="shared" si="4"/>
        <v>Terminated</v>
      </c>
      <c r="N98" s="2" t="s">
        <v>107</v>
      </c>
      <c r="O98" s="2" t="str">
        <f t="shared" si="5"/>
        <v>All Clear</v>
      </c>
      <c r="P98" s="2" t="s">
        <v>413</v>
      </c>
      <c r="Q98" s="2" t="str">
        <f t="shared" si="6"/>
        <v>ET</v>
      </c>
      <c r="R98" s="2" t="e">
        <f t="array" aca="1" ref="R98" ca="1">_xludf.IFS(Q98="ET", "East", Q98="WT", "West", Q98="ST","South", Q98="NR", "North")</f>
        <v>#NAME?</v>
      </c>
      <c r="S98" s="2" t="s">
        <v>60</v>
      </c>
      <c r="T98" s="2" t="str">
        <f t="shared" si="7"/>
        <v>Toronto</v>
      </c>
      <c r="U98" s="12" t="s">
        <v>22</v>
      </c>
      <c r="V98" s="12">
        <f t="shared" si="8"/>
        <v>0.2</v>
      </c>
      <c r="W98" s="13">
        <f t="shared" si="9"/>
        <v>125263.2</v>
      </c>
      <c r="X98" s="2" t="str">
        <f t="shared" si="10"/>
        <v>High</v>
      </c>
    </row>
    <row r="99" spans="1:24" ht="14.25" customHeight="1" x14ac:dyDescent="0.5">
      <c r="A99" s="2" t="s">
        <v>414</v>
      </c>
      <c r="B99" s="2" t="s">
        <v>343</v>
      </c>
      <c r="C99" s="2" t="str">
        <f t="shared" si="0"/>
        <v>Daniel Moore</v>
      </c>
      <c r="D99" s="2" t="s">
        <v>14</v>
      </c>
      <c r="E99" s="2" t="str">
        <f t="shared" si="1"/>
        <v>john@company.com</v>
      </c>
      <c r="F99" s="2" t="s">
        <v>42</v>
      </c>
      <c r="G99" s="3">
        <v>44277</v>
      </c>
      <c r="H99" s="3" t="str">
        <f t="shared" si="2"/>
        <v>22-Mar-2021</v>
      </c>
      <c r="I99" s="10" t="s">
        <v>415</v>
      </c>
      <c r="J99" s="10">
        <f t="shared" si="3"/>
        <v>49569</v>
      </c>
      <c r="K99" s="11" t="s">
        <v>83</v>
      </c>
      <c r="L99" s="2" t="s">
        <v>112</v>
      </c>
      <c r="M99" s="2" t="str">
        <f t="shared" si="4"/>
        <v>On Leave</v>
      </c>
      <c r="N99" s="2" t="s">
        <v>77</v>
      </c>
      <c r="O99" s="2" t="str">
        <f t="shared" si="5"/>
        <v>All Clear</v>
      </c>
      <c r="P99" s="2" t="s">
        <v>416</v>
      </c>
      <c r="Q99" s="2" t="str">
        <f t="shared" si="6"/>
        <v>ET</v>
      </c>
      <c r="R99" s="2" t="e">
        <f t="array" aca="1" ref="R99" ca="1">_xludf.IFS(Q99="ET", "East", Q99="WT", "West", Q99="ST","South", Q99="NR", "North")</f>
        <v>#NAME?</v>
      </c>
      <c r="S99" s="2" t="s">
        <v>53</v>
      </c>
      <c r="T99" s="2" t="str">
        <f t="shared" si="7"/>
        <v>Delhi</v>
      </c>
      <c r="U99" s="12" t="s">
        <v>85</v>
      </c>
      <c r="V99" s="12">
        <f t="shared" si="8"/>
        <v>0.15</v>
      </c>
      <c r="W99" s="13">
        <f t="shared" si="9"/>
        <v>57004.35</v>
      </c>
      <c r="X99" s="2" t="str">
        <f t="shared" si="10"/>
        <v>Normal</v>
      </c>
    </row>
    <row r="100" spans="1:24" ht="14.25" customHeight="1" x14ac:dyDescent="0.5">
      <c r="A100" s="2" t="s">
        <v>417</v>
      </c>
      <c r="B100" s="2" t="s">
        <v>418</v>
      </c>
      <c r="C100" s="2" t="str">
        <f t="shared" si="0"/>
        <v>Emily Taylor</v>
      </c>
      <c r="D100" s="2" t="s">
        <v>25</v>
      </c>
      <c r="E100" s="2" t="str">
        <f t="shared" si="1"/>
        <v>chris@company.com</v>
      </c>
      <c r="F100" s="2" t="s">
        <v>15</v>
      </c>
      <c r="G100" s="3">
        <v>43896</v>
      </c>
      <c r="H100" s="3" t="str">
        <f t="shared" si="2"/>
        <v>06-Mar-2020</v>
      </c>
      <c r="I100" s="10" t="s">
        <v>419</v>
      </c>
      <c r="J100" s="10">
        <f t="shared" si="3"/>
        <v>96882</v>
      </c>
      <c r="K100" s="11" t="s">
        <v>17</v>
      </c>
      <c r="L100" s="2" t="s">
        <v>18</v>
      </c>
      <c r="M100" s="2" t="str">
        <f t="shared" si="4"/>
        <v>Active</v>
      </c>
      <c r="N100" s="2" t="s">
        <v>107</v>
      </c>
      <c r="O100" s="2" t="str">
        <f t="shared" si="5"/>
        <v>All Clear</v>
      </c>
      <c r="P100" s="2" t="s">
        <v>420</v>
      </c>
      <c r="Q100" s="2" t="str">
        <f t="shared" si="6"/>
        <v>ST</v>
      </c>
      <c r="R100" s="2" t="e">
        <f t="array" aca="1" ref="R100" ca="1">_xludf.IFS(Q100="ET", "East", Q100="WT", "West", Q100="ST","South", Q100="NR", "North")</f>
        <v>#NAME?</v>
      </c>
      <c r="S100" s="2" t="s">
        <v>53</v>
      </c>
      <c r="T100" s="2" t="str">
        <f t="shared" si="7"/>
        <v>Delhi</v>
      </c>
      <c r="U100" s="12" t="s">
        <v>39</v>
      </c>
      <c r="V100" s="12">
        <f t="shared" si="8"/>
        <v>0.05</v>
      </c>
      <c r="W100" s="13">
        <f t="shared" si="9"/>
        <v>101726.1</v>
      </c>
      <c r="X100" s="2" t="str">
        <f t="shared" si="10"/>
        <v>High</v>
      </c>
    </row>
    <row r="101" spans="1:24" ht="14.25" customHeight="1" x14ac:dyDescent="0.5">
      <c r="A101" s="2" t="s">
        <v>421</v>
      </c>
      <c r="B101" s="2" t="s">
        <v>169</v>
      </c>
      <c r="C101" s="2" t="str">
        <f t="shared" si="0"/>
        <v>Jane Miller</v>
      </c>
      <c r="D101" s="2" t="s">
        <v>125</v>
      </c>
      <c r="E101" s="2" t="str">
        <f t="shared" si="1"/>
        <v>sarah@company.com</v>
      </c>
      <c r="F101" s="2" t="s">
        <v>100</v>
      </c>
      <c r="G101" s="3">
        <v>45108</v>
      </c>
      <c r="H101" s="3" t="str">
        <f t="shared" si="2"/>
        <v>01-Jul-2023</v>
      </c>
      <c r="I101" s="10" t="s">
        <v>422</v>
      </c>
      <c r="J101" s="10">
        <f t="shared" si="3"/>
        <v>110393</v>
      </c>
      <c r="K101" s="11" t="s">
        <v>36</v>
      </c>
      <c r="L101" s="2" t="s">
        <v>89</v>
      </c>
      <c r="M101" s="2" t="str">
        <f t="shared" si="4"/>
        <v>Active</v>
      </c>
      <c r="O101" s="2" t="str">
        <f t="shared" si="5"/>
        <v>No Notes</v>
      </c>
      <c r="P101" s="2" t="s">
        <v>423</v>
      </c>
      <c r="Q101" s="2" t="str">
        <f t="shared" si="6"/>
        <v>NR</v>
      </c>
      <c r="R101" s="2" t="e">
        <f t="array" aca="1" ref="R101" ca="1">_xludf.IFS(Q101="ET", "East", Q101="WT", "West", Q101="ST","South", Q101="NR", "North")</f>
        <v>#NAME?</v>
      </c>
      <c r="S101" s="2" t="s">
        <v>21</v>
      </c>
      <c r="T101" s="2" t="str">
        <f t="shared" si="7"/>
        <v>Sao Paulo</v>
      </c>
      <c r="U101" s="12" t="s">
        <v>30</v>
      </c>
      <c r="V101" s="12">
        <f t="shared" si="8"/>
        <v>0.1</v>
      </c>
      <c r="W101" s="13">
        <f t="shared" si="9"/>
        <v>121432.3</v>
      </c>
      <c r="X101" s="2" t="str">
        <f t="shared" si="10"/>
        <v>High</v>
      </c>
    </row>
    <row r="102" spans="1:24" ht="14.25" customHeight="1" x14ac:dyDescent="0.5">
      <c r="A102" s="2" t="s">
        <v>424</v>
      </c>
      <c r="B102" s="2" t="s">
        <v>425</v>
      </c>
      <c r="C102" s="2" t="str">
        <f t="shared" si="0"/>
        <v>Daniel Smith</v>
      </c>
      <c r="D102" s="2" t="s">
        <v>125</v>
      </c>
      <c r="E102" s="2" t="str">
        <f t="shared" si="1"/>
        <v>sarah@company.com</v>
      </c>
      <c r="F102" s="2" t="s">
        <v>34</v>
      </c>
      <c r="G102" s="3">
        <v>44898</v>
      </c>
      <c r="H102" s="3" t="str">
        <f t="shared" si="2"/>
        <v>03-Dec-2022</v>
      </c>
      <c r="I102" s="10" t="s">
        <v>426</v>
      </c>
      <c r="J102" s="10">
        <f t="shared" si="3"/>
        <v>40340</v>
      </c>
      <c r="K102" s="11" t="s">
        <v>57</v>
      </c>
      <c r="L102" s="2" t="s">
        <v>112</v>
      </c>
      <c r="M102" s="2" t="str">
        <f t="shared" si="4"/>
        <v>On Leave</v>
      </c>
      <c r="N102" s="2" t="s">
        <v>107</v>
      </c>
      <c r="O102" s="2" t="str">
        <f t="shared" si="5"/>
        <v>All Clear</v>
      </c>
      <c r="P102" s="2" t="s">
        <v>427</v>
      </c>
      <c r="Q102" s="2" t="str">
        <f t="shared" si="6"/>
        <v>NR</v>
      </c>
      <c r="R102" s="2" t="e">
        <f t="array" aca="1" ref="R102" ca="1">_xludf.IFS(Q102="ET", "East", Q102="WT", "West", Q102="ST","South", Q102="NR", "North")</f>
        <v>#NAME?</v>
      </c>
      <c r="S102" s="2" t="s">
        <v>47</v>
      </c>
      <c r="T102" s="2" t="str">
        <f t="shared" si="7"/>
        <v>Lagos</v>
      </c>
      <c r="U102" s="12" t="s">
        <v>39</v>
      </c>
      <c r="V102" s="12">
        <f t="shared" si="8"/>
        <v>0.05</v>
      </c>
      <c r="W102" s="13">
        <f t="shared" si="9"/>
        <v>42357</v>
      </c>
      <c r="X102" s="2" t="str">
        <f t="shared" si="10"/>
        <v>Normal</v>
      </c>
    </row>
    <row r="103" spans="1:24" ht="14.25" customHeight="1" x14ac:dyDescent="0.5">
      <c r="A103" s="2" t="s">
        <v>428</v>
      </c>
      <c r="B103" s="2" t="s">
        <v>429</v>
      </c>
      <c r="C103" s="2" t="str">
        <f t="shared" si="0"/>
        <v>Katie Miller</v>
      </c>
      <c r="D103" s="2" t="s">
        <v>105</v>
      </c>
      <c r="E103" s="2" t="str">
        <f t="shared" si="1"/>
        <v>sam@company.com</v>
      </c>
      <c r="F103" s="2" t="s">
        <v>34</v>
      </c>
      <c r="G103" s="3">
        <v>44951</v>
      </c>
      <c r="H103" s="3" t="str">
        <f t="shared" si="2"/>
        <v>25-Jan-2023</v>
      </c>
      <c r="I103" s="10" t="s">
        <v>430</v>
      </c>
      <c r="J103" s="10">
        <f t="shared" si="3"/>
        <v>83949</v>
      </c>
      <c r="K103" s="11" t="s">
        <v>36</v>
      </c>
      <c r="L103" s="2" t="s">
        <v>45</v>
      </c>
      <c r="M103" s="2" t="str">
        <f t="shared" si="4"/>
        <v>Active</v>
      </c>
      <c r="N103" s="2" t="s">
        <v>77</v>
      </c>
      <c r="O103" s="2" t="str">
        <f t="shared" si="5"/>
        <v>All Clear</v>
      </c>
      <c r="P103" s="2" t="s">
        <v>431</v>
      </c>
      <c r="Q103" s="2" t="str">
        <f t="shared" si="6"/>
        <v>ST</v>
      </c>
      <c r="R103" s="2" t="e">
        <f t="array" aca="1" ref="R103" ca="1">_xludf.IFS(Q103="ET", "East", Q103="WT", "West", Q103="ST","South", Q103="NR", "North")</f>
        <v>#NAME?</v>
      </c>
      <c r="S103" s="2" t="s">
        <v>60</v>
      </c>
      <c r="T103" s="2" t="str">
        <f t="shared" si="7"/>
        <v>Toronto</v>
      </c>
      <c r="U103" s="12" t="s">
        <v>22</v>
      </c>
      <c r="V103" s="12">
        <f t="shared" si="8"/>
        <v>0.2</v>
      </c>
      <c r="W103" s="13">
        <f t="shared" si="9"/>
        <v>100738.8</v>
      </c>
      <c r="X103" s="2" t="str">
        <f t="shared" si="10"/>
        <v>High</v>
      </c>
    </row>
    <row r="104" spans="1:24" ht="14.25" customHeight="1" x14ac:dyDescent="0.5">
      <c r="A104" s="2" t="s">
        <v>432</v>
      </c>
      <c r="B104" s="2" t="s">
        <v>433</v>
      </c>
      <c r="C104" s="2" t="str">
        <f t="shared" si="0"/>
        <v>Sam Taylor</v>
      </c>
      <c r="D104" s="2" t="s">
        <v>74</v>
      </c>
      <c r="E104" s="2" t="str">
        <f t="shared" si="1"/>
        <v>mike@company.com</v>
      </c>
      <c r="F104" s="2" t="s">
        <v>69</v>
      </c>
      <c r="G104" s="3">
        <v>44842</v>
      </c>
      <c r="H104" s="3" t="str">
        <f t="shared" si="2"/>
        <v>08-Oct-2022</v>
      </c>
      <c r="I104" s="10" t="s">
        <v>434</v>
      </c>
      <c r="J104" s="10">
        <f t="shared" si="3"/>
        <v>102443</v>
      </c>
      <c r="K104" s="11" t="s">
        <v>57</v>
      </c>
      <c r="L104" s="2" t="s">
        <v>58</v>
      </c>
      <c r="M104" s="2" t="str">
        <f t="shared" si="4"/>
        <v>Terminated</v>
      </c>
      <c r="N104" s="2" t="s">
        <v>77</v>
      </c>
      <c r="O104" s="2" t="str">
        <f t="shared" si="5"/>
        <v>All Clear</v>
      </c>
      <c r="P104" s="2" t="s">
        <v>435</v>
      </c>
      <c r="Q104" s="2" t="str">
        <f t="shared" si="6"/>
        <v>ST</v>
      </c>
      <c r="R104" s="2" t="e">
        <f t="array" aca="1" ref="R104" ca="1">_xludf.IFS(Q104="ET", "East", Q104="WT", "West", Q104="ST","South", Q104="NR", "North")</f>
        <v>#NAME?</v>
      </c>
      <c r="S104" s="2" t="s">
        <v>79</v>
      </c>
      <c r="T104" s="2" t="str">
        <f t="shared" si="7"/>
        <v>New York</v>
      </c>
      <c r="U104" s="12" t="s">
        <v>22</v>
      </c>
      <c r="V104" s="12">
        <f t="shared" si="8"/>
        <v>0.2</v>
      </c>
      <c r="W104" s="13">
        <f t="shared" si="9"/>
        <v>122931.59999999999</v>
      </c>
      <c r="X104" s="2" t="str">
        <f t="shared" si="10"/>
        <v>High</v>
      </c>
    </row>
    <row r="105" spans="1:24" ht="14.25" customHeight="1" x14ac:dyDescent="0.5">
      <c r="A105" s="2" t="s">
        <v>436</v>
      </c>
      <c r="B105" s="2" t="s">
        <v>437</v>
      </c>
      <c r="C105" s="2" t="str">
        <f t="shared" si="0"/>
        <v>Alex Brown</v>
      </c>
      <c r="D105" s="2" t="s">
        <v>74</v>
      </c>
      <c r="E105" s="2" t="str">
        <f t="shared" si="1"/>
        <v>mike@company.com</v>
      </c>
      <c r="F105" s="2" t="s">
        <v>75</v>
      </c>
      <c r="G105" s="3">
        <v>44057</v>
      </c>
      <c r="H105" s="3" t="str">
        <f t="shared" si="2"/>
        <v>14-Aug-2020</v>
      </c>
      <c r="I105" s="10" t="s">
        <v>438</v>
      </c>
      <c r="J105" s="10">
        <f t="shared" si="3"/>
        <v>114027</v>
      </c>
      <c r="K105" s="11" t="s">
        <v>36</v>
      </c>
      <c r="L105" s="2" t="s">
        <v>64</v>
      </c>
      <c r="M105" s="2" t="str">
        <f t="shared" si="4"/>
        <v>Terminated</v>
      </c>
      <c r="N105" s="2" t="s">
        <v>19</v>
      </c>
      <c r="O105" s="2" t="str">
        <f t="shared" si="5"/>
        <v>Urgent Review</v>
      </c>
      <c r="P105" s="2" t="s">
        <v>439</v>
      </c>
      <c r="Q105" s="2" t="str">
        <f t="shared" si="6"/>
        <v>WT</v>
      </c>
      <c r="R105" s="2" t="e">
        <f t="array" aca="1" ref="R105" ca="1">_xludf.IFS(Q105="ET", "East", Q105="WT", "West", Q105="ST","South", Q105="NR", "North")</f>
        <v>#NAME?</v>
      </c>
      <c r="S105" s="2" t="s">
        <v>159</v>
      </c>
      <c r="T105" s="2" t="str">
        <f t="shared" si="7"/>
        <v>Berlin</v>
      </c>
      <c r="U105" s="12" t="s">
        <v>30</v>
      </c>
      <c r="V105" s="12">
        <f t="shared" si="8"/>
        <v>0.1</v>
      </c>
      <c r="W105" s="13">
        <f t="shared" si="9"/>
        <v>125429.70000000001</v>
      </c>
      <c r="X105" s="2" t="str">
        <f t="shared" si="10"/>
        <v>High</v>
      </c>
    </row>
    <row r="106" spans="1:24" ht="14.25" customHeight="1" x14ac:dyDescent="0.5">
      <c r="A106" s="2" t="s">
        <v>440</v>
      </c>
      <c r="B106" s="2" t="s">
        <v>104</v>
      </c>
      <c r="C106" s="2" t="str">
        <f t="shared" si="0"/>
        <v>Mike Brown</v>
      </c>
      <c r="D106" s="2" t="s">
        <v>105</v>
      </c>
      <c r="E106" s="2" t="str">
        <f t="shared" si="1"/>
        <v>sam@company.com</v>
      </c>
      <c r="F106" s="2" t="s">
        <v>34</v>
      </c>
      <c r="G106" s="3">
        <v>44604</v>
      </c>
      <c r="H106" s="3" t="str">
        <f t="shared" si="2"/>
        <v>12-Feb-2022</v>
      </c>
      <c r="I106" s="10" t="s">
        <v>441</v>
      </c>
      <c r="J106" s="10">
        <f t="shared" si="3"/>
        <v>40138</v>
      </c>
      <c r="K106" s="11" t="s">
        <v>44</v>
      </c>
      <c r="L106" s="2" t="s">
        <v>112</v>
      </c>
      <c r="M106" s="2" t="str">
        <f t="shared" si="4"/>
        <v>On Leave</v>
      </c>
      <c r="O106" s="2" t="str">
        <f t="shared" si="5"/>
        <v>No Notes</v>
      </c>
      <c r="P106" s="2" t="s">
        <v>442</v>
      </c>
      <c r="Q106" s="2" t="str">
        <f t="shared" si="6"/>
        <v>WT</v>
      </c>
      <c r="R106" s="2" t="e">
        <f t="array" aca="1" ref="R106" ca="1">_xludf.IFS(Q106="ET", "East", Q106="WT", "West", Q106="ST","South", Q106="NR", "North")</f>
        <v>#NAME?</v>
      </c>
      <c r="S106" s="2" t="s">
        <v>21</v>
      </c>
      <c r="T106" s="2" t="str">
        <f t="shared" si="7"/>
        <v>Sao Paulo</v>
      </c>
      <c r="U106" s="12" t="s">
        <v>39</v>
      </c>
      <c r="V106" s="12">
        <f t="shared" si="8"/>
        <v>0.05</v>
      </c>
      <c r="W106" s="13">
        <f t="shared" si="9"/>
        <v>42144.9</v>
      </c>
      <c r="X106" s="2" t="str">
        <f t="shared" si="10"/>
        <v>Normal</v>
      </c>
    </row>
    <row r="107" spans="1:24" ht="14.25" customHeight="1" x14ac:dyDescent="0.5">
      <c r="A107" s="2" t="s">
        <v>443</v>
      </c>
      <c r="B107" s="2" t="s">
        <v>433</v>
      </c>
      <c r="C107" s="2" t="str">
        <f t="shared" si="0"/>
        <v>Sam Taylor</v>
      </c>
      <c r="D107" s="2" t="s">
        <v>235</v>
      </c>
      <c r="E107" s="2" t="str">
        <f t="shared" si="1"/>
        <v>jane@company.com</v>
      </c>
      <c r="F107" s="2" t="s">
        <v>50</v>
      </c>
      <c r="G107" s="3">
        <v>44509</v>
      </c>
      <c r="H107" s="3" t="str">
        <f t="shared" si="2"/>
        <v>09-Nov-2021</v>
      </c>
      <c r="I107" s="10" t="s">
        <v>444</v>
      </c>
      <c r="J107" s="10">
        <f t="shared" si="3"/>
        <v>40358</v>
      </c>
      <c r="K107" s="11" t="s">
        <v>17</v>
      </c>
      <c r="L107" s="2" t="s">
        <v>89</v>
      </c>
      <c r="M107" s="2" t="str">
        <f t="shared" si="4"/>
        <v>Active</v>
      </c>
      <c r="N107" s="2" t="s">
        <v>19</v>
      </c>
      <c r="O107" s="2" t="str">
        <f t="shared" si="5"/>
        <v>Urgent Review</v>
      </c>
      <c r="P107" s="2" t="s">
        <v>445</v>
      </c>
      <c r="Q107" s="2" t="str">
        <f t="shared" si="6"/>
        <v>WT</v>
      </c>
      <c r="R107" s="2" t="e">
        <f t="array" aca="1" ref="R107" ca="1">_xludf.IFS(Q107="ET", "East", Q107="WT", "West", Q107="ST","South", Q107="NR", "North")</f>
        <v>#NAME?</v>
      </c>
      <c r="S107" s="2" t="s">
        <v>47</v>
      </c>
      <c r="T107" s="2" t="str">
        <f t="shared" si="7"/>
        <v>Lagos</v>
      </c>
      <c r="U107" s="12" t="s">
        <v>22</v>
      </c>
      <c r="V107" s="12">
        <f t="shared" si="8"/>
        <v>0.2</v>
      </c>
      <c r="W107" s="13">
        <f t="shared" si="9"/>
        <v>48429.599999999999</v>
      </c>
      <c r="X107" s="2" t="str">
        <f t="shared" si="10"/>
        <v>Normal</v>
      </c>
    </row>
    <row r="108" spans="1:24" ht="14.25" customHeight="1" x14ac:dyDescent="0.5">
      <c r="A108" s="2" t="s">
        <v>446</v>
      </c>
      <c r="B108" s="2" t="s">
        <v>13</v>
      </c>
      <c r="C108" s="2" t="str">
        <f t="shared" si="0"/>
        <v>Sarah Taylor</v>
      </c>
      <c r="D108" s="2" t="s">
        <v>14</v>
      </c>
      <c r="E108" s="2" t="str">
        <f t="shared" si="1"/>
        <v>john@company.com</v>
      </c>
      <c r="F108" s="2" t="s">
        <v>34</v>
      </c>
      <c r="G108" s="3">
        <v>45290</v>
      </c>
      <c r="H108" s="3" t="str">
        <f t="shared" si="2"/>
        <v>30-Dec-2023</v>
      </c>
      <c r="I108" s="10" t="s">
        <v>447</v>
      </c>
      <c r="J108" s="10">
        <f t="shared" si="3"/>
        <v>115250</v>
      </c>
      <c r="K108" s="11" t="s">
        <v>57</v>
      </c>
      <c r="L108" s="2" t="s">
        <v>27</v>
      </c>
      <c r="M108" s="2" t="str">
        <f t="shared" si="4"/>
        <v>On Leave</v>
      </c>
      <c r="O108" s="2" t="str">
        <f t="shared" si="5"/>
        <v>No Notes</v>
      </c>
      <c r="P108" s="2" t="s">
        <v>448</v>
      </c>
      <c r="Q108" s="2" t="str">
        <f t="shared" si="6"/>
        <v>ST</v>
      </c>
      <c r="R108" s="2" t="e">
        <f t="array" aca="1" ref="R108" ca="1">_xludf.IFS(Q108="ET", "East", Q108="WT", "West", Q108="ST","South", Q108="NR", "North")</f>
        <v>#NAME?</v>
      </c>
      <c r="S108" s="2" t="s">
        <v>21</v>
      </c>
      <c r="T108" s="2" t="str">
        <f t="shared" si="7"/>
        <v>Sao Paulo</v>
      </c>
      <c r="U108" s="12" t="s">
        <v>22</v>
      </c>
      <c r="V108" s="12">
        <f t="shared" si="8"/>
        <v>0.2</v>
      </c>
      <c r="W108" s="13">
        <f t="shared" si="9"/>
        <v>138300</v>
      </c>
      <c r="X108" s="2" t="str">
        <f t="shared" si="10"/>
        <v>High</v>
      </c>
    </row>
    <row r="109" spans="1:24" ht="14.25" customHeight="1" x14ac:dyDescent="0.5">
      <c r="A109" s="2" t="s">
        <v>449</v>
      </c>
      <c r="B109" s="2" t="s">
        <v>98</v>
      </c>
      <c r="C109" s="2" t="str">
        <f t="shared" si="0"/>
        <v>Katie Smith</v>
      </c>
      <c r="D109" s="2" t="s">
        <v>125</v>
      </c>
      <c r="E109" s="2" t="str">
        <f t="shared" si="1"/>
        <v>sarah@company.com</v>
      </c>
      <c r="F109" s="2" t="s">
        <v>34</v>
      </c>
      <c r="G109" s="3">
        <v>44431</v>
      </c>
      <c r="H109" s="3" t="str">
        <f t="shared" si="2"/>
        <v>23-Aug-2021</v>
      </c>
      <c r="I109" s="10" t="s">
        <v>450</v>
      </c>
      <c r="J109" s="10">
        <f t="shared" si="3"/>
        <v>70654</v>
      </c>
      <c r="K109" s="11" t="s">
        <v>83</v>
      </c>
      <c r="L109" s="2" t="s">
        <v>18</v>
      </c>
      <c r="M109" s="2" t="str">
        <f t="shared" si="4"/>
        <v>Active</v>
      </c>
      <c r="N109" s="2" t="s">
        <v>107</v>
      </c>
      <c r="O109" s="2" t="str">
        <f t="shared" si="5"/>
        <v>All Clear</v>
      </c>
      <c r="P109" s="2" t="s">
        <v>451</v>
      </c>
      <c r="Q109" s="2" t="str">
        <f t="shared" si="6"/>
        <v>ST</v>
      </c>
      <c r="R109" s="2" t="e">
        <f t="array" aca="1" ref="R109" ca="1">_xludf.IFS(Q109="ET", "East", Q109="WT", "West", Q109="ST","South", Q109="NR", "North")</f>
        <v>#NAME?</v>
      </c>
      <c r="S109" s="2" t="s">
        <v>60</v>
      </c>
      <c r="T109" s="2" t="str">
        <f t="shared" si="7"/>
        <v>Toronto</v>
      </c>
      <c r="U109" s="12" t="s">
        <v>39</v>
      </c>
      <c r="V109" s="12">
        <f t="shared" si="8"/>
        <v>0.05</v>
      </c>
      <c r="W109" s="13">
        <f t="shared" si="9"/>
        <v>74186.7</v>
      </c>
      <c r="X109" s="2" t="str">
        <f t="shared" si="10"/>
        <v>Normal</v>
      </c>
    </row>
    <row r="110" spans="1:24" ht="14.25" customHeight="1" x14ac:dyDescent="0.5">
      <c r="A110" s="2" t="s">
        <v>452</v>
      </c>
      <c r="B110" s="2" t="s">
        <v>453</v>
      </c>
      <c r="C110" s="2" t="str">
        <f t="shared" si="0"/>
        <v>Chris Wilson</v>
      </c>
      <c r="D110" s="2" t="s">
        <v>125</v>
      </c>
      <c r="E110" s="2" t="str">
        <f t="shared" si="1"/>
        <v>sarah@company.com</v>
      </c>
      <c r="F110" s="2" t="s">
        <v>34</v>
      </c>
      <c r="G110" s="3">
        <v>44209</v>
      </c>
      <c r="H110" s="3" t="str">
        <f t="shared" si="2"/>
        <v>13-Jan-2021</v>
      </c>
      <c r="I110" s="10" t="s">
        <v>454</v>
      </c>
      <c r="J110" s="10">
        <f t="shared" si="3"/>
        <v>65879</v>
      </c>
      <c r="K110" s="11" t="s">
        <v>17</v>
      </c>
      <c r="L110" s="2" t="s">
        <v>89</v>
      </c>
      <c r="M110" s="2" t="str">
        <f t="shared" si="4"/>
        <v>Active</v>
      </c>
      <c r="N110" s="2" t="s">
        <v>77</v>
      </c>
      <c r="O110" s="2" t="str">
        <f t="shared" si="5"/>
        <v>All Clear</v>
      </c>
      <c r="P110" s="2" t="s">
        <v>455</v>
      </c>
      <c r="Q110" s="2" t="str">
        <f t="shared" si="6"/>
        <v>ET</v>
      </c>
      <c r="R110" s="2" t="e">
        <f t="array" aca="1" ref="R110" ca="1">_xludf.IFS(Q110="ET", "East", Q110="WT", "West", Q110="ST","South", Q110="NR", "North")</f>
        <v>#NAME?</v>
      </c>
      <c r="S110" s="2" t="s">
        <v>159</v>
      </c>
      <c r="T110" s="2" t="str">
        <f t="shared" si="7"/>
        <v>Berlin</v>
      </c>
      <c r="U110" s="12" t="s">
        <v>22</v>
      </c>
      <c r="V110" s="12">
        <f t="shared" si="8"/>
        <v>0.2</v>
      </c>
      <c r="W110" s="13">
        <f t="shared" si="9"/>
        <v>79054.8</v>
      </c>
      <c r="X110" s="2" t="str">
        <f t="shared" si="10"/>
        <v>Normal</v>
      </c>
    </row>
    <row r="111" spans="1:24" ht="14.25" customHeight="1" x14ac:dyDescent="0.5">
      <c r="A111" s="2" t="s">
        <v>456</v>
      </c>
      <c r="B111" s="2" t="s">
        <v>73</v>
      </c>
      <c r="C111" s="2" t="str">
        <f t="shared" si="0"/>
        <v>Jane Moore</v>
      </c>
      <c r="D111" s="2" t="s">
        <v>235</v>
      </c>
      <c r="E111" s="2" t="str">
        <f t="shared" si="1"/>
        <v>jane@company.com</v>
      </c>
      <c r="F111" s="2" t="s">
        <v>42</v>
      </c>
      <c r="G111" s="3">
        <v>45032</v>
      </c>
      <c r="H111" s="3" t="str">
        <f t="shared" si="2"/>
        <v>16-Apr-2023</v>
      </c>
      <c r="I111" s="10" t="s">
        <v>457</v>
      </c>
      <c r="J111" s="10">
        <f t="shared" si="3"/>
        <v>95778</v>
      </c>
      <c r="K111" s="11" t="s">
        <v>83</v>
      </c>
      <c r="L111" s="2" t="s">
        <v>112</v>
      </c>
      <c r="M111" s="2" t="str">
        <f t="shared" si="4"/>
        <v>On Leave</v>
      </c>
      <c r="N111" s="2" t="s">
        <v>19</v>
      </c>
      <c r="O111" s="2" t="str">
        <f t="shared" si="5"/>
        <v>Urgent Review</v>
      </c>
      <c r="P111" s="2" t="s">
        <v>458</v>
      </c>
      <c r="Q111" s="2" t="str">
        <f t="shared" si="6"/>
        <v>WT</v>
      </c>
      <c r="R111" s="2" t="e">
        <f t="array" aca="1" ref="R111" ca="1">_xludf.IFS(Q111="ET", "East", Q111="WT", "West", Q111="ST","South", Q111="NR", "North")</f>
        <v>#NAME?</v>
      </c>
      <c r="S111" s="2" t="s">
        <v>21</v>
      </c>
      <c r="T111" s="2" t="str">
        <f t="shared" si="7"/>
        <v>Sao Paulo</v>
      </c>
      <c r="U111" s="12" t="s">
        <v>39</v>
      </c>
      <c r="V111" s="12">
        <f t="shared" si="8"/>
        <v>0.05</v>
      </c>
      <c r="W111" s="13">
        <f t="shared" si="9"/>
        <v>100566.90000000001</v>
      </c>
      <c r="X111" s="2" t="str">
        <f t="shared" si="10"/>
        <v>High</v>
      </c>
    </row>
    <row r="112" spans="1:24" ht="14.25" customHeight="1" x14ac:dyDescent="0.5">
      <c r="A112" s="2" t="s">
        <v>459</v>
      </c>
      <c r="B112" s="2" t="s">
        <v>210</v>
      </c>
      <c r="C112" s="2" t="str">
        <f t="shared" si="0"/>
        <v>John Clark</v>
      </c>
      <c r="D112" s="2" t="s">
        <v>125</v>
      </c>
      <c r="E112" s="2" t="str">
        <f t="shared" si="1"/>
        <v>sarah@company.com</v>
      </c>
      <c r="F112" s="2" t="s">
        <v>75</v>
      </c>
      <c r="G112" s="3">
        <v>45281</v>
      </c>
      <c r="H112" s="3" t="str">
        <f t="shared" si="2"/>
        <v>21-Dec-2023</v>
      </c>
      <c r="I112" s="10" t="s">
        <v>460</v>
      </c>
      <c r="J112" s="10">
        <f t="shared" si="3"/>
        <v>77772</v>
      </c>
      <c r="K112" s="11" t="s">
        <v>17</v>
      </c>
      <c r="L112" s="2" t="s">
        <v>18</v>
      </c>
      <c r="M112" s="2" t="str">
        <f t="shared" si="4"/>
        <v>Active</v>
      </c>
      <c r="N112" s="2" t="s">
        <v>107</v>
      </c>
      <c r="O112" s="2" t="str">
        <f t="shared" si="5"/>
        <v>All Clear</v>
      </c>
      <c r="P112" s="2" t="s">
        <v>461</v>
      </c>
      <c r="Q112" s="2" t="str">
        <f t="shared" si="6"/>
        <v>WT</v>
      </c>
      <c r="R112" s="2" t="e">
        <f t="array" aca="1" ref="R112" ca="1">_xludf.IFS(Q112="ET", "East", Q112="WT", "West", Q112="ST","South", Q112="NR", "North")</f>
        <v>#NAME?</v>
      </c>
      <c r="S112" s="2" t="s">
        <v>47</v>
      </c>
      <c r="T112" s="2" t="str">
        <f t="shared" si="7"/>
        <v>Lagos</v>
      </c>
      <c r="U112" s="12" t="s">
        <v>22</v>
      </c>
      <c r="V112" s="12">
        <f t="shared" si="8"/>
        <v>0.2</v>
      </c>
      <c r="W112" s="13">
        <f t="shared" si="9"/>
        <v>93326.399999999994</v>
      </c>
      <c r="X112" s="2" t="str">
        <f t="shared" si="10"/>
        <v>Normal</v>
      </c>
    </row>
    <row r="113" spans="1:24" ht="14.25" customHeight="1" x14ac:dyDescent="0.5">
      <c r="A113" s="2" t="s">
        <v>462</v>
      </c>
      <c r="B113" s="2" t="s">
        <v>137</v>
      </c>
      <c r="C113" s="2" t="str">
        <f t="shared" si="0"/>
        <v>Katie Johnson</v>
      </c>
      <c r="D113" s="2" t="s">
        <v>25</v>
      </c>
      <c r="E113" s="2" t="str">
        <f t="shared" si="1"/>
        <v>chris@company.com</v>
      </c>
      <c r="F113" s="2" t="s">
        <v>50</v>
      </c>
      <c r="G113" s="3">
        <v>44539</v>
      </c>
      <c r="H113" s="3" t="str">
        <f t="shared" si="2"/>
        <v>09-Dec-2021</v>
      </c>
      <c r="I113" s="10" t="s">
        <v>463</v>
      </c>
      <c r="J113" s="10">
        <f t="shared" si="3"/>
        <v>98478</v>
      </c>
      <c r="K113" s="11" t="s">
        <v>17</v>
      </c>
      <c r="L113" s="2" t="s">
        <v>64</v>
      </c>
      <c r="M113" s="2" t="str">
        <f t="shared" si="4"/>
        <v>Terminated</v>
      </c>
      <c r="N113" s="2" t="s">
        <v>77</v>
      </c>
      <c r="O113" s="2" t="str">
        <f t="shared" si="5"/>
        <v>All Clear</v>
      </c>
      <c r="P113" s="2" t="s">
        <v>464</v>
      </c>
      <c r="Q113" s="2" t="str">
        <f t="shared" si="6"/>
        <v>WT</v>
      </c>
      <c r="R113" s="2" t="e">
        <f t="array" aca="1" ref="R113" ca="1">_xludf.IFS(Q113="ET", "East", Q113="WT", "West", Q113="ST","South", Q113="NR", "North")</f>
        <v>#NAME?</v>
      </c>
      <c r="S113" s="2" t="s">
        <v>38</v>
      </c>
      <c r="T113" s="2" t="str">
        <f t="shared" si="7"/>
        <v>London</v>
      </c>
      <c r="U113" s="12" t="s">
        <v>39</v>
      </c>
      <c r="V113" s="12">
        <f t="shared" si="8"/>
        <v>0.05</v>
      </c>
      <c r="W113" s="13">
        <f t="shared" si="9"/>
        <v>103401.90000000001</v>
      </c>
      <c r="X113" s="2" t="str">
        <f t="shared" si="10"/>
        <v>High</v>
      </c>
    </row>
    <row r="114" spans="1:24" ht="14.25" customHeight="1" x14ac:dyDescent="0.5">
      <c r="A114" s="2" t="s">
        <v>465</v>
      </c>
      <c r="B114" s="2" t="s">
        <v>32</v>
      </c>
      <c r="C114" s="2" t="str">
        <f t="shared" si="0"/>
        <v>Sarah Lewis</v>
      </c>
      <c r="D114" s="2" t="s">
        <v>14</v>
      </c>
      <c r="E114" s="2" t="str">
        <f t="shared" si="1"/>
        <v>john@company.com</v>
      </c>
      <c r="F114" s="2" t="s">
        <v>75</v>
      </c>
      <c r="G114" s="3">
        <v>44137</v>
      </c>
      <c r="H114" s="3" t="str">
        <f t="shared" si="2"/>
        <v>02-Nov-2020</v>
      </c>
      <c r="I114" s="10" t="s">
        <v>466</v>
      </c>
      <c r="J114" s="10">
        <f t="shared" si="3"/>
        <v>104353</v>
      </c>
      <c r="K114" s="11" t="s">
        <v>36</v>
      </c>
      <c r="L114" s="2" t="s">
        <v>27</v>
      </c>
      <c r="M114" s="2" t="str">
        <f t="shared" si="4"/>
        <v>On Leave</v>
      </c>
      <c r="O114" s="2" t="str">
        <f t="shared" si="5"/>
        <v>No Notes</v>
      </c>
      <c r="P114" s="2" t="s">
        <v>467</v>
      </c>
      <c r="Q114" s="2" t="str">
        <f t="shared" si="6"/>
        <v>NR</v>
      </c>
      <c r="R114" s="2" t="e">
        <f t="array" aca="1" ref="R114" ca="1">_xludf.IFS(Q114="ET", "East", Q114="WT", "West", Q114="ST","South", Q114="NR", "North")</f>
        <v>#NAME?</v>
      </c>
      <c r="S114" s="2" t="s">
        <v>60</v>
      </c>
      <c r="T114" s="2" t="str">
        <f t="shared" si="7"/>
        <v>Toronto</v>
      </c>
      <c r="U114" s="12" t="s">
        <v>30</v>
      </c>
      <c r="V114" s="12">
        <f t="shared" si="8"/>
        <v>0.1</v>
      </c>
      <c r="W114" s="13">
        <f t="shared" si="9"/>
        <v>114788.3</v>
      </c>
      <c r="X114" s="2" t="str">
        <f t="shared" si="10"/>
        <v>High</v>
      </c>
    </row>
    <row r="115" spans="1:24" ht="14.25" customHeight="1" x14ac:dyDescent="0.5">
      <c r="A115" s="2" t="s">
        <v>468</v>
      </c>
      <c r="B115" s="2" t="s">
        <v>41</v>
      </c>
      <c r="C115" s="2" t="str">
        <f t="shared" si="0"/>
        <v>Sam Wilson</v>
      </c>
      <c r="D115" s="2" t="s">
        <v>93</v>
      </c>
      <c r="E115" s="2" t="str">
        <f t="shared" si="1"/>
        <v>k@ie@company.com</v>
      </c>
      <c r="F115" s="2" t="s">
        <v>69</v>
      </c>
      <c r="G115" s="3">
        <v>44609</v>
      </c>
      <c r="H115" s="3" t="str">
        <f t="shared" si="2"/>
        <v>17-Feb-2022</v>
      </c>
      <c r="I115" s="10" t="s">
        <v>469</v>
      </c>
      <c r="J115" s="10">
        <f t="shared" si="3"/>
        <v>66762</v>
      </c>
      <c r="K115" s="11" t="s">
        <v>57</v>
      </c>
      <c r="L115" s="2" t="s">
        <v>58</v>
      </c>
      <c r="M115" s="2" t="str">
        <f t="shared" si="4"/>
        <v>Terminated</v>
      </c>
      <c r="N115" s="2" t="s">
        <v>77</v>
      </c>
      <c r="O115" s="2" t="str">
        <f t="shared" si="5"/>
        <v>All Clear</v>
      </c>
      <c r="P115" s="2" t="s">
        <v>470</v>
      </c>
      <c r="Q115" s="2" t="str">
        <f t="shared" si="6"/>
        <v>ET</v>
      </c>
      <c r="R115" s="2" t="e">
        <f t="array" aca="1" ref="R115" ca="1">_xludf.IFS(Q115="ET", "East", Q115="WT", "West", Q115="ST","South", Q115="NR", "North")</f>
        <v>#NAME?</v>
      </c>
      <c r="S115" s="2" t="s">
        <v>38</v>
      </c>
      <c r="T115" s="2" t="str">
        <f t="shared" si="7"/>
        <v>London</v>
      </c>
      <c r="U115" s="12" t="s">
        <v>22</v>
      </c>
      <c r="V115" s="12">
        <f t="shared" si="8"/>
        <v>0.2</v>
      </c>
      <c r="W115" s="13">
        <f t="shared" si="9"/>
        <v>80114.399999999994</v>
      </c>
      <c r="X115" s="2" t="str">
        <f t="shared" si="10"/>
        <v>Normal</v>
      </c>
    </row>
    <row r="116" spans="1:24" ht="14.25" customHeight="1" x14ac:dyDescent="0.5">
      <c r="A116" s="2" t="s">
        <v>471</v>
      </c>
      <c r="B116" s="2" t="s">
        <v>141</v>
      </c>
      <c r="C116" s="2" t="str">
        <f t="shared" si="0"/>
        <v>Mike Clark</v>
      </c>
      <c r="D116" s="2" t="s">
        <v>125</v>
      </c>
      <c r="E116" s="2" t="str">
        <f t="shared" si="1"/>
        <v>sarah@company.com</v>
      </c>
      <c r="F116" s="2" t="s">
        <v>69</v>
      </c>
      <c r="G116" s="3">
        <v>44334</v>
      </c>
      <c r="H116" s="3" t="str">
        <f t="shared" si="2"/>
        <v>18-May-2021</v>
      </c>
      <c r="I116" s="10" t="s">
        <v>472</v>
      </c>
      <c r="J116" s="10">
        <f t="shared" si="3"/>
        <v>53283</v>
      </c>
      <c r="K116" s="11" t="s">
        <v>57</v>
      </c>
      <c r="L116" s="2" t="s">
        <v>89</v>
      </c>
      <c r="M116" s="2" t="str">
        <f t="shared" si="4"/>
        <v>Active</v>
      </c>
      <c r="N116" s="2" t="s">
        <v>107</v>
      </c>
      <c r="O116" s="2" t="str">
        <f t="shared" si="5"/>
        <v>All Clear</v>
      </c>
      <c r="P116" s="2" t="s">
        <v>473</v>
      </c>
      <c r="Q116" s="2" t="str">
        <f t="shared" si="6"/>
        <v>WT</v>
      </c>
      <c r="R116" s="2" t="e">
        <f t="array" aca="1" ref="R116" ca="1">_xludf.IFS(Q116="ET", "East", Q116="WT", "West", Q116="ST","South", Q116="NR", "North")</f>
        <v>#NAME?</v>
      </c>
      <c r="S116" s="2" t="s">
        <v>79</v>
      </c>
      <c r="T116" s="2" t="str">
        <f t="shared" si="7"/>
        <v>New York</v>
      </c>
      <c r="U116" s="12" t="s">
        <v>30</v>
      </c>
      <c r="V116" s="12">
        <f t="shared" si="8"/>
        <v>0.1</v>
      </c>
      <c r="W116" s="13">
        <f t="shared" si="9"/>
        <v>58611.3</v>
      </c>
      <c r="X116" s="2" t="str">
        <f t="shared" si="10"/>
        <v>Normal</v>
      </c>
    </row>
    <row r="117" spans="1:24" ht="14.25" customHeight="1" x14ac:dyDescent="0.5">
      <c r="A117" s="2" t="s">
        <v>474</v>
      </c>
      <c r="B117" s="2" t="s">
        <v>475</v>
      </c>
      <c r="C117" s="2" t="str">
        <f t="shared" si="0"/>
        <v>Alex Smith</v>
      </c>
      <c r="D117" s="2" t="s">
        <v>105</v>
      </c>
      <c r="E117" s="2" t="str">
        <f t="shared" si="1"/>
        <v>sam@company.com</v>
      </c>
      <c r="F117" s="2" t="s">
        <v>69</v>
      </c>
      <c r="G117" s="3">
        <v>44098</v>
      </c>
      <c r="H117" s="3" t="str">
        <f t="shared" si="2"/>
        <v>24-Sep-2020</v>
      </c>
      <c r="I117" s="10" t="s">
        <v>476</v>
      </c>
      <c r="J117" s="10">
        <f t="shared" si="3"/>
        <v>103922</v>
      </c>
      <c r="K117" s="11" t="s">
        <v>17</v>
      </c>
      <c r="L117" s="2" t="s">
        <v>58</v>
      </c>
      <c r="M117" s="2" t="str">
        <f t="shared" si="4"/>
        <v>Terminated</v>
      </c>
      <c r="N117" s="2" t="s">
        <v>19</v>
      </c>
      <c r="O117" s="2" t="str">
        <f t="shared" si="5"/>
        <v>Urgent Review</v>
      </c>
      <c r="P117" s="2" t="s">
        <v>477</v>
      </c>
      <c r="Q117" s="2" t="str">
        <f t="shared" si="6"/>
        <v>WT</v>
      </c>
      <c r="R117" s="2" t="e">
        <f t="array" aca="1" ref="R117" ca="1">_xludf.IFS(Q117="ET", "East", Q117="WT", "West", Q117="ST","South", Q117="NR", "North")</f>
        <v>#NAME?</v>
      </c>
      <c r="S117" s="2" t="s">
        <v>38</v>
      </c>
      <c r="T117" s="2" t="str">
        <f t="shared" si="7"/>
        <v>London</v>
      </c>
      <c r="U117" s="12" t="s">
        <v>22</v>
      </c>
      <c r="V117" s="12">
        <f t="shared" si="8"/>
        <v>0.2</v>
      </c>
      <c r="W117" s="13">
        <f t="shared" si="9"/>
        <v>124706.4</v>
      </c>
      <c r="X117" s="2" t="str">
        <f t="shared" si="10"/>
        <v>High</v>
      </c>
    </row>
    <row r="118" spans="1:24" ht="14.25" customHeight="1" x14ac:dyDescent="0.5">
      <c r="A118" s="2" t="s">
        <v>478</v>
      </c>
      <c r="B118" s="2" t="s">
        <v>249</v>
      </c>
      <c r="C118" s="2" t="str">
        <f t="shared" si="0"/>
        <v>Jane Smith</v>
      </c>
      <c r="D118" s="2" t="s">
        <v>25</v>
      </c>
      <c r="E118" s="2" t="str">
        <f t="shared" si="1"/>
        <v>chris@company.com</v>
      </c>
      <c r="F118" s="2" t="s">
        <v>15</v>
      </c>
      <c r="G118" s="3">
        <v>43838</v>
      </c>
      <c r="H118" s="3" t="str">
        <f t="shared" si="2"/>
        <v>08-Jan-2020</v>
      </c>
      <c r="I118" s="10" t="s">
        <v>479</v>
      </c>
      <c r="J118" s="10">
        <f t="shared" si="3"/>
        <v>79420</v>
      </c>
      <c r="K118" s="11" t="s">
        <v>44</v>
      </c>
      <c r="L118" s="2" t="s">
        <v>27</v>
      </c>
      <c r="M118" s="2" t="str">
        <f t="shared" si="4"/>
        <v>On Leave</v>
      </c>
      <c r="N118" s="2" t="s">
        <v>19</v>
      </c>
      <c r="O118" s="2" t="str">
        <f t="shared" si="5"/>
        <v>Urgent Review</v>
      </c>
      <c r="P118" s="2" t="s">
        <v>480</v>
      </c>
      <c r="Q118" s="2" t="str">
        <f t="shared" si="6"/>
        <v>WT</v>
      </c>
      <c r="R118" s="2" t="e">
        <f t="array" aca="1" ref="R118" ca="1">_xludf.IFS(Q118="ET", "East", Q118="WT", "West", Q118="ST","South", Q118="NR", "North")</f>
        <v>#NAME?</v>
      </c>
      <c r="S118" s="2" t="s">
        <v>38</v>
      </c>
      <c r="T118" s="2" t="str">
        <f t="shared" si="7"/>
        <v>London</v>
      </c>
      <c r="U118" s="12" t="s">
        <v>22</v>
      </c>
      <c r="V118" s="12">
        <f t="shared" si="8"/>
        <v>0.2</v>
      </c>
      <c r="W118" s="13">
        <f t="shared" si="9"/>
        <v>95304</v>
      </c>
      <c r="X118" s="2" t="str">
        <f t="shared" si="10"/>
        <v>Normal</v>
      </c>
    </row>
    <row r="119" spans="1:24" ht="14.25" customHeight="1" x14ac:dyDescent="0.5">
      <c r="A119" s="2" t="s">
        <v>481</v>
      </c>
      <c r="B119" s="2" t="s">
        <v>482</v>
      </c>
      <c r="C119" s="2" t="str">
        <f t="shared" si="0"/>
        <v>Emily Davis</v>
      </c>
      <c r="D119" s="2" t="s">
        <v>125</v>
      </c>
      <c r="E119" s="2" t="str">
        <f t="shared" si="1"/>
        <v>sarah@company.com</v>
      </c>
      <c r="F119" s="2" t="s">
        <v>34</v>
      </c>
      <c r="G119" s="3">
        <v>44338</v>
      </c>
      <c r="H119" s="3" t="str">
        <f t="shared" si="2"/>
        <v>22-May-2021</v>
      </c>
      <c r="I119" s="10" t="s">
        <v>483</v>
      </c>
      <c r="J119" s="10">
        <f t="shared" si="3"/>
        <v>95568</v>
      </c>
      <c r="K119" s="11" t="s">
        <v>44</v>
      </c>
      <c r="L119" s="2" t="s">
        <v>18</v>
      </c>
      <c r="M119" s="2" t="str">
        <f t="shared" si="4"/>
        <v>Active</v>
      </c>
      <c r="N119" s="2" t="s">
        <v>77</v>
      </c>
      <c r="O119" s="2" t="str">
        <f t="shared" si="5"/>
        <v>All Clear</v>
      </c>
      <c r="P119" s="2" t="s">
        <v>484</v>
      </c>
      <c r="Q119" s="2" t="str">
        <f t="shared" si="6"/>
        <v>NR</v>
      </c>
      <c r="R119" s="2" t="e">
        <f t="array" aca="1" ref="R119" ca="1">_xludf.IFS(Q119="ET", "East", Q119="WT", "West", Q119="ST","South", Q119="NR", "North")</f>
        <v>#NAME?</v>
      </c>
      <c r="S119" s="2" t="s">
        <v>96</v>
      </c>
      <c r="T119" s="2" t="str">
        <f t="shared" si="7"/>
        <v>Cairo</v>
      </c>
      <c r="U119" s="12" t="s">
        <v>85</v>
      </c>
      <c r="V119" s="12">
        <f t="shared" si="8"/>
        <v>0.15</v>
      </c>
      <c r="W119" s="13">
        <f t="shared" si="9"/>
        <v>109903.2</v>
      </c>
      <c r="X119" s="2" t="str">
        <f t="shared" si="10"/>
        <v>High</v>
      </c>
    </row>
    <row r="120" spans="1:24" ht="14.25" customHeight="1" x14ac:dyDescent="0.5">
      <c r="A120" s="2" t="s">
        <v>485</v>
      </c>
      <c r="B120" s="2" t="s">
        <v>191</v>
      </c>
      <c r="C120" s="2" t="str">
        <f t="shared" si="0"/>
        <v>Sarah Clark</v>
      </c>
      <c r="D120" s="2" t="s">
        <v>25</v>
      </c>
      <c r="E120" s="2" t="str">
        <f t="shared" si="1"/>
        <v>chris@company.com</v>
      </c>
      <c r="F120" s="2" t="s">
        <v>15</v>
      </c>
      <c r="G120" s="3">
        <v>44306</v>
      </c>
      <c r="H120" s="3" t="str">
        <f t="shared" si="2"/>
        <v>20-Apr-2021</v>
      </c>
      <c r="I120" s="10" t="s">
        <v>486</v>
      </c>
      <c r="J120" s="10">
        <f t="shared" si="3"/>
        <v>60219</v>
      </c>
      <c r="K120" s="11" t="s">
        <v>83</v>
      </c>
      <c r="L120" s="2" t="s">
        <v>64</v>
      </c>
      <c r="M120" s="2" t="str">
        <f t="shared" si="4"/>
        <v>Terminated</v>
      </c>
      <c r="N120" s="2" t="s">
        <v>107</v>
      </c>
      <c r="O120" s="2" t="str">
        <f t="shared" si="5"/>
        <v>All Clear</v>
      </c>
      <c r="P120" s="2" t="s">
        <v>487</v>
      </c>
      <c r="Q120" s="2" t="str">
        <f t="shared" si="6"/>
        <v>NR</v>
      </c>
      <c r="R120" s="2" t="e">
        <f t="array" aca="1" ref="R120" ca="1">_xludf.IFS(Q120="ET", "East", Q120="WT", "West", Q120="ST","South", Q120="NR", "North")</f>
        <v>#NAME?</v>
      </c>
      <c r="S120" s="2" t="s">
        <v>60</v>
      </c>
      <c r="T120" s="2" t="str">
        <f t="shared" si="7"/>
        <v>Toronto</v>
      </c>
      <c r="U120" s="12" t="s">
        <v>39</v>
      </c>
      <c r="V120" s="12">
        <f t="shared" si="8"/>
        <v>0.05</v>
      </c>
      <c r="W120" s="13">
        <f t="shared" si="9"/>
        <v>63229.950000000004</v>
      </c>
      <c r="X120" s="2" t="str">
        <f t="shared" si="10"/>
        <v>Normal</v>
      </c>
    </row>
    <row r="121" spans="1:24" ht="14.25" customHeight="1" x14ac:dyDescent="0.5">
      <c r="A121" s="2" t="s">
        <v>488</v>
      </c>
      <c r="B121" s="2" t="s">
        <v>115</v>
      </c>
      <c r="C121" s="2" t="str">
        <f t="shared" si="0"/>
        <v>Katie Brown</v>
      </c>
      <c r="D121" s="2" t="s">
        <v>99</v>
      </c>
      <c r="E121" s="2" t="str">
        <f t="shared" si="1"/>
        <v>daniel@company.com</v>
      </c>
      <c r="F121" s="2" t="s">
        <v>42</v>
      </c>
      <c r="G121" s="3">
        <v>45151</v>
      </c>
      <c r="H121" s="3" t="str">
        <f t="shared" si="2"/>
        <v>13-Aug-2023</v>
      </c>
      <c r="I121" s="10" t="s">
        <v>489</v>
      </c>
      <c r="J121" s="10">
        <f t="shared" si="3"/>
        <v>97169</v>
      </c>
      <c r="K121" s="11" t="s">
        <v>83</v>
      </c>
      <c r="L121" s="2" t="s">
        <v>112</v>
      </c>
      <c r="M121" s="2" t="str">
        <f t="shared" si="4"/>
        <v>On Leave</v>
      </c>
      <c r="N121" s="2" t="s">
        <v>28</v>
      </c>
      <c r="O121" s="2" t="str">
        <f t="shared" si="5"/>
        <v>Pending Docs</v>
      </c>
      <c r="P121" s="2" t="s">
        <v>490</v>
      </c>
      <c r="Q121" s="2" t="str">
        <f t="shared" si="6"/>
        <v>ST</v>
      </c>
      <c r="R121" s="2" t="e">
        <f t="array" aca="1" ref="R121" ca="1">_xludf.IFS(Q121="ET", "East", Q121="WT", "West", Q121="ST","South", Q121="NR", "North")</f>
        <v>#NAME?</v>
      </c>
      <c r="S121" s="2" t="s">
        <v>79</v>
      </c>
      <c r="T121" s="2" t="str">
        <f t="shared" si="7"/>
        <v>New York</v>
      </c>
      <c r="U121" s="12" t="s">
        <v>30</v>
      </c>
      <c r="V121" s="12">
        <f t="shared" si="8"/>
        <v>0.1</v>
      </c>
      <c r="W121" s="13">
        <f t="shared" si="9"/>
        <v>106885.90000000001</v>
      </c>
      <c r="X121" s="2" t="str">
        <f t="shared" si="10"/>
        <v>High</v>
      </c>
    </row>
    <row r="122" spans="1:24" ht="14.25" customHeight="1" x14ac:dyDescent="0.5">
      <c r="A122" s="2" t="s">
        <v>491</v>
      </c>
      <c r="B122" s="2" t="s">
        <v>492</v>
      </c>
      <c r="C122" s="2" t="str">
        <f t="shared" si="0"/>
        <v>Sam Brown</v>
      </c>
      <c r="D122" s="2" t="s">
        <v>93</v>
      </c>
      <c r="E122" s="2" t="str">
        <f t="shared" si="1"/>
        <v>k@ie@company.com</v>
      </c>
      <c r="F122" s="2" t="s">
        <v>69</v>
      </c>
      <c r="G122" s="3">
        <v>43994</v>
      </c>
      <c r="H122" s="3" t="str">
        <f t="shared" si="2"/>
        <v>12-Jun-2020</v>
      </c>
      <c r="I122" s="10" t="s">
        <v>493</v>
      </c>
      <c r="J122" s="10">
        <f t="shared" si="3"/>
        <v>114965</v>
      </c>
      <c r="K122" s="11" t="s">
        <v>36</v>
      </c>
      <c r="L122" s="2" t="s">
        <v>27</v>
      </c>
      <c r="M122" s="2" t="str">
        <f t="shared" si="4"/>
        <v>On Leave</v>
      </c>
      <c r="O122" s="2" t="str">
        <f t="shared" si="5"/>
        <v>No Notes</v>
      </c>
      <c r="P122" s="2" t="s">
        <v>494</v>
      </c>
      <c r="Q122" s="2" t="str">
        <f t="shared" si="6"/>
        <v>ET</v>
      </c>
      <c r="R122" s="2" t="e">
        <f t="array" aca="1" ref="R122" ca="1">_xludf.IFS(Q122="ET", "East", Q122="WT", "West", Q122="ST","South", Q122="NR", "North")</f>
        <v>#NAME?</v>
      </c>
      <c r="S122" s="2" t="s">
        <v>38</v>
      </c>
      <c r="T122" s="2" t="str">
        <f t="shared" si="7"/>
        <v>London</v>
      </c>
      <c r="U122" s="12" t="s">
        <v>30</v>
      </c>
      <c r="V122" s="12">
        <f t="shared" si="8"/>
        <v>0.1</v>
      </c>
      <c r="W122" s="13">
        <f t="shared" si="9"/>
        <v>126461.50000000001</v>
      </c>
      <c r="X122" s="2" t="str">
        <f t="shared" si="10"/>
        <v>High</v>
      </c>
    </row>
    <row r="123" spans="1:24" ht="14.25" customHeight="1" x14ac:dyDescent="0.5">
      <c r="A123" s="2" t="s">
        <v>495</v>
      </c>
      <c r="B123" s="2" t="s">
        <v>55</v>
      </c>
      <c r="C123" s="2" t="str">
        <f t="shared" si="0"/>
        <v>Alex Moore</v>
      </c>
      <c r="D123" s="2" t="s">
        <v>49</v>
      </c>
      <c r="E123" s="2" t="str">
        <f t="shared" si="1"/>
        <v>emily@company.com</v>
      </c>
      <c r="F123" s="2" t="s">
        <v>50</v>
      </c>
      <c r="G123" s="3">
        <v>44315</v>
      </c>
      <c r="H123" s="3" t="str">
        <f t="shared" si="2"/>
        <v>29-Apr-2021</v>
      </c>
      <c r="I123" s="10" t="s">
        <v>496</v>
      </c>
      <c r="J123" s="10">
        <f t="shared" si="3"/>
        <v>86840</v>
      </c>
      <c r="K123" s="11" t="s">
        <v>17</v>
      </c>
      <c r="L123" s="2" t="s">
        <v>45</v>
      </c>
      <c r="M123" s="2" t="str">
        <f t="shared" si="4"/>
        <v>Active</v>
      </c>
      <c r="O123" s="2" t="str">
        <f t="shared" si="5"/>
        <v>No Notes</v>
      </c>
      <c r="P123" s="2" t="s">
        <v>497</v>
      </c>
      <c r="Q123" s="2" t="str">
        <f t="shared" si="6"/>
        <v>ST</v>
      </c>
      <c r="R123" s="2" t="e">
        <f t="array" aca="1" ref="R123" ca="1">_xludf.IFS(Q123="ET", "East", Q123="WT", "West", Q123="ST","South", Q123="NR", "North")</f>
        <v>#NAME?</v>
      </c>
      <c r="S123" s="2" t="s">
        <v>53</v>
      </c>
      <c r="T123" s="2" t="str">
        <f t="shared" si="7"/>
        <v>Delhi</v>
      </c>
      <c r="U123" s="12" t="s">
        <v>30</v>
      </c>
      <c r="V123" s="12">
        <f t="shared" si="8"/>
        <v>0.1</v>
      </c>
      <c r="W123" s="13">
        <f t="shared" si="9"/>
        <v>95524.000000000015</v>
      </c>
      <c r="X123" s="2" t="str">
        <f t="shared" si="10"/>
        <v>Normal</v>
      </c>
    </row>
    <row r="124" spans="1:24" ht="14.25" customHeight="1" x14ac:dyDescent="0.5">
      <c r="A124" s="2" t="s">
        <v>498</v>
      </c>
      <c r="B124" s="2" t="s">
        <v>343</v>
      </c>
      <c r="C124" s="2" t="str">
        <f t="shared" si="0"/>
        <v>Daniel Moore</v>
      </c>
      <c r="D124" s="2" t="s">
        <v>105</v>
      </c>
      <c r="E124" s="2" t="str">
        <f t="shared" si="1"/>
        <v>sam@company.com</v>
      </c>
      <c r="F124" s="2" t="s">
        <v>75</v>
      </c>
      <c r="G124" s="3">
        <v>44926</v>
      </c>
      <c r="H124" s="3" t="str">
        <f t="shared" si="2"/>
        <v>31-Dec-2022</v>
      </c>
      <c r="I124" s="10" t="s">
        <v>499</v>
      </c>
      <c r="J124" s="10">
        <f t="shared" si="3"/>
        <v>84695</v>
      </c>
      <c r="K124" s="11" t="s">
        <v>83</v>
      </c>
      <c r="L124" s="2" t="s">
        <v>18</v>
      </c>
      <c r="M124" s="2" t="str">
        <f t="shared" si="4"/>
        <v>Active</v>
      </c>
      <c r="N124" s="2" t="s">
        <v>107</v>
      </c>
      <c r="O124" s="2" t="str">
        <f t="shared" si="5"/>
        <v>All Clear</v>
      </c>
      <c r="P124" s="2" t="s">
        <v>500</v>
      </c>
      <c r="Q124" s="2" t="str">
        <f t="shared" si="6"/>
        <v>ET</v>
      </c>
      <c r="R124" s="2" t="e">
        <f t="array" aca="1" ref="R124" ca="1">_xludf.IFS(Q124="ET", "East", Q124="WT", "West", Q124="ST","South", Q124="NR", "North")</f>
        <v>#NAME?</v>
      </c>
      <c r="S124" s="2" t="s">
        <v>159</v>
      </c>
      <c r="T124" s="2" t="str">
        <f t="shared" si="7"/>
        <v>Berlin</v>
      </c>
      <c r="U124" s="12" t="s">
        <v>39</v>
      </c>
      <c r="V124" s="12">
        <f t="shared" si="8"/>
        <v>0.05</v>
      </c>
      <c r="W124" s="13">
        <f t="shared" si="9"/>
        <v>88929.75</v>
      </c>
      <c r="X124" s="2" t="str">
        <f t="shared" si="10"/>
        <v>Normal</v>
      </c>
    </row>
    <row r="125" spans="1:24" ht="14.25" customHeight="1" x14ac:dyDescent="0.5">
      <c r="A125" s="2" t="s">
        <v>501</v>
      </c>
      <c r="B125" s="2" t="s">
        <v>502</v>
      </c>
      <c r="C125" s="2" t="str">
        <f t="shared" si="0"/>
        <v>John Moore</v>
      </c>
      <c r="D125" s="2" t="s">
        <v>105</v>
      </c>
      <c r="E125" s="2" t="str">
        <f t="shared" si="1"/>
        <v>sam@company.com</v>
      </c>
      <c r="F125" s="2" t="s">
        <v>34</v>
      </c>
      <c r="G125" s="3">
        <v>44397</v>
      </c>
      <c r="H125" s="3" t="str">
        <f t="shared" si="2"/>
        <v>20-Jul-2021</v>
      </c>
      <c r="I125" s="10" t="s">
        <v>503</v>
      </c>
      <c r="J125" s="10">
        <f t="shared" si="3"/>
        <v>117988</v>
      </c>
      <c r="K125" s="11" t="s">
        <v>83</v>
      </c>
      <c r="L125" s="2" t="s">
        <v>58</v>
      </c>
      <c r="M125" s="2" t="str">
        <f t="shared" si="4"/>
        <v>Terminated</v>
      </c>
      <c r="N125" s="2" t="s">
        <v>28</v>
      </c>
      <c r="O125" s="2" t="str">
        <f t="shared" si="5"/>
        <v>Pending Docs</v>
      </c>
      <c r="P125" s="2" t="s">
        <v>504</v>
      </c>
      <c r="Q125" s="2" t="str">
        <f t="shared" si="6"/>
        <v>NR</v>
      </c>
      <c r="R125" s="2" t="e">
        <f t="array" aca="1" ref="R125" ca="1">_xludf.IFS(Q125="ET", "East", Q125="WT", "West", Q125="ST","South", Q125="NR", "North")</f>
        <v>#NAME?</v>
      </c>
      <c r="S125" s="2" t="s">
        <v>47</v>
      </c>
      <c r="T125" s="2" t="str">
        <f t="shared" si="7"/>
        <v>Lagos</v>
      </c>
      <c r="U125" s="12" t="s">
        <v>85</v>
      </c>
      <c r="V125" s="12">
        <f t="shared" si="8"/>
        <v>0.15</v>
      </c>
      <c r="W125" s="13">
        <f t="shared" si="9"/>
        <v>135686.19999999998</v>
      </c>
      <c r="X125" s="2" t="str">
        <f t="shared" si="10"/>
        <v>High</v>
      </c>
    </row>
    <row r="126" spans="1:24" ht="14.25" customHeight="1" x14ac:dyDescent="0.5">
      <c r="A126" s="2" t="s">
        <v>505</v>
      </c>
      <c r="B126" s="2" t="s">
        <v>475</v>
      </c>
      <c r="C126" s="2" t="str">
        <f t="shared" si="0"/>
        <v>Alex Smith</v>
      </c>
      <c r="D126" s="2" t="s">
        <v>14</v>
      </c>
      <c r="E126" s="2" t="str">
        <f t="shared" si="1"/>
        <v>john@company.com</v>
      </c>
      <c r="F126" s="2" t="s">
        <v>100</v>
      </c>
      <c r="G126" s="3">
        <v>44735</v>
      </c>
      <c r="H126" s="3" t="str">
        <f t="shared" si="2"/>
        <v>23-Jun-2022</v>
      </c>
      <c r="I126" s="10" t="s">
        <v>506</v>
      </c>
      <c r="J126" s="10">
        <f t="shared" si="3"/>
        <v>98342</v>
      </c>
      <c r="K126" s="11" t="s">
        <v>17</v>
      </c>
      <c r="L126" s="2" t="s">
        <v>89</v>
      </c>
      <c r="M126" s="2" t="str">
        <f t="shared" si="4"/>
        <v>Active</v>
      </c>
      <c r="N126" s="2" t="s">
        <v>19</v>
      </c>
      <c r="O126" s="2" t="str">
        <f t="shared" si="5"/>
        <v>Urgent Review</v>
      </c>
      <c r="P126" s="2" t="s">
        <v>507</v>
      </c>
      <c r="Q126" s="2" t="str">
        <f t="shared" si="6"/>
        <v>WT</v>
      </c>
      <c r="R126" s="2" t="e">
        <f t="array" aca="1" ref="R126" ca="1">_xludf.IFS(Q126="ET", "East", Q126="WT", "West", Q126="ST","South", Q126="NR", "North")</f>
        <v>#NAME?</v>
      </c>
      <c r="S126" s="2" t="s">
        <v>38</v>
      </c>
      <c r="T126" s="2" t="str">
        <f t="shared" si="7"/>
        <v>London</v>
      </c>
      <c r="U126" s="12" t="s">
        <v>30</v>
      </c>
      <c r="V126" s="12">
        <f t="shared" si="8"/>
        <v>0.1</v>
      </c>
      <c r="W126" s="13">
        <f t="shared" si="9"/>
        <v>108176.20000000001</v>
      </c>
      <c r="X126" s="2" t="str">
        <f t="shared" si="10"/>
        <v>High</v>
      </c>
    </row>
    <row r="127" spans="1:24" ht="14.25" customHeight="1" x14ac:dyDescent="0.5">
      <c r="A127" s="2" t="s">
        <v>508</v>
      </c>
      <c r="B127" s="2" t="s">
        <v>165</v>
      </c>
      <c r="C127" s="2" t="str">
        <f t="shared" si="0"/>
        <v>Chris Taylor</v>
      </c>
      <c r="D127" s="2" t="s">
        <v>25</v>
      </c>
      <c r="E127" s="2" t="str">
        <f t="shared" si="1"/>
        <v>chris@company.com</v>
      </c>
      <c r="F127" s="2" t="s">
        <v>50</v>
      </c>
      <c r="G127" s="3">
        <v>44389</v>
      </c>
      <c r="H127" s="3" t="str">
        <f t="shared" si="2"/>
        <v>12-Jul-2021</v>
      </c>
      <c r="I127" s="10" t="s">
        <v>509</v>
      </c>
      <c r="J127" s="10">
        <f t="shared" si="3"/>
        <v>58951</v>
      </c>
      <c r="K127" s="11" t="s">
        <v>36</v>
      </c>
      <c r="L127" s="2" t="s">
        <v>27</v>
      </c>
      <c r="M127" s="2" t="str">
        <f t="shared" si="4"/>
        <v>On Leave</v>
      </c>
      <c r="N127" s="2" t="s">
        <v>65</v>
      </c>
      <c r="O127" s="2" t="str">
        <f t="shared" si="5"/>
        <v>Follow Up</v>
      </c>
      <c r="P127" s="2" t="s">
        <v>510</v>
      </c>
      <c r="Q127" s="2" t="str">
        <f t="shared" si="6"/>
        <v>ST</v>
      </c>
      <c r="R127" s="2" t="e">
        <f t="array" aca="1" ref="R127" ca="1">_xludf.IFS(Q127="ET", "East", Q127="WT", "West", Q127="ST","South", Q127="NR", "North")</f>
        <v>#NAME?</v>
      </c>
      <c r="S127" s="2" t="s">
        <v>79</v>
      </c>
      <c r="T127" s="2" t="str">
        <f t="shared" si="7"/>
        <v>New York</v>
      </c>
      <c r="U127" s="12" t="s">
        <v>39</v>
      </c>
      <c r="V127" s="12">
        <f t="shared" si="8"/>
        <v>0.05</v>
      </c>
      <c r="W127" s="13">
        <f t="shared" si="9"/>
        <v>61898.55</v>
      </c>
      <c r="X127" s="2" t="str">
        <f t="shared" si="10"/>
        <v>Normal</v>
      </c>
    </row>
    <row r="128" spans="1:24" ht="14.25" customHeight="1" x14ac:dyDescent="0.5">
      <c r="A128" s="2" t="s">
        <v>511</v>
      </c>
      <c r="B128" s="2" t="s">
        <v>343</v>
      </c>
      <c r="C128" s="2" t="str">
        <f t="shared" si="0"/>
        <v>Daniel Moore</v>
      </c>
      <c r="D128" s="2" t="s">
        <v>235</v>
      </c>
      <c r="E128" s="2" t="str">
        <f t="shared" si="1"/>
        <v>jane@company.com</v>
      </c>
      <c r="F128" s="2" t="s">
        <v>34</v>
      </c>
      <c r="G128" s="3">
        <v>44068</v>
      </c>
      <c r="H128" s="3" t="str">
        <f t="shared" si="2"/>
        <v>25-Aug-2020</v>
      </c>
      <c r="I128" s="10" t="s">
        <v>512</v>
      </c>
      <c r="J128" s="10">
        <f t="shared" si="3"/>
        <v>41307</v>
      </c>
      <c r="K128" s="11" t="s">
        <v>83</v>
      </c>
      <c r="L128" s="2" t="s">
        <v>58</v>
      </c>
      <c r="M128" s="2" t="str">
        <f t="shared" si="4"/>
        <v>Terminated</v>
      </c>
      <c r="N128" s="2" t="s">
        <v>65</v>
      </c>
      <c r="O128" s="2" t="str">
        <f t="shared" si="5"/>
        <v>Follow Up</v>
      </c>
      <c r="P128" s="2" t="s">
        <v>513</v>
      </c>
      <c r="Q128" s="2" t="str">
        <f t="shared" si="6"/>
        <v>WT</v>
      </c>
      <c r="R128" s="2" t="e">
        <f t="array" aca="1" ref="R128" ca="1">_xludf.IFS(Q128="ET", "East", Q128="WT", "West", Q128="ST","South", Q128="NR", "North")</f>
        <v>#NAME?</v>
      </c>
      <c r="S128" s="2" t="s">
        <v>38</v>
      </c>
      <c r="T128" s="2" t="str">
        <f t="shared" si="7"/>
        <v>London</v>
      </c>
      <c r="U128" s="12" t="s">
        <v>22</v>
      </c>
      <c r="V128" s="12">
        <f t="shared" si="8"/>
        <v>0.2</v>
      </c>
      <c r="W128" s="13">
        <f t="shared" si="9"/>
        <v>49568.4</v>
      </c>
      <c r="X128" s="2" t="str">
        <f t="shared" si="10"/>
        <v>Normal</v>
      </c>
    </row>
    <row r="129" spans="1:24" ht="14.25" customHeight="1" x14ac:dyDescent="0.5">
      <c r="A129" s="2" t="s">
        <v>514</v>
      </c>
      <c r="B129" s="2" t="s">
        <v>437</v>
      </c>
      <c r="C129" s="2" t="str">
        <f t="shared" si="0"/>
        <v>Alex Brown</v>
      </c>
      <c r="D129" s="2" t="s">
        <v>105</v>
      </c>
      <c r="E129" s="2" t="str">
        <f t="shared" si="1"/>
        <v>sam@company.com</v>
      </c>
      <c r="F129" s="2" t="s">
        <v>15</v>
      </c>
      <c r="G129" s="3">
        <v>44958</v>
      </c>
      <c r="H129" s="3" t="str">
        <f t="shared" si="2"/>
        <v>01-Feb-2023</v>
      </c>
      <c r="I129" s="10" t="s">
        <v>515</v>
      </c>
      <c r="J129" s="10">
        <f t="shared" si="3"/>
        <v>75428</v>
      </c>
      <c r="K129" s="11" t="s">
        <v>36</v>
      </c>
      <c r="L129" s="2" t="s">
        <v>18</v>
      </c>
      <c r="M129" s="2" t="str">
        <f t="shared" si="4"/>
        <v>Active</v>
      </c>
      <c r="N129" s="2" t="s">
        <v>107</v>
      </c>
      <c r="O129" s="2" t="str">
        <f t="shared" si="5"/>
        <v>All Clear</v>
      </c>
      <c r="P129" s="2" t="s">
        <v>516</v>
      </c>
      <c r="Q129" s="2" t="str">
        <f t="shared" si="6"/>
        <v>ST</v>
      </c>
      <c r="R129" s="2" t="e">
        <f t="array" aca="1" ref="R129" ca="1">_xludf.IFS(Q129="ET", "East", Q129="WT", "West", Q129="ST","South", Q129="NR", "North")</f>
        <v>#NAME?</v>
      </c>
      <c r="S129" s="2" t="s">
        <v>47</v>
      </c>
      <c r="T129" s="2" t="str">
        <f t="shared" si="7"/>
        <v>Lagos</v>
      </c>
      <c r="U129" s="12" t="s">
        <v>30</v>
      </c>
      <c r="V129" s="12">
        <f t="shared" si="8"/>
        <v>0.1</v>
      </c>
      <c r="W129" s="13">
        <f t="shared" si="9"/>
        <v>82970.8</v>
      </c>
      <c r="X129" s="2" t="str">
        <f t="shared" si="10"/>
        <v>Normal</v>
      </c>
    </row>
    <row r="130" spans="1:24" ht="14.25" customHeight="1" x14ac:dyDescent="0.5">
      <c r="A130" s="2" t="s">
        <v>517</v>
      </c>
      <c r="B130" s="2" t="s">
        <v>115</v>
      </c>
      <c r="C130" s="2" t="str">
        <f t="shared" si="0"/>
        <v>Katie Brown</v>
      </c>
      <c r="D130" s="2" t="s">
        <v>25</v>
      </c>
      <c r="E130" s="2" t="str">
        <f t="shared" si="1"/>
        <v>chris@company.com</v>
      </c>
      <c r="F130" s="2" t="s">
        <v>15</v>
      </c>
      <c r="G130" s="3">
        <v>45064</v>
      </c>
      <c r="H130" s="3" t="str">
        <f t="shared" si="2"/>
        <v>18-May-2023</v>
      </c>
      <c r="I130" s="10" t="s">
        <v>518</v>
      </c>
      <c r="J130" s="10">
        <f t="shared" si="3"/>
        <v>115774</v>
      </c>
      <c r="K130" s="11" t="s">
        <v>57</v>
      </c>
      <c r="L130" s="2" t="s">
        <v>58</v>
      </c>
      <c r="M130" s="2" t="str">
        <f t="shared" si="4"/>
        <v>Terminated</v>
      </c>
      <c r="N130" s="2" t="s">
        <v>28</v>
      </c>
      <c r="O130" s="2" t="str">
        <f t="shared" si="5"/>
        <v>Pending Docs</v>
      </c>
      <c r="P130" s="2" t="s">
        <v>519</v>
      </c>
      <c r="Q130" s="2" t="str">
        <f t="shared" si="6"/>
        <v>NR</v>
      </c>
      <c r="R130" s="2" t="e">
        <f t="array" aca="1" ref="R130" ca="1">_xludf.IFS(Q130="ET", "East", Q130="WT", "West", Q130="ST","South", Q130="NR", "North")</f>
        <v>#NAME?</v>
      </c>
      <c r="S130" s="2" t="s">
        <v>79</v>
      </c>
      <c r="T130" s="2" t="str">
        <f t="shared" si="7"/>
        <v>New York</v>
      </c>
      <c r="U130" s="12" t="s">
        <v>30</v>
      </c>
      <c r="V130" s="12">
        <f t="shared" si="8"/>
        <v>0.1</v>
      </c>
      <c r="W130" s="13">
        <f t="shared" si="9"/>
        <v>127351.40000000001</v>
      </c>
      <c r="X130" s="2" t="str">
        <f t="shared" si="10"/>
        <v>High</v>
      </c>
    </row>
    <row r="131" spans="1:24" ht="14.25" customHeight="1" x14ac:dyDescent="0.5">
      <c r="A131" s="2" t="s">
        <v>520</v>
      </c>
      <c r="B131" s="2" t="s">
        <v>137</v>
      </c>
      <c r="C131" s="2" t="str">
        <f t="shared" si="0"/>
        <v>Katie Johnson</v>
      </c>
      <c r="D131" s="2" t="s">
        <v>25</v>
      </c>
      <c r="E131" s="2" t="str">
        <f t="shared" si="1"/>
        <v>chris@company.com</v>
      </c>
      <c r="F131" s="2" t="s">
        <v>50</v>
      </c>
      <c r="G131" s="3">
        <v>44384</v>
      </c>
      <c r="H131" s="3" t="str">
        <f t="shared" si="2"/>
        <v>07-Jul-2021</v>
      </c>
      <c r="I131" s="10" t="s">
        <v>521</v>
      </c>
      <c r="J131" s="10">
        <f t="shared" si="3"/>
        <v>78975</v>
      </c>
      <c r="K131" s="11" t="s">
        <v>36</v>
      </c>
      <c r="L131" s="2" t="s">
        <v>27</v>
      </c>
      <c r="M131" s="2" t="str">
        <f t="shared" si="4"/>
        <v>On Leave</v>
      </c>
      <c r="N131" s="2" t="s">
        <v>28</v>
      </c>
      <c r="O131" s="2" t="str">
        <f t="shared" si="5"/>
        <v>Pending Docs</v>
      </c>
      <c r="P131" s="2" t="s">
        <v>522</v>
      </c>
      <c r="Q131" s="2" t="str">
        <f t="shared" si="6"/>
        <v>NR</v>
      </c>
      <c r="R131" s="2" t="e">
        <f t="array" aca="1" ref="R131" ca="1">_xludf.IFS(Q131="ET", "East", Q131="WT", "West", Q131="ST","South", Q131="NR", "North")</f>
        <v>#NAME?</v>
      </c>
      <c r="S131" s="2" t="s">
        <v>60</v>
      </c>
      <c r="T131" s="2" t="str">
        <f t="shared" si="7"/>
        <v>Toronto</v>
      </c>
      <c r="U131" s="12" t="s">
        <v>85</v>
      </c>
      <c r="V131" s="12">
        <f t="shared" si="8"/>
        <v>0.15</v>
      </c>
      <c r="W131" s="13">
        <f t="shared" si="9"/>
        <v>90821.25</v>
      </c>
      <c r="X131" s="2" t="str">
        <f t="shared" si="10"/>
        <v>Normal</v>
      </c>
    </row>
    <row r="132" spans="1:24" ht="14.25" customHeight="1" x14ac:dyDescent="0.5">
      <c r="A132" s="2" t="s">
        <v>523</v>
      </c>
      <c r="B132" s="2" t="s">
        <v>524</v>
      </c>
      <c r="C132" s="2" t="str">
        <f t="shared" si="0"/>
        <v>Jane Johnson</v>
      </c>
      <c r="D132" s="2" t="s">
        <v>33</v>
      </c>
      <c r="E132" s="2" t="str">
        <f t="shared" si="1"/>
        <v>alex@company.com</v>
      </c>
      <c r="F132" s="2" t="s">
        <v>15</v>
      </c>
      <c r="G132" s="3">
        <v>44658</v>
      </c>
      <c r="H132" s="3" t="str">
        <f t="shared" si="2"/>
        <v>07-Apr-2022</v>
      </c>
      <c r="I132" s="10" t="s">
        <v>525</v>
      </c>
      <c r="J132" s="10">
        <f t="shared" si="3"/>
        <v>41140</v>
      </c>
      <c r="K132" s="11" t="s">
        <v>44</v>
      </c>
      <c r="L132" s="2" t="s">
        <v>18</v>
      </c>
      <c r="M132" s="2" t="str">
        <f t="shared" si="4"/>
        <v>Active</v>
      </c>
      <c r="O132" s="2" t="str">
        <f t="shared" si="5"/>
        <v>No Notes</v>
      </c>
      <c r="P132" s="2" t="s">
        <v>526</v>
      </c>
      <c r="Q132" s="2" t="str">
        <f t="shared" si="6"/>
        <v>NR</v>
      </c>
      <c r="R132" s="2" t="e">
        <f t="array" aca="1" ref="R132" ca="1">_xludf.IFS(Q132="ET", "East", Q132="WT", "West", Q132="ST","South", Q132="NR", "North")</f>
        <v>#NAME?</v>
      </c>
      <c r="S132" s="2" t="s">
        <v>79</v>
      </c>
      <c r="T132" s="2" t="str">
        <f t="shared" si="7"/>
        <v>New York</v>
      </c>
      <c r="U132" s="12" t="s">
        <v>30</v>
      </c>
      <c r="V132" s="12">
        <f t="shared" si="8"/>
        <v>0.1</v>
      </c>
      <c r="W132" s="13">
        <f t="shared" si="9"/>
        <v>45254.000000000007</v>
      </c>
      <c r="X132" s="2" t="str">
        <f t="shared" si="10"/>
        <v>Normal</v>
      </c>
    </row>
    <row r="133" spans="1:24" ht="14.25" customHeight="1" x14ac:dyDescent="0.5">
      <c r="A133" s="2" t="s">
        <v>527</v>
      </c>
      <c r="B133" s="2" t="s">
        <v>264</v>
      </c>
      <c r="C133" s="2" t="str">
        <f t="shared" si="0"/>
        <v>Daniel Brown</v>
      </c>
      <c r="D133" s="2" t="s">
        <v>33</v>
      </c>
      <c r="E133" s="2" t="str">
        <f t="shared" si="1"/>
        <v>alex@company.com</v>
      </c>
      <c r="F133" s="2" t="s">
        <v>69</v>
      </c>
      <c r="G133" s="3">
        <v>44298</v>
      </c>
      <c r="H133" s="3" t="str">
        <f t="shared" si="2"/>
        <v>12-Apr-2021</v>
      </c>
      <c r="I133" s="10" t="s">
        <v>528</v>
      </c>
      <c r="J133" s="10">
        <f t="shared" si="3"/>
        <v>64842</v>
      </c>
      <c r="K133" s="11" t="s">
        <v>44</v>
      </c>
      <c r="L133" s="2" t="s">
        <v>45</v>
      </c>
      <c r="M133" s="2" t="str">
        <f t="shared" si="4"/>
        <v>Active</v>
      </c>
      <c r="N133" s="2" t="s">
        <v>19</v>
      </c>
      <c r="O133" s="2" t="str">
        <f t="shared" si="5"/>
        <v>Urgent Review</v>
      </c>
      <c r="P133" s="2" t="s">
        <v>529</v>
      </c>
      <c r="Q133" s="2" t="str">
        <f t="shared" si="6"/>
        <v>ST</v>
      </c>
      <c r="R133" s="2" t="e">
        <f t="array" aca="1" ref="R133" ca="1">_xludf.IFS(Q133="ET", "East", Q133="WT", "West", Q133="ST","South", Q133="NR", "North")</f>
        <v>#NAME?</v>
      </c>
      <c r="S133" s="2" t="s">
        <v>60</v>
      </c>
      <c r="T133" s="2" t="str">
        <f t="shared" si="7"/>
        <v>Toronto</v>
      </c>
      <c r="U133" s="12" t="s">
        <v>30</v>
      </c>
      <c r="V133" s="12">
        <f t="shared" si="8"/>
        <v>0.1</v>
      </c>
      <c r="W133" s="13">
        <f t="shared" si="9"/>
        <v>71326.200000000012</v>
      </c>
      <c r="X133" s="2" t="str">
        <f t="shared" si="10"/>
        <v>Normal</v>
      </c>
    </row>
    <row r="134" spans="1:24" ht="14.25" customHeight="1" x14ac:dyDescent="0.5">
      <c r="A134" s="2" t="s">
        <v>530</v>
      </c>
      <c r="B134" s="2" t="s">
        <v>360</v>
      </c>
      <c r="C134" s="2" t="str">
        <f t="shared" si="0"/>
        <v>Katie Taylor</v>
      </c>
      <c r="D134" s="2" t="s">
        <v>49</v>
      </c>
      <c r="E134" s="2" t="str">
        <f t="shared" si="1"/>
        <v>emily@company.com</v>
      </c>
      <c r="F134" s="2" t="s">
        <v>42</v>
      </c>
      <c r="G134" s="3">
        <v>45308</v>
      </c>
      <c r="H134" s="3" t="str">
        <f t="shared" si="2"/>
        <v>17-Jan-2024</v>
      </c>
      <c r="I134" s="10" t="s">
        <v>531</v>
      </c>
      <c r="J134" s="10">
        <f t="shared" si="3"/>
        <v>66421</v>
      </c>
      <c r="K134" s="11" t="s">
        <v>36</v>
      </c>
      <c r="L134" s="2" t="s">
        <v>27</v>
      </c>
      <c r="M134" s="2" t="str">
        <f t="shared" si="4"/>
        <v>On Leave</v>
      </c>
      <c r="N134" s="2" t="s">
        <v>77</v>
      </c>
      <c r="O134" s="2" t="str">
        <f t="shared" si="5"/>
        <v>All Clear</v>
      </c>
      <c r="P134" s="2" t="s">
        <v>532</v>
      </c>
      <c r="Q134" s="2" t="str">
        <f t="shared" si="6"/>
        <v>ET</v>
      </c>
      <c r="R134" s="2" t="e">
        <f t="array" aca="1" ref="R134" ca="1">_xludf.IFS(Q134="ET", "East", Q134="WT", "West", Q134="ST","South", Q134="NR", "North")</f>
        <v>#NAME?</v>
      </c>
      <c r="S134" s="2" t="s">
        <v>79</v>
      </c>
      <c r="T134" s="2" t="str">
        <f t="shared" si="7"/>
        <v>New York</v>
      </c>
      <c r="U134" s="12" t="s">
        <v>22</v>
      </c>
      <c r="V134" s="12">
        <f t="shared" si="8"/>
        <v>0.2</v>
      </c>
      <c r="W134" s="13">
        <f t="shared" si="9"/>
        <v>79705.2</v>
      </c>
      <c r="X134" s="2" t="str">
        <f t="shared" si="10"/>
        <v>Normal</v>
      </c>
    </row>
    <row r="135" spans="1:24" ht="14.25" customHeight="1" x14ac:dyDescent="0.5">
      <c r="A135" s="2" t="s">
        <v>533</v>
      </c>
      <c r="B135" s="2" t="s">
        <v>293</v>
      </c>
      <c r="C135" s="2" t="str">
        <f t="shared" si="0"/>
        <v>John Taylor</v>
      </c>
      <c r="D135" s="2" t="s">
        <v>99</v>
      </c>
      <c r="E135" s="2" t="str">
        <f t="shared" si="1"/>
        <v>daniel@company.com</v>
      </c>
      <c r="F135" s="2" t="s">
        <v>75</v>
      </c>
      <c r="G135" s="3">
        <v>45122</v>
      </c>
      <c r="H135" s="3" t="str">
        <f t="shared" si="2"/>
        <v>15-Jul-2023</v>
      </c>
      <c r="I135" s="10" t="s">
        <v>534</v>
      </c>
      <c r="J135" s="10">
        <f t="shared" si="3"/>
        <v>41708</v>
      </c>
      <c r="K135" s="11" t="s">
        <v>44</v>
      </c>
      <c r="L135" s="2" t="s">
        <v>112</v>
      </c>
      <c r="M135" s="2" t="str">
        <f t="shared" si="4"/>
        <v>On Leave</v>
      </c>
      <c r="N135" s="2" t="s">
        <v>28</v>
      </c>
      <c r="O135" s="2" t="str">
        <f t="shared" si="5"/>
        <v>Pending Docs</v>
      </c>
      <c r="P135" s="2" t="s">
        <v>535</v>
      </c>
      <c r="Q135" s="2" t="str">
        <f t="shared" si="6"/>
        <v>ST</v>
      </c>
      <c r="R135" s="2" t="e">
        <f t="array" aca="1" ref="R135" ca="1">_xludf.IFS(Q135="ET", "East", Q135="WT", "West", Q135="ST","South", Q135="NR", "North")</f>
        <v>#NAME?</v>
      </c>
      <c r="S135" s="2" t="s">
        <v>53</v>
      </c>
      <c r="T135" s="2" t="str">
        <f t="shared" si="7"/>
        <v>Delhi</v>
      </c>
      <c r="U135" s="12" t="s">
        <v>39</v>
      </c>
      <c r="V135" s="12">
        <f t="shared" si="8"/>
        <v>0.05</v>
      </c>
      <c r="W135" s="13">
        <f t="shared" si="9"/>
        <v>43793.4</v>
      </c>
      <c r="X135" s="2" t="str">
        <f t="shared" si="10"/>
        <v>Normal</v>
      </c>
    </row>
    <row r="136" spans="1:24" ht="14.25" customHeight="1" x14ac:dyDescent="0.5">
      <c r="A136" s="2" t="s">
        <v>536</v>
      </c>
      <c r="B136" s="2" t="s">
        <v>275</v>
      </c>
      <c r="C136" s="2" t="str">
        <f t="shared" si="0"/>
        <v>John Davis</v>
      </c>
      <c r="D136" s="2" t="s">
        <v>49</v>
      </c>
      <c r="E136" s="2" t="str">
        <f t="shared" si="1"/>
        <v>emily@company.com</v>
      </c>
      <c r="F136" s="2" t="s">
        <v>42</v>
      </c>
      <c r="G136" s="3">
        <v>44216</v>
      </c>
      <c r="H136" s="3" t="str">
        <f t="shared" si="2"/>
        <v>20-Jan-2021</v>
      </c>
      <c r="I136" s="10" t="s">
        <v>537</v>
      </c>
      <c r="J136" s="10">
        <f t="shared" si="3"/>
        <v>43630</v>
      </c>
      <c r="K136" s="11" t="s">
        <v>57</v>
      </c>
      <c r="L136" s="2" t="s">
        <v>121</v>
      </c>
      <c r="M136" s="2" t="str">
        <f t="shared" si="4"/>
        <v>On Leave</v>
      </c>
      <c r="N136" s="2" t="s">
        <v>77</v>
      </c>
      <c r="O136" s="2" t="str">
        <f t="shared" si="5"/>
        <v>All Clear</v>
      </c>
      <c r="P136" s="2" t="s">
        <v>538</v>
      </c>
      <c r="Q136" s="2" t="str">
        <f t="shared" si="6"/>
        <v>ET</v>
      </c>
      <c r="R136" s="2" t="e">
        <f t="array" aca="1" ref="R136" ca="1">_xludf.IFS(Q136="ET", "East", Q136="WT", "West", Q136="ST","South", Q136="NR", "North")</f>
        <v>#NAME?</v>
      </c>
      <c r="S136" s="2" t="s">
        <v>21</v>
      </c>
      <c r="T136" s="2" t="str">
        <f t="shared" si="7"/>
        <v>Sao Paulo</v>
      </c>
      <c r="U136" s="12" t="s">
        <v>39</v>
      </c>
      <c r="V136" s="12">
        <f t="shared" si="8"/>
        <v>0.05</v>
      </c>
      <c r="W136" s="13">
        <f t="shared" si="9"/>
        <v>45811.5</v>
      </c>
      <c r="X136" s="2" t="str">
        <f t="shared" si="10"/>
        <v>Normal</v>
      </c>
    </row>
    <row r="137" spans="1:24" ht="14.25" customHeight="1" x14ac:dyDescent="0.5">
      <c r="A137" s="2" t="s">
        <v>539</v>
      </c>
      <c r="B137" s="2" t="s">
        <v>55</v>
      </c>
      <c r="C137" s="2" t="str">
        <f t="shared" si="0"/>
        <v>Alex Moore</v>
      </c>
      <c r="D137" s="2" t="s">
        <v>125</v>
      </c>
      <c r="E137" s="2" t="str">
        <f t="shared" si="1"/>
        <v>sarah@company.com</v>
      </c>
      <c r="F137" s="2" t="s">
        <v>34</v>
      </c>
      <c r="G137" s="3">
        <v>44605</v>
      </c>
      <c r="H137" s="3" t="str">
        <f t="shared" si="2"/>
        <v>13-Feb-2022</v>
      </c>
      <c r="I137" s="10" t="s">
        <v>540</v>
      </c>
      <c r="J137" s="10">
        <f t="shared" si="3"/>
        <v>59595</v>
      </c>
      <c r="K137" s="11" t="s">
        <v>17</v>
      </c>
      <c r="L137" s="2" t="s">
        <v>64</v>
      </c>
      <c r="M137" s="2" t="str">
        <f t="shared" si="4"/>
        <v>Terminated</v>
      </c>
      <c r="N137" s="2" t="s">
        <v>65</v>
      </c>
      <c r="O137" s="2" t="str">
        <f t="shared" si="5"/>
        <v>Follow Up</v>
      </c>
      <c r="P137" s="2" t="s">
        <v>541</v>
      </c>
      <c r="Q137" s="2" t="str">
        <f t="shared" si="6"/>
        <v>ST</v>
      </c>
      <c r="R137" s="2" t="e">
        <f t="array" aca="1" ref="R137" ca="1">_xludf.IFS(Q137="ET", "East", Q137="WT", "West", Q137="ST","South", Q137="NR", "North")</f>
        <v>#NAME?</v>
      </c>
      <c r="S137" s="2" t="s">
        <v>47</v>
      </c>
      <c r="T137" s="2" t="str">
        <f t="shared" si="7"/>
        <v>Lagos</v>
      </c>
      <c r="U137" s="12" t="s">
        <v>85</v>
      </c>
      <c r="V137" s="12">
        <f t="shared" si="8"/>
        <v>0.15</v>
      </c>
      <c r="W137" s="13">
        <f t="shared" si="9"/>
        <v>68534.25</v>
      </c>
      <c r="X137" s="2" t="str">
        <f t="shared" si="10"/>
        <v>Normal</v>
      </c>
    </row>
    <row r="138" spans="1:24" ht="14.25" customHeight="1" x14ac:dyDescent="0.5">
      <c r="A138" s="2" t="s">
        <v>542</v>
      </c>
      <c r="B138" s="2" t="s">
        <v>453</v>
      </c>
      <c r="C138" s="2" t="str">
        <f t="shared" si="0"/>
        <v>Chris Wilson</v>
      </c>
      <c r="D138" s="2" t="s">
        <v>235</v>
      </c>
      <c r="E138" s="2" t="str">
        <f t="shared" si="1"/>
        <v>jane@company.com</v>
      </c>
      <c r="F138" s="2" t="s">
        <v>75</v>
      </c>
      <c r="G138" s="3">
        <v>44678</v>
      </c>
      <c r="H138" s="3" t="str">
        <f t="shared" si="2"/>
        <v>27-Apr-2022</v>
      </c>
      <c r="I138" s="10" t="s">
        <v>543</v>
      </c>
      <c r="J138" s="10">
        <f t="shared" si="3"/>
        <v>116021</v>
      </c>
      <c r="K138" s="11" t="s">
        <v>44</v>
      </c>
      <c r="L138" s="2" t="s">
        <v>27</v>
      </c>
      <c r="M138" s="2" t="str">
        <f t="shared" si="4"/>
        <v>On Leave</v>
      </c>
      <c r="N138" s="2" t="s">
        <v>77</v>
      </c>
      <c r="O138" s="2" t="str">
        <f t="shared" si="5"/>
        <v>All Clear</v>
      </c>
      <c r="P138" s="2" t="s">
        <v>544</v>
      </c>
      <c r="Q138" s="2" t="str">
        <f t="shared" si="6"/>
        <v>ST</v>
      </c>
      <c r="R138" s="2" t="e">
        <f t="array" aca="1" ref="R138" ca="1">_xludf.IFS(Q138="ET", "East", Q138="WT", "West", Q138="ST","South", Q138="NR", "North")</f>
        <v>#NAME?</v>
      </c>
      <c r="S138" s="2" t="s">
        <v>47</v>
      </c>
      <c r="T138" s="2" t="str">
        <f t="shared" si="7"/>
        <v>Lagos</v>
      </c>
      <c r="U138" s="12" t="s">
        <v>22</v>
      </c>
      <c r="V138" s="12">
        <f t="shared" si="8"/>
        <v>0.2</v>
      </c>
      <c r="W138" s="13">
        <f t="shared" si="9"/>
        <v>139225.19999999998</v>
      </c>
      <c r="X138" s="2" t="str">
        <f t="shared" si="10"/>
        <v>High</v>
      </c>
    </row>
    <row r="139" spans="1:24" ht="14.25" customHeight="1" x14ac:dyDescent="0.5">
      <c r="A139" s="2" t="s">
        <v>545</v>
      </c>
      <c r="B139" s="2" t="s">
        <v>156</v>
      </c>
      <c r="C139" s="2" t="str">
        <f t="shared" si="0"/>
        <v>Sam Smith</v>
      </c>
      <c r="D139" s="2" t="s">
        <v>125</v>
      </c>
      <c r="E139" s="2" t="str">
        <f t="shared" si="1"/>
        <v>sarah@company.com</v>
      </c>
      <c r="F139" s="2" t="s">
        <v>75</v>
      </c>
      <c r="G139" s="3">
        <v>44217</v>
      </c>
      <c r="H139" s="3" t="str">
        <f t="shared" si="2"/>
        <v>21-Jan-2021</v>
      </c>
      <c r="I139" s="10" t="s">
        <v>546</v>
      </c>
      <c r="J139" s="10">
        <f t="shared" si="3"/>
        <v>68308</v>
      </c>
      <c r="K139" s="11" t="s">
        <v>44</v>
      </c>
      <c r="L139" s="2" t="s">
        <v>18</v>
      </c>
      <c r="M139" s="2" t="str">
        <f t="shared" si="4"/>
        <v>Active</v>
      </c>
      <c r="N139" s="2" t="s">
        <v>19</v>
      </c>
      <c r="O139" s="2" t="str">
        <f t="shared" si="5"/>
        <v>Urgent Review</v>
      </c>
      <c r="P139" s="2" t="s">
        <v>547</v>
      </c>
      <c r="Q139" s="2" t="str">
        <f t="shared" si="6"/>
        <v>NR</v>
      </c>
      <c r="R139" s="2" t="e">
        <f t="array" aca="1" ref="R139" ca="1">_xludf.IFS(Q139="ET", "East", Q139="WT", "West", Q139="ST","South", Q139="NR", "North")</f>
        <v>#NAME?</v>
      </c>
      <c r="S139" s="2" t="s">
        <v>79</v>
      </c>
      <c r="T139" s="2" t="str">
        <f t="shared" si="7"/>
        <v>New York</v>
      </c>
      <c r="U139" s="12" t="s">
        <v>39</v>
      </c>
      <c r="V139" s="12">
        <f t="shared" si="8"/>
        <v>0.05</v>
      </c>
      <c r="W139" s="13">
        <f t="shared" si="9"/>
        <v>71723.400000000009</v>
      </c>
      <c r="X139" s="2" t="str">
        <f t="shared" si="10"/>
        <v>Normal</v>
      </c>
    </row>
    <row r="140" spans="1:24" ht="14.25" customHeight="1" x14ac:dyDescent="0.5">
      <c r="A140" s="2" t="s">
        <v>548</v>
      </c>
      <c r="B140" s="2" t="s">
        <v>268</v>
      </c>
      <c r="C140" s="2" t="str">
        <f t="shared" si="0"/>
        <v>John Brown</v>
      </c>
      <c r="D140" s="2" t="s">
        <v>74</v>
      </c>
      <c r="E140" s="2" t="str">
        <f t="shared" si="1"/>
        <v>mike@company.com</v>
      </c>
      <c r="F140" s="2" t="s">
        <v>42</v>
      </c>
      <c r="G140" s="3">
        <v>44707</v>
      </c>
      <c r="H140" s="3" t="str">
        <f t="shared" si="2"/>
        <v>26-May-2022</v>
      </c>
      <c r="I140" s="10" t="s">
        <v>549</v>
      </c>
      <c r="J140" s="10">
        <f t="shared" si="3"/>
        <v>84789</v>
      </c>
      <c r="K140" s="11" t="s">
        <v>36</v>
      </c>
      <c r="L140" s="2" t="s">
        <v>89</v>
      </c>
      <c r="M140" s="2" t="str">
        <f t="shared" si="4"/>
        <v>Active</v>
      </c>
      <c r="N140" s="2" t="s">
        <v>19</v>
      </c>
      <c r="O140" s="2" t="str">
        <f t="shared" si="5"/>
        <v>Urgent Review</v>
      </c>
      <c r="P140" s="2" t="s">
        <v>550</v>
      </c>
      <c r="Q140" s="2" t="str">
        <f t="shared" si="6"/>
        <v>WT</v>
      </c>
      <c r="R140" s="2" t="e">
        <f t="array" aca="1" ref="R140" ca="1">_xludf.IFS(Q140="ET", "East", Q140="WT", "West", Q140="ST","South", Q140="NR", "North")</f>
        <v>#NAME?</v>
      </c>
      <c r="S140" s="2" t="s">
        <v>21</v>
      </c>
      <c r="T140" s="2" t="str">
        <f t="shared" si="7"/>
        <v>Sao Paulo</v>
      </c>
      <c r="U140" s="12" t="s">
        <v>22</v>
      </c>
      <c r="V140" s="12">
        <f t="shared" si="8"/>
        <v>0.2</v>
      </c>
      <c r="W140" s="13">
        <f t="shared" si="9"/>
        <v>101746.8</v>
      </c>
      <c r="X140" s="2" t="str">
        <f t="shared" si="10"/>
        <v>High</v>
      </c>
    </row>
    <row r="141" spans="1:24" ht="14.25" customHeight="1" x14ac:dyDescent="0.5">
      <c r="A141" s="2" t="s">
        <v>551</v>
      </c>
      <c r="B141" s="2" t="s">
        <v>405</v>
      </c>
      <c r="C141" s="2" t="str">
        <f t="shared" si="0"/>
        <v>Daniel Wilson</v>
      </c>
      <c r="D141" s="2" t="s">
        <v>125</v>
      </c>
      <c r="E141" s="2" t="str">
        <f t="shared" si="1"/>
        <v>sarah@company.com</v>
      </c>
      <c r="F141" s="2" t="s">
        <v>50</v>
      </c>
      <c r="G141" s="3">
        <v>44089</v>
      </c>
      <c r="H141" s="3" t="str">
        <f t="shared" si="2"/>
        <v>15-Sep-2020</v>
      </c>
      <c r="I141" s="10" t="s">
        <v>552</v>
      </c>
      <c r="J141" s="10">
        <f t="shared" si="3"/>
        <v>95690</v>
      </c>
      <c r="K141" s="11" t="s">
        <v>57</v>
      </c>
      <c r="L141" s="2" t="s">
        <v>64</v>
      </c>
      <c r="M141" s="2" t="str">
        <f t="shared" si="4"/>
        <v>Terminated</v>
      </c>
      <c r="N141" s="2" t="s">
        <v>77</v>
      </c>
      <c r="O141" s="2" t="str">
        <f t="shared" si="5"/>
        <v>All Clear</v>
      </c>
      <c r="P141" s="2" t="s">
        <v>553</v>
      </c>
      <c r="Q141" s="2" t="str">
        <f t="shared" si="6"/>
        <v>WT</v>
      </c>
      <c r="R141" s="2" t="e">
        <f t="array" aca="1" ref="R141" ca="1">_xludf.IFS(Q141="ET", "East", Q141="WT", "West", Q141="ST","South", Q141="NR", "North")</f>
        <v>#NAME?</v>
      </c>
      <c r="S141" s="2" t="s">
        <v>38</v>
      </c>
      <c r="T141" s="2" t="str">
        <f t="shared" si="7"/>
        <v>London</v>
      </c>
      <c r="U141" s="12" t="s">
        <v>39</v>
      </c>
      <c r="V141" s="12">
        <f t="shared" si="8"/>
        <v>0.05</v>
      </c>
      <c r="W141" s="13">
        <f t="shared" si="9"/>
        <v>100474.5</v>
      </c>
      <c r="X141" s="2" t="str">
        <f t="shared" si="10"/>
        <v>High</v>
      </c>
    </row>
    <row r="142" spans="1:24" ht="14.25" customHeight="1" x14ac:dyDescent="0.5">
      <c r="A142" s="2" t="s">
        <v>554</v>
      </c>
      <c r="B142" s="2" t="s">
        <v>555</v>
      </c>
      <c r="C142" s="2" t="str">
        <f t="shared" si="0"/>
        <v>Daniel Miller</v>
      </c>
      <c r="D142" s="2" t="s">
        <v>14</v>
      </c>
      <c r="E142" s="2" t="str">
        <f t="shared" si="1"/>
        <v>john@company.com</v>
      </c>
      <c r="F142" s="2" t="s">
        <v>75</v>
      </c>
      <c r="G142" s="3">
        <v>44113</v>
      </c>
      <c r="H142" s="3" t="str">
        <f t="shared" si="2"/>
        <v>09-Oct-2020</v>
      </c>
      <c r="I142" s="10" t="s">
        <v>556</v>
      </c>
      <c r="J142" s="10">
        <f t="shared" si="3"/>
        <v>66086</v>
      </c>
      <c r="K142" s="11" t="s">
        <v>17</v>
      </c>
      <c r="L142" s="2" t="s">
        <v>27</v>
      </c>
      <c r="M142" s="2" t="str">
        <f t="shared" si="4"/>
        <v>On Leave</v>
      </c>
      <c r="N142" s="2" t="s">
        <v>107</v>
      </c>
      <c r="O142" s="2" t="str">
        <f t="shared" si="5"/>
        <v>All Clear</v>
      </c>
      <c r="P142" s="2" t="s">
        <v>557</v>
      </c>
      <c r="Q142" s="2" t="str">
        <f t="shared" si="6"/>
        <v>ET</v>
      </c>
      <c r="R142" s="2" t="e">
        <f t="array" aca="1" ref="R142" ca="1">_xludf.IFS(Q142="ET", "East", Q142="WT", "West", Q142="ST","South", Q142="NR", "North")</f>
        <v>#NAME?</v>
      </c>
      <c r="S142" s="2" t="s">
        <v>47</v>
      </c>
      <c r="T142" s="2" t="str">
        <f t="shared" si="7"/>
        <v>Lagos</v>
      </c>
      <c r="U142" s="12" t="s">
        <v>22</v>
      </c>
      <c r="V142" s="12">
        <f t="shared" si="8"/>
        <v>0.2</v>
      </c>
      <c r="W142" s="13">
        <f t="shared" si="9"/>
        <v>79303.199999999997</v>
      </c>
      <c r="X142" s="2" t="str">
        <f t="shared" si="10"/>
        <v>Normal</v>
      </c>
    </row>
    <row r="143" spans="1:24" ht="14.25" customHeight="1" x14ac:dyDescent="0.5">
      <c r="A143" s="2" t="s">
        <v>558</v>
      </c>
      <c r="B143" s="2" t="s">
        <v>264</v>
      </c>
      <c r="C143" s="2" t="str">
        <f t="shared" si="0"/>
        <v>Daniel Brown</v>
      </c>
      <c r="D143" s="2" t="s">
        <v>125</v>
      </c>
      <c r="E143" s="2" t="str">
        <f t="shared" si="1"/>
        <v>sarah@company.com</v>
      </c>
      <c r="F143" s="2" t="s">
        <v>42</v>
      </c>
      <c r="G143" s="3">
        <v>43870</v>
      </c>
      <c r="H143" s="3" t="str">
        <f t="shared" si="2"/>
        <v>09-Feb-2020</v>
      </c>
      <c r="I143" s="10" t="s">
        <v>559</v>
      </c>
      <c r="J143" s="10">
        <f t="shared" si="3"/>
        <v>56859</v>
      </c>
      <c r="K143" s="11" t="s">
        <v>36</v>
      </c>
      <c r="L143" s="2" t="s">
        <v>45</v>
      </c>
      <c r="M143" s="2" t="str">
        <f t="shared" si="4"/>
        <v>Active</v>
      </c>
      <c r="N143" s="2" t="s">
        <v>28</v>
      </c>
      <c r="O143" s="2" t="str">
        <f t="shared" si="5"/>
        <v>Pending Docs</v>
      </c>
      <c r="P143" s="2" t="s">
        <v>560</v>
      </c>
      <c r="Q143" s="2" t="str">
        <f t="shared" si="6"/>
        <v>WT</v>
      </c>
      <c r="R143" s="2" t="e">
        <f t="array" aca="1" ref="R143" ca="1">_xludf.IFS(Q143="ET", "East", Q143="WT", "West", Q143="ST","South", Q143="NR", "North")</f>
        <v>#NAME?</v>
      </c>
      <c r="S143" s="2" t="s">
        <v>53</v>
      </c>
      <c r="T143" s="2" t="str">
        <f t="shared" si="7"/>
        <v>Delhi</v>
      </c>
      <c r="U143" s="12" t="s">
        <v>85</v>
      </c>
      <c r="V143" s="12">
        <f t="shared" si="8"/>
        <v>0.15</v>
      </c>
      <c r="W143" s="13">
        <f t="shared" si="9"/>
        <v>65387.85</v>
      </c>
      <c r="X143" s="2" t="str">
        <f t="shared" si="10"/>
        <v>Normal</v>
      </c>
    </row>
    <row r="144" spans="1:24" ht="14.25" customHeight="1" x14ac:dyDescent="0.5">
      <c r="A144" s="2" t="s">
        <v>561</v>
      </c>
      <c r="B144" s="2" t="s">
        <v>343</v>
      </c>
      <c r="C144" s="2" t="str">
        <f t="shared" si="0"/>
        <v>Daniel Moore</v>
      </c>
      <c r="D144" s="2" t="s">
        <v>49</v>
      </c>
      <c r="E144" s="2" t="str">
        <f t="shared" si="1"/>
        <v>emily@company.com</v>
      </c>
      <c r="F144" s="2" t="s">
        <v>75</v>
      </c>
      <c r="G144" s="3">
        <v>44316</v>
      </c>
      <c r="H144" s="3" t="str">
        <f t="shared" si="2"/>
        <v>30-Apr-2021</v>
      </c>
      <c r="I144" s="10" t="s">
        <v>562</v>
      </c>
      <c r="J144" s="10">
        <f t="shared" si="3"/>
        <v>47684</v>
      </c>
      <c r="K144" s="11" t="s">
        <v>36</v>
      </c>
      <c r="L144" s="2" t="s">
        <v>89</v>
      </c>
      <c r="M144" s="2" t="str">
        <f t="shared" si="4"/>
        <v>Active</v>
      </c>
      <c r="N144" s="2" t="s">
        <v>107</v>
      </c>
      <c r="O144" s="2" t="str">
        <f t="shared" si="5"/>
        <v>All Clear</v>
      </c>
      <c r="P144" s="2" t="s">
        <v>563</v>
      </c>
      <c r="Q144" s="2" t="str">
        <f t="shared" si="6"/>
        <v>ST</v>
      </c>
      <c r="R144" s="2" t="e">
        <f t="array" aca="1" ref="R144" ca="1">_xludf.IFS(Q144="ET", "East", Q144="WT", "West", Q144="ST","South", Q144="NR", "North")</f>
        <v>#NAME?</v>
      </c>
      <c r="S144" s="2" t="s">
        <v>60</v>
      </c>
      <c r="T144" s="2" t="str">
        <f t="shared" si="7"/>
        <v>Toronto</v>
      </c>
      <c r="U144" s="12" t="s">
        <v>30</v>
      </c>
      <c r="V144" s="12">
        <f t="shared" si="8"/>
        <v>0.1</v>
      </c>
      <c r="W144" s="13">
        <f t="shared" si="9"/>
        <v>52452.4</v>
      </c>
      <c r="X144" s="2" t="str">
        <f t="shared" si="10"/>
        <v>Normal</v>
      </c>
    </row>
    <row r="145" spans="1:24" ht="14.25" customHeight="1" x14ac:dyDescent="0.5">
      <c r="A145" s="2" t="s">
        <v>564</v>
      </c>
      <c r="B145" s="2" t="s">
        <v>198</v>
      </c>
      <c r="C145" s="2" t="str">
        <f t="shared" si="0"/>
        <v>Jane Davis</v>
      </c>
      <c r="D145" s="2" t="s">
        <v>105</v>
      </c>
      <c r="E145" s="2" t="str">
        <f t="shared" si="1"/>
        <v>sam@company.com</v>
      </c>
      <c r="F145" s="2" t="s">
        <v>100</v>
      </c>
      <c r="G145" s="3">
        <v>44759</v>
      </c>
      <c r="H145" s="3" t="str">
        <f t="shared" si="2"/>
        <v>17-Jul-2022</v>
      </c>
      <c r="I145" s="10" t="s">
        <v>565</v>
      </c>
      <c r="J145" s="10">
        <f t="shared" si="3"/>
        <v>41207</v>
      </c>
      <c r="K145" s="11" t="s">
        <v>57</v>
      </c>
      <c r="L145" s="2" t="s">
        <v>45</v>
      </c>
      <c r="M145" s="2" t="str">
        <f t="shared" si="4"/>
        <v>Active</v>
      </c>
      <c r="N145" s="2" t="s">
        <v>77</v>
      </c>
      <c r="O145" s="2" t="str">
        <f t="shared" si="5"/>
        <v>All Clear</v>
      </c>
      <c r="P145" s="2" t="s">
        <v>566</v>
      </c>
      <c r="Q145" s="2" t="str">
        <f t="shared" si="6"/>
        <v>ST</v>
      </c>
      <c r="R145" s="2" t="e">
        <f t="array" aca="1" ref="R145" ca="1">_xludf.IFS(Q145="ET", "East", Q145="WT", "West", Q145="ST","South", Q145="NR", "North")</f>
        <v>#NAME?</v>
      </c>
      <c r="S145" s="2" t="s">
        <v>60</v>
      </c>
      <c r="T145" s="2" t="str">
        <f t="shared" si="7"/>
        <v>Toronto</v>
      </c>
      <c r="U145" s="12" t="s">
        <v>85</v>
      </c>
      <c r="V145" s="12">
        <f t="shared" si="8"/>
        <v>0.15</v>
      </c>
      <c r="W145" s="13">
        <f t="shared" si="9"/>
        <v>47388.049999999996</v>
      </c>
      <c r="X145" s="2" t="str">
        <f t="shared" si="10"/>
        <v>Normal</v>
      </c>
    </row>
    <row r="146" spans="1:24" ht="14.25" customHeight="1" x14ac:dyDescent="0.5">
      <c r="A146" s="2" t="s">
        <v>567</v>
      </c>
      <c r="B146" s="2" t="s">
        <v>329</v>
      </c>
      <c r="C146" s="2" t="str">
        <f t="shared" si="0"/>
        <v>John Smith</v>
      </c>
      <c r="D146" s="2" t="s">
        <v>105</v>
      </c>
      <c r="E146" s="2" t="str">
        <f t="shared" si="1"/>
        <v>sam@company.com</v>
      </c>
      <c r="F146" s="2" t="s">
        <v>50</v>
      </c>
      <c r="G146" s="3">
        <v>44050</v>
      </c>
      <c r="H146" s="3" t="str">
        <f t="shared" si="2"/>
        <v>07-Aug-2020</v>
      </c>
      <c r="I146" s="10" t="s">
        <v>568</v>
      </c>
      <c r="J146" s="10">
        <f t="shared" si="3"/>
        <v>86099</v>
      </c>
      <c r="K146" s="11" t="s">
        <v>17</v>
      </c>
      <c r="L146" s="2" t="s">
        <v>112</v>
      </c>
      <c r="M146" s="2" t="str">
        <f t="shared" si="4"/>
        <v>On Leave</v>
      </c>
      <c r="N146" s="2" t="s">
        <v>28</v>
      </c>
      <c r="O146" s="2" t="str">
        <f t="shared" si="5"/>
        <v>Pending Docs</v>
      </c>
      <c r="P146" s="2" t="s">
        <v>569</v>
      </c>
      <c r="Q146" s="2" t="str">
        <f t="shared" si="6"/>
        <v>NR</v>
      </c>
      <c r="R146" s="2" t="e">
        <f t="array" aca="1" ref="R146" ca="1">_xludf.IFS(Q146="ET", "East", Q146="WT", "West", Q146="ST","South", Q146="NR", "North")</f>
        <v>#NAME?</v>
      </c>
      <c r="S146" s="2" t="s">
        <v>159</v>
      </c>
      <c r="T146" s="2" t="str">
        <f t="shared" si="7"/>
        <v>Berlin</v>
      </c>
      <c r="U146" s="12" t="s">
        <v>39</v>
      </c>
      <c r="V146" s="12">
        <f t="shared" si="8"/>
        <v>0.05</v>
      </c>
      <c r="W146" s="13">
        <f t="shared" si="9"/>
        <v>90403.95</v>
      </c>
      <c r="X146" s="2" t="str">
        <f t="shared" si="10"/>
        <v>Normal</v>
      </c>
    </row>
    <row r="147" spans="1:24" ht="14.25" customHeight="1" x14ac:dyDescent="0.5">
      <c r="A147" s="2" t="s">
        <v>570</v>
      </c>
      <c r="B147" s="2" t="s">
        <v>119</v>
      </c>
      <c r="C147" s="2" t="str">
        <f t="shared" si="0"/>
        <v>Emily Brown</v>
      </c>
      <c r="D147" s="2" t="s">
        <v>33</v>
      </c>
      <c r="E147" s="2" t="str">
        <f t="shared" si="1"/>
        <v>alex@company.com</v>
      </c>
      <c r="F147" s="2" t="s">
        <v>69</v>
      </c>
      <c r="G147" s="3">
        <v>44983</v>
      </c>
      <c r="H147" s="3" t="str">
        <f t="shared" si="2"/>
        <v>26-Feb-2023</v>
      </c>
      <c r="I147" s="10" t="s">
        <v>571</v>
      </c>
      <c r="J147" s="10">
        <f t="shared" si="3"/>
        <v>107496</v>
      </c>
      <c r="K147" s="11" t="s">
        <v>57</v>
      </c>
      <c r="L147" s="2" t="s">
        <v>89</v>
      </c>
      <c r="M147" s="2" t="str">
        <f t="shared" si="4"/>
        <v>Active</v>
      </c>
      <c r="O147" s="2" t="str">
        <f t="shared" si="5"/>
        <v>No Notes</v>
      </c>
      <c r="P147" s="2" t="s">
        <v>572</v>
      </c>
      <c r="Q147" s="2" t="str">
        <f t="shared" si="6"/>
        <v>NR</v>
      </c>
      <c r="R147" s="2" t="e">
        <f t="array" aca="1" ref="R147" ca="1">_xludf.IFS(Q147="ET", "East", Q147="WT", "West", Q147="ST","South", Q147="NR", "North")</f>
        <v>#NAME?</v>
      </c>
      <c r="S147" s="2" t="s">
        <v>96</v>
      </c>
      <c r="T147" s="2" t="str">
        <f t="shared" si="7"/>
        <v>Cairo</v>
      </c>
      <c r="U147" s="12" t="s">
        <v>85</v>
      </c>
      <c r="V147" s="12">
        <f t="shared" si="8"/>
        <v>0.15</v>
      </c>
      <c r="W147" s="13">
        <f t="shared" si="9"/>
        <v>123620.4</v>
      </c>
      <c r="X147" s="2" t="str">
        <f t="shared" si="10"/>
        <v>High</v>
      </c>
    </row>
    <row r="148" spans="1:24" ht="14.25" customHeight="1" x14ac:dyDescent="0.5">
      <c r="A148" s="2" t="s">
        <v>573</v>
      </c>
      <c r="B148" s="2" t="s">
        <v>437</v>
      </c>
      <c r="C148" s="2" t="str">
        <f t="shared" si="0"/>
        <v>Alex Brown</v>
      </c>
      <c r="D148" s="2" t="s">
        <v>235</v>
      </c>
      <c r="E148" s="2" t="str">
        <f t="shared" si="1"/>
        <v>jane@company.com</v>
      </c>
      <c r="F148" s="2" t="s">
        <v>75</v>
      </c>
      <c r="G148" s="3">
        <v>44845</v>
      </c>
      <c r="H148" s="3" t="str">
        <f t="shared" si="2"/>
        <v>11-Oct-2022</v>
      </c>
      <c r="I148" s="10" t="s">
        <v>574</v>
      </c>
      <c r="J148" s="10">
        <f t="shared" si="3"/>
        <v>106093</v>
      </c>
      <c r="K148" s="11" t="s">
        <v>17</v>
      </c>
      <c r="L148" s="2" t="s">
        <v>58</v>
      </c>
      <c r="M148" s="2" t="str">
        <f t="shared" si="4"/>
        <v>Terminated</v>
      </c>
      <c r="N148" s="2" t="s">
        <v>107</v>
      </c>
      <c r="O148" s="2" t="str">
        <f t="shared" si="5"/>
        <v>All Clear</v>
      </c>
      <c r="P148" s="2" t="s">
        <v>575</v>
      </c>
      <c r="Q148" s="2" t="str">
        <f t="shared" si="6"/>
        <v>WT</v>
      </c>
      <c r="R148" s="2" t="e">
        <f t="array" aca="1" ref="R148" ca="1">_xludf.IFS(Q148="ET", "East", Q148="WT", "West", Q148="ST","South", Q148="NR", "North")</f>
        <v>#NAME?</v>
      </c>
      <c r="S148" s="2" t="s">
        <v>21</v>
      </c>
      <c r="T148" s="2" t="str">
        <f t="shared" si="7"/>
        <v>Sao Paulo</v>
      </c>
      <c r="U148" s="12" t="s">
        <v>30</v>
      </c>
      <c r="V148" s="12">
        <f t="shared" si="8"/>
        <v>0.1</v>
      </c>
      <c r="W148" s="13">
        <f t="shared" si="9"/>
        <v>116702.3</v>
      </c>
      <c r="X148" s="2" t="str">
        <f t="shared" si="10"/>
        <v>High</v>
      </c>
    </row>
    <row r="149" spans="1:24" ht="14.25" customHeight="1" x14ac:dyDescent="0.5">
      <c r="A149" s="2" t="s">
        <v>576</v>
      </c>
      <c r="B149" s="2" t="s">
        <v>329</v>
      </c>
      <c r="C149" s="2" t="str">
        <f t="shared" si="0"/>
        <v>John Smith</v>
      </c>
      <c r="D149" s="2" t="s">
        <v>235</v>
      </c>
      <c r="E149" s="2" t="str">
        <f t="shared" si="1"/>
        <v>jane@company.com</v>
      </c>
      <c r="F149" s="2" t="s">
        <v>100</v>
      </c>
      <c r="G149" s="3">
        <v>44854</v>
      </c>
      <c r="H149" s="3" t="str">
        <f t="shared" si="2"/>
        <v>20-Oct-2022</v>
      </c>
      <c r="I149" s="10" t="s">
        <v>577</v>
      </c>
      <c r="J149" s="10">
        <f t="shared" si="3"/>
        <v>69689</v>
      </c>
      <c r="K149" s="11" t="s">
        <v>57</v>
      </c>
      <c r="L149" s="2" t="s">
        <v>121</v>
      </c>
      <c r="M149" s="2" t="str">
        <f t="shared" si="4"/>
        <v>On Leave</v>
      </c>
      <c r="N149" s="2" t="s">
        <v>107</v>
      </c>
      <c r="O149" s="2" t="str">
        <f t="shared" si="5"/>
        <v>All Clear</v>
      </c>
      <c r="P149" s="2" t="s">
        <v>578</v>
      </c>
      <c r="Q149" s="2" t="str">
        <f t="shared" si="6"/>
        <v>ET</v>
      </c>
      <c r="R149" s="2" t="e">
        <f t="array" aca="1" ref="R149" ca="1">_xludf.IFS(Q149="ET", "East", Q149="WT", "West", Q149="ST","South", Q149="NR", "North")</f>
        <v>#NAME?</v>
      </c>
      <c r="S149" s="2" t="s">
        <v>96</v>
      </c>
      <c r="T149" s="2" t="str">
        <f t="shared" si="7"/>
        <v>Cairo</v>
      </c>
      <c r="U149" s="12" t="s">
        <v>85</v>
      </c>
      <c r="V149" s="12">
        <f t="shared" si="8"/>
        <v>0.15</v>
      </c>
      <c r="W149" s="13">
        <f t="shared" si="9"/>
        <v>80142.349999999991</v>
      </c>
      <c r="X149" s="2" t="str">
        <f t="shared" si="10"/>
        <v>Normal</v>
      </c>
    </row>
    <row r="150" spans="1:24" ht="14.25" customHeight="1" x14ac:dyDescent="0.5">
      <c r="A150" s="2" t="s">
        <v>579</v>
      </c>
      <c r="B150" s="2" t="s">
        <v>580</v>
      </c>
      <c r="C150" s="2" t="str">
        <f t="shared" si="0"/>
        <v>Emily Miller</v>
      </c>
      <c r="D150" s="2" t="s">
        <v>14</v>
      </c>
      <c r="E150" s="2" t="str">
        <f t="shared" si="1"/>
        <v>john@company.com</v>
      </c>
      <c r="F150" s="2" t="s">
        <v>69</v>
      </c>
      <c r="G150" s="3">
        <v>44443</v>
      </c>
      <c r="H150" s="3" t="str">
        <f t="shared" si="2"/>
        <v>04-Sep-2021</v>
      </c>
      <c r="I150" s="10" t="s">
        <v>581</v>
      </c>
      <c r="J150" s="10">
        <f t="shared" si="3"/>
        <v>88651</v>
      </c>
      <c r="K150" s="11" t="s">
        <v>36</v>
      </c>
      <c r="L150" s="2" t="s">
        <v>89</v>
      </c>
      <c r="M150" s="2" t="str">
        <f t="shared" si="4"/>
        <v>Active</v>
      </c>
      <c r="N150" s="2" t="s">
        <v>77</v>
      </c>
      <c r="O150" s="2" t="str">
        <f t="shared" si="5"/>
        <v>All Clear</v>
      </c>
      <c r="P150" s="2" t="s">
        <v>582</v>
      </c>
      <c r="Q150" s="2" t="str">
        <f t="shared" si="6"/>
        <v>WT</v>
      </c>
      <c r="R150" s="2" t="e">
        <f t="array" aca="1" ref="R150" ca="1">_xludf.IFS(Q150="ET", "East", Q150="WT", "West", Q150="ST","South", Q150="NR", "North")</f>
        <v>#NAME?</v>
      </c>
      <c r="S150" s="2" t="s">
        <v>96</v>
      </c>
      <c r="T150" s="2" t="str">
        <f t="shared" si="7"/>
        <v>Cairo</v>
      </c>
      <c r="U150" s="12" t="s">
        <v>39</v>
      </c>
      <c r="V150" s="12">
        <f t="shared" si="8"/>
        <v>0.05</v>
      </c>
      <c r="W150" s="13">
        <f t="shared" si="9"/>
        <v>93083.55</v>
      </c>
      <c r="X150" s="2" t="str">
        <f t="shared" si="10"/>
        <v>Normal</v>
      </c>
    </row>
    <row r="151" spans="1:24" ht="14.25" customHeight="1" x14ac:dyDescent="0.5">
      <c r="A151" s="2" t="s">
        <v>583</v>
      </c>
      <c r="B151" s="2" t="s">
        <v>584</v>
      </c>
      <c r="C151" s="2" t="str">
        <f t="shared" si="0"/>
        <v>Sam Clark</v>
      </c>
      <c r="D151" s="2" t="s">
        <v>49</v>
      </c>
      <c r="E151" s="2" t="str">
        <f t="shared" si="1"/>
        <v>emily@company.com</v>
      </c>
      <c r="F151" s="2" t="s">
        <v>69</v>
      </c>
      <c r="G151" s="3">
        <v>44758</v>
      </c>
      <c r="H151" s="3" t="str">
        <f t="shared" si="2"/>
        <v>16-Jul-2022</v>
      </c>
      <c r="I151" s="10" t="s">
        <v>585</v>
      </c>
      <c r="J151" s="10">
        <f t="shared" si="3"/>
        <v>53893</v>
      </c>
      <c r="K151" s="11" t="s">
        <v>36</v>
      </c>
      <c r="L151" s="2" t="s">
        <v>64</v>
      </c>
      <c r="M151" s="2" t="str">
        <f t="shared" si="4"/>
        <v>Terminated</v>
      </c>
      <c r="N151" s="2" t="s">
        <v>65</v>
      </c>
      <c r="O151" s="2" t="str">
        <f t="shared" si="5"/>
        <v>Follow Up</v>
      </c>
      <c r="P151" s="2" t="s">
        <v>586</v>
      </c>
      <c r="Q151" s="2" t="str">
        <f t="shared" si="6"/>
        <v>WT</v>
      </c>
      <c r="R151" s="2" t="e">
        <f t="array" aca="1" ref="R151" ca="1">_xludf.IFS(Q151="ET", "East", Q151="WT", "West", Q151="ST","South", Q151="NR", "North")</f>
        <v>#NAME?</v>
      </c>
      <c r="S151" s="2" t="s">
        <v>60</v>
      </c>
      <c r="T151" s="2" t="str">
        <f t="shared" si="7"/>
        <v>Toronto</v>
      </c>
      <c r="U151" s="12" t="s">
        <v>39</v>
      </c>
      <c r="V151" s="12">
        <f t="shared" si="8"/>
        <v>0.05</v>
      </c>
      <c r="W151" s="13">
        <f t="shared" si="9"/>
        <v>56587.65</v>
      </c>
      <c r="X151" s="2" t="str">
        <f t="shared" si="10"/>
        <v>Normal</v>
      </c>
    </row>
    <row r="152" spans="1:24" ht="14.25" customHeight="1" x14ac:dyDescent="0.5">
      <c r="A152" s="2" t="s">
        <v>587</v>
      </c>
      <c r="B152" s="2" t="s">
        <v>588</v>
      </c>
      <c r="C152" s="2" t="str">
        <f t="shared" si="0"/>
        <v>Emily Moore</v>
      </c>
      <c r="D152" s="2" t="s">
        <v>33</v>
      </c>
      <c r="E152" s="2" t="str">
        <f t="shared" si="1"/>
        <v>alex@company.com</v>
      </c>
      <c r="F152" s="2" t="s">
        <v>34</v>
      </c>
      <c r="G152" s="3">
        <v>44518</v>
      </c>
      <c r="H152" s="3" t="str">
        <f t="shared" si="2"/>
        <v>18-Nov-2021</v>
      </c>
      <c r="I152" s="10" t="s">
        <v>589</v>
      </c>
      <c r="J152" s="10">
        <f t="shared" si="3"/>
        <v>106418</v>
      </c>
      <c r="K152" s="11" t="s">
        <v>83</v>
      </c>
      <c r="L152" s="2" t="s">
        <v>89</v>
      </c>
      <c r="M152" s="2" t="str">
        <f t="shared" si="4"/>
        <v>Active</v>
      </c>
      <c r="N152" s="2" t="s">
        <v>77</v>
      </c>
      <c r="O152" s="2" t="str">
        <f t="shared" si="5"/>
        <v>All Clear</v>
      </c>
      <c r="P152" s="2" t="s">
        <v>590</v>
      </c>
      <c r="Q152" s="2" t="str">
        <f t="shared" si="6"/>
        <v>WT</v>
      </c>
      <c r="R152" s="2" t="e">
        <f t="array" aca="1" ref="R152" ca="1">_xludf.IFS(Q152="ET", "East", Q152="WT", "West", Q152="ST","South", Q152="NR", "North")</f>
        <v>#NAME?</v>
      </c>
      <c r="S152" s="2" t="s">
        <v>53</v>
      </c>
      <c r="T152" s="2" t="str">
        <f t="shared" si="7"/>
        <v>Delhi</v>
      </c>
      <c r="U152" s="12" t="s">
        <v>85</v>
      </c>
      <c r="V152" s="12">
        <f t="shared" si="8"/>
        <v>0.15</v>
      </c>
      <c r="W152" s="13">
        <f t="shared" si="9"/>
        <v>122380.7</v>
      </c>
      <c r="X152" s="2" t="str">
        <f t="shared" si="10"/>
        <v>High</v>
      </c>
    </row>
    <row r="153" spans="1:24" ht="14.25" customHeight="1" x14ac:dyDescent="0.5">
      <c r="A153" s="2" t="s">
        <v>591</v>
      </c>
      <c r="B153" s="2" t="s">
        <v>275</v>
      </c>
      <c r="C153" s="2" t="str">
        <f t="shared" si="0"/>
        <v>John Davis</v>
      </c>
      <c r="D153" s="2" t="s">
        <v>74</v>
      </c>
      <c r="E153" s="2" t="str">
        <f t="shared" si="1"/>
        <v>mike@company.com</v>
      </c>
      <c r="F153" s="2" t="s">
        <v>75</v>
      </c>
      <c r="G153" s="3">
        <v>44443</v>
      </c>
      <c r="H153" s="3" t="str">
        <f t="shared" si="2"/>
        <v>04-Sep-2021</v>
      </c>
      <c r="I153" s="10" t="s">
        <v>592</v>
      </c>
      <c r="J153" s="10">
        <f t="shared" si="3"/>
        <v>100011</v>
      </c>
      <c r="K153" s="11" t="s">
        <v>44</v>
      </c>
      <c r="L153" s="2" t="s">
        <v>18</v>
      </c>
      <c r="M153" s="2" t="str">
        <f t="shared" si="4"/>
        <v>Active</v>
      </c>
      <c r="N153" s="2" t="s">
        <v>107</v>
      </c>
      <c r="O153" s="2" t="str">
        <f t="shared" si="5"/>
        <v>All Clear</v>
      </c>
      <c r="P153" s="2" t="s">
        <v>593</v>
      </c>
      <c r="Q153" s="2" t="str">
        <f t="shared" si="6"/>
        <v>WT</v>
      </c>
      <c r="R153" s="2" t="e">
        <f t="array" aca="1" ref="R153" ca="1">_xludf.IFS(Q153="ET", "East", Q153="WT", "West", Q153="ST","South", Q153="NR", "North")</f>
        <v>#NAME?</v>
      </c>
      <c r="S153" s="2" t="s">
        <v>53</v>
      </c>
      <c r="T153" s="2" t="str">
        <f t="shared" si="7"/>
        <v>Delhi</v>
      </c>
      <c r="U153" s="12" t="s">
        <v>30</v>
      </c>
      <c r="V153" s="12">
        <f t="shared" si="8"/>
        <v>0.1</v>
      </c>
      <c r="W153" s="13">
        <f t="shared" si="9"/>
        <v>110012.1</v>
      </c>
      <c r="X153" s="2" t="str">
        <f t="shared" si="10"/>
        <v>High</v>
      </c>
    </row>
    <row r="154" spans="1:24" ht="14.25" customHeight="1" x14ac:dyDescent="0.5">
      <c r="A154" s="2" t="s">
        <v>594</v>
      </c>
      <c r="B154" s="2" t="s">
        <v>156</v>
      </c>
      <c r="C154" s="2" t="str">
        <f t="shared" si="0"/>
        <v>Sam Smith</v>
      </c>
      <c r="D154" s="2" t="s">
        <v>235</v>
      </c>
      <c r="E154" s="2" t="str">
        <f t="shared" si="1"/>
        <v>jane@company.com</v>
      </c>
      <c r="F154" s="2" t="s">
        <v>42</v>
      </c>
      <c r="G154" s="3">
        <v>44090</v>
      </c>
      <c r="H154" s="3" t="str">
        <f t="shared" si="2"/>
        <v>16-Sep-2020</v>
      </c>
      <c r="I154" s="10" t="s">
        <v>595</v>
      </c>
      <c r="J154" s="10">
        <f t="shared" si="3"/>
        <v>78635</v>
      </c>
      <c r="K154" s="11" t="s">
        <v>57</v>
      </c>
      <c r="L154" s="2" t="s">
        <v>121</v>
      </c>
      <c r="M154" s="2" t="str">
        <f t="shared" si="4"/>
        <v>On Leave</v>
      </c>
      <c r="N154" s="2" t="s">
        <v>28</v>
      </c>
      <c r="O154" s="2" t="str">
        <f t="shared" si="5"/>
        <v>Pending Docs</v>
      </c>
      <c r="P154" s="2" t="s">
        <v>596</v>
      </c>
      <c r="Q154" s="2" t="str">
        <f t="shared" si="6"/>
        <v>ST</v>
      </c>
      <c r="R154" s="2" t="e">
        <f t="array" aca="1" ref="R154" ca="1">_xludf.IFS(Q154="ET", "East", Q154="WT", "West", Q154="ST","South", Q154="NR", "North")</f>
        <v>#NAME?</v>
      </c>
      <c r="S154" s="2" t="s">
        <v>159</v>
      </c>
      <c r="T154" s="2" t="str">
        <f t="shared" si="7"/>
        <v>Berlin</v>
      </c>
      <c r="U154" s="12" t="s">
        <v>85</v>
      </c>
      <c r="V154" s="12">
        <f t="shared" si="8"/>
        <v>0.15</v>
      </c>
      <c r="W154" s="13">
        <f t="shared" si="9"/>
        <v>90430.25</v>
      </c>
      <c r="X154" s="2" t="str">
        <f t="shared" si="10"/>
        <v>Normal</v>
      </c>
    </row>
    <row r="155" spans="1:24" ht="14.25" customHeight="1" x14ac:dyDescent="0.5">
      <c r="A155" s="2" t="s">
        <v>597</v>
      </c>
      <c r="B155" s="2" t="s">
        <v>297</v>
      </c>
      <c r="C155" s="2" t="str">
        <f t="shared" si="0"/>
        <v>Alex Davis</v>
      </c>
      <c r="D155" s="2" t="s">
        <v>105</v>
      </c>
      <c r="E155" s="2" t="str">
        <f t="shared" si="1"/>
        <v>sam@company.com</v>
      </c>
      <c r="F155" s="2" t="s">
        <v>75</v>
      </c>
      <c r="G155" s="3">
        <v>44820</v>
      </c>
      <c r="H155" s="3" t="str">
        <f t="shared" si="2"/>
        <v>16-Sep-2022</v>
      </c>
      <c r="I155" s="10" t="s">
        <v>598</v>
      </c>
      <c r="J155" s="10">
        <f t="shared" si="3"/>
        <v>96115</v>
      </c>
      <c r="K155" s="11" t="s">
        <v>83</v>
      </c>
      <c r="L155" s="2" t="s">
        <v>18</v>
      </c>
      <c r="M155" s="2" t="str">
        <f t="shared" si="4"/>
        <v>Active</v>
      </c>
      <c r="N155" s="2" t="s">
        <v>65</v>
      </c>
      <c r="O155" s="2" t="str">
        <f t="shared" si="5"/>
        <v>Follow Up</v>
      </c>
      <c r="P155" s="2" t="s">
        <v>599</v>
      </c>
      <c r="Q155" s="2" t="str">
        <f t="shared" si="6"/>
        <v>ET</v>
      </c>
      <c r="R155" s="2" t="e">
        <f t="array" aca="1" ref="R155" ca="1">_xludf.IFS(Q155="ET", "East", Q155="WT", "West", Q155="ST","South", Q155="NR", "North")</f>
        <v>#NAME?</v>
      </c>
      <c r="S155" s="2" t="s">
        <v>96</v>
      </c>
      <c r="T155" s="2" t="str">
        <f t="shared" si="7"/>
        <v>Cairo</v>
      </c>
      <c r="U155" s="12" t="s">
        <v>30</v>
      </c>
      <c r="V155" s="12">
        <f t="shared" si="8"/>
        <v>0.1</v>
      </c>
      <c r="W155" s="13">
        <f t="shared" si="9"/>
        <v>105726.50000000001</v>
      </c>
      <c r="X155" s="2" t="str">
        <f t="shared" si="10"/>
        <v>High</v>
      </c>
    </row>
    <row r="156" spans="1:24" ht="14.25" customHeight="1" x14ac:dyDescent="0.5">
      <c r="A156" s="2" t="s">
        <v>600</v>
      </c>
      <c r="B156" s="2" t="s">
        <v>601</v>
      </c>
      <c r="C156" s="2" t="str">
        <f t="shared" si="0"/>
        <v>Sarah Smith</v>
      </c>
      <c r="D156" s="2" t="s">
        <v>125</v>
      </c>
      <c r="E156" s="2" t="str">
        <f t="shared" si="1"/>
        <v>sarah@company.com</v>
      </c>
      <c r="F156" s="2" t="s">
        <v>100</v>
      </c>
      <c r="G156" s="3">
        <v>44796</v>
      </c>
      <c r="H156" s="3" t="str">
        <f t="shared" si="2"/>
        <v>23-Aug-2022</v>
      </c>
      <c r="I156" s="10" t="s">
        <v>602</v>
      </c>
      <c r="J156" s="10">
        <f t="shared" si="3"/>
        <v>118405</v>
      </c>
      <c r="K156" s="11" t="s">
        <v>44</v>
      </c>
      <c r="L156" s="2" t="s">
        <v>58</v>
      </c>
      <c r="M156" s="2" t="str">
        <f t="shared" si="4"/>
        <v>Terminated</v>
      </c>
      <c r="N156" s="2" t="s">
        <v>77</v>
      </c>
      <c r="O156" s="2" t="str">
        <f t="shared" si="5"/>
        <v>All Clear</v>
      </c>
      <c r="P156" s="2" t="s">
        <v>603</v>
      </c>
      <c r="Q156" s="2" t="str">
        <f t="shared" si="6"/>
        <v>ST</v>
      </c>
      <c r="R156" s="2" t="e">
        <f t="array" aca="1" ref="R156" ca="1">_xludf.IFS(Q156="ET", "East", Q156="WT", "West", Q156="ST","South", Q156="NR", "North")</f>
        <v>#NAME?</v>
      </c>
      <c r="S156" s="2" t="s">
        <v>96</v>
      </c>
      <c r="T156" s="2" t="str">
        <f t="shared" si="7"/>
        <v>Cairo</v>
      </c>
      <c r="U156" s="12" t="s">
        <v>22</v>
      </c>
      <c r="V156" s="12">
        <f t="shared" si="8"/>
        <v>0.2</v>
      </c>
      <c r="W156" s="13">
        <f t="shared" si="9"/>
        <v>142086</v>
      </c>
      <c r="X156" s="2" t="str">
        <f t="shared" si="10"/>
        <v>High</v>
      </c>
    </row>
    <row r="157" spans="1:24" ht="14.25" customHeight="1" x14ac:dyDescent="0.5">
      <c r="A157" s="2" t="s">
        <v>604</v>
      </c>
      <c r="B157" s="2" t="s">
        <v>398</v>
      </c>
      <c r="C157" s="2" t="str">
        <f t="shared" si="0"/>
        <v>Sam Johnson</v>
      </c>
      <c r="D157" s="2" t="s">
        <v>125</v>
      </c>
      <c r="E157" s="2" t="str">
        <f t="shared" si="1"/>
        <v>sarah@company.com</v>
      </c>
      <c r="F157" s="2" t="s">
        <v>69</v>
      </c>
      <c r="G157" s="3">
        <v>44196</v>
      </c>
      <c r="H157" s="3" t="str">
        <f t="shared" si="2"/>
        <v>31-Dec-2020</v>
      </c>
      <c r="I157" s="10" t="s">
        <v>605</v>
      </c>
      <c r="J157" s="10">
        <f t="shared" si="3"/>
        <v>112702</v>
      </c>
      <c r="K157" s="11" t="s">
        <v>57</v>
      </c>
      <c r="L157" s="2" t="s">
        <v>89</v>
      </c>
      <c r="M157" s="2" t="str">
        <f t="shared" si="4"/>
        <v>Active</v>
      </c>
      <c r="N157" s="2" t="s">
        <v>77</v>
      </c>
      <c r="O157" s="2" t="str">
        <f t="shared" si="5"/>
        <v>All Clear</v>
      </c>
      <c r="P157" s="2" t="s">
        <v>606</v>
      </c>
      <c r="Q157" s="2" t="str">
        <f t="shared" si="6"/>
        <v>ET</v>
      </c>
      <c r="R157" s="2" t="e">
        <f t="array" aca="1" ref="R157" ca="1">_xludf.IFS(Q157="ET", "East", Q157="WT", "West", Q157="ST","South", Q157="NR", "North")</f>
        <v>#NAME?</v>
      </c>
      <c r="S157" s="2" t="s">
        <v>79</v>
      </c>
      <c r="T157" s="2" t="str">
        <f t="shared" si="7"/>
        <v>New York</v>
      </c>
      <c r="U157" s="12" t="s">
        <v>30</v>
      </c>
      <c r="V157" s="12">
        <f t="shared" si="8"/>
        <v>0.1</v>
      </c>
      <c r="W157" s="13">
        <f t="shared" si="9"/>
        <v>123972.20000000001</v>
      </c>
      <c r="X157" s="2" t="str">
        <f t="shared" si="10"/>
        <v>High</v>
      </c>
    </row>
    <row r="158" spans="1:24" ht="14.25" customHeight="1" x14ac:dyDescent="0.5">
      <c r="A158" s="2" t="s">
        <v>607</v>
      </c>
      <c r="B158" s="2" t="s">
        <v>608</v>
      </c>
      <c r="C158" s="2" t="str">
        <f t="shared" si="0"/>
        <v>Katie Lewis</v>
      </c>
      <c r="D158" s="2" t="s">
        <v>33</v>
      </c>
      <c r="E158" s="2" t="str">
        <f t="shared" si="1"/>
        <v>alex@company.com</v>
      </c>
      <c r="F158" s="2" t="s">
        <v>75</v>
      </c>
      <c r="G158" s="3">
        <v>44374</v>
      </c>
      <c r="H158" s="3" t="str">
        <f t="shared" si="2"/>
        <v>27-Jun-2021</v>
      </c>
      <c r="I158" s="10" t="s">
        <v>609</v>
      </c>
      <c r="J158" s="10">
        <f t="shared" si="3"/>
        <v>118518</v>
      </c>
      <c r="K158" s="11" t="s">
        <v>17</v>
      </c>
      <c r="L158" s="2" t="s">
        <v>45</v>
      </c>
      <c r="M158" s="2" t="str">
        <f t="shared" si="4"/>
        <v>Active</v>
      </c>
      <c r="N158" s="2" t="s">
        <v>107</v>
      </c>
      <c r="O158" s="2" t="str">
        <f t="shared" si="5"/>
        <v>All Clear</v>
      </c>
      <c r="P158" s="2" t="s">
        <v>610</v>
      </c>
      <c r="Q158" s="2" t="str">
        <f t="shared" si="6"/>
        <v>NR</v>
      </c>
      <c r="R158" s="2" t="e">
        <f t="array" aca="1" ref="R158" ca="1">_xludf.IFS(Q158="ET", "East", Q158="WT", "West", Q158="ST","South", Q158="NR", "North")</f>
        <v>#NAME?</v>
      </c>
      <c r="S158" s="2" t="s">
        <v>79</v>
      </c>
      <c r="T158" s="2" t="str">
        <f t="shared" si="7"/>
        <v>New York</v>
      </c>
      <c r="U158" s="12" t="s">
        <v>22</v>
      </c>
      <c r="V158" s="12">
        <f t="shared" si="8"/>
        <v>0.2</v>
      </c>
      <c r="W158" s="13">
        <f t="shared" si="9"/>
        <v>142221.6</v>
      </c>
      <c r="X158" s="2" t="str">
        <f t="shared" si="10"/>
        <v>High</v>
      </c>
    </row>
    <row r="159" spans="1:24" ht="14.25" customHeight="1" x14ac:dyDescent="0.5">
      <c r="A159" s="2" t="s">
        <v>611</v>
      </c>
      <c r="B159" s="2" t="s">
        <v>173</v>
      </c>
      <c r="C159" s="2" t="str">
        <f t="shared" si="0"/>
        <v>Daniel Lewis</v>
      </c>
      <c r="D159" s="2" t="s">
        <v>49</v>
      </c>
      <c r="E159" s="2" t="str">
        <f t="shared" si="1"/>
        <v>emily@company.com</v>
      </c>
      <c r="F159" s="2" t="s">
        <v>42</v>
      </c>
      <c r="G159" s="3">
        <v>44479</v>
      </c>
      <c r="H159" s="3" t="str">
        <f t="shared" si="2"/>
        <v>10-Oct-2021</v>
      </c>
      <c r="I159" s="10" t="s">
        <v>612</v>
      </c>
      <c r="J159" s="10">
        <f t="shared" si="3"/>
        <v>112805</v>
      </c>
      <c r="K159" s="11" t="s">
        <v>44</v>
      </c>
      <c r="L159" s="2" t="s">
        <v>45</v>
      </c>
      <c r="M159" s="2" t="str">
        <f t="shared" si="4"/>
        <v>Active</v>
      </c>
      <c r="N159" s="2" t="s">
        <v>107</v>
      </c>
      <c r="O159" s="2" t="str">
        <f t="shared" si="5"/>
        <v>All Clear</v>
      </c>
      <c r="P159" s="2" t="s">
        <v>613</v>
      </c>
      <c r="Q159" s="2" t="str">
        <f t="shared" si="6"/>
        <v>WT</v>
      </c>
      <c r="R159" s="2" t="e">
        <f t="array" aca="1" ref="R159" ca="1">_xludf.IFS(Q159="ET", "East", Q159="WT", "West", Q159="ST","South", Q159="NR", "North")</f>
        <v>#NAME?</v>
      </c>
      <c r="S159" s="2" t="s">
        <v>79</v>
      </c>
      <c r="T159" s="2" t="str">
        <f t="shared" si="7"/>
        <v>New York</v>
      </c>
      <c r="U159" s="12" t="s">
        <v>85</v>
      </c>
      <c r="V159" s="12">
        <f t="shared" si="8"/>
        <v>0.15</v>
      </c>
      <c r="W159" s="13">
        <f t="shared" si="9"/>
        <v>129725.74999999999</v>
      </c>
      <c r="X159" s="2" t="str">
        <f t="shared" si="10"/>
        <v>High</v>
      </c>
    </row>
    <row r="160" spans="1:24" ht="14.25" customHeight="1" x14ac:dyDescent="0.5">
      <c r="A160" s="2" t="s">
        <v>614</v>
      </c>
      <c r="B160" s="2" t="s">
        <v>260</v>
      </c>
      <c r="C160" s="2" t="str">
        <f t="shared" si="0"/>
        <v>Sam Moore</v>
      </c>
      <c r="D160" s="2" t="s">
        <v>49</v>
      </c>
      <c r="E160" s="2" t="str">
        <f t="shared" si="1"/>
        <v>emily@company.com</v>
      </c>
      <c r="F160" s="2" t="s">
        <v>34</v>
      </c>
      <c r="G160" s="3">
        <v>44644</v>
      </c>
      <c r="H160" s="3" t="str">
        <f t="shared" si="2"/>
        <v>24-Mar-2022</v>
      </c>
      <c r="I160" s="10" t="s">
        <v>615</v>
      </c>
      <c r="J160" s="10">
        <f t="shared" si="3"/>
        <v>98954</v>
      </c>
      <c r="K160" s="11" t="s">
        <v>36</v>
      </c>
      <c r="L160" s="2" t="s">
        <v>27</v>
      </c>
      <c r="M160" s="2" t="str">
        <f t="shared" si="4"/>
        <v>On Leave</v>
      </c>
      <c r="O160" s="2" t="str">
        <f t="shared" si="5"/>
        <v>No Notes</v>
      </c>
      <c r="P160" s="2" t="s">
        <v>616</v>
      </c>
      <c r="Q160" s="2" t="str">
        <f t="shared" si="6"/>
        <v>ST</v>
      </c>
      <c r="R160" s="2" t="e">
        <f t="array" aca="1" ref="R160" ca="1">_xludf.IFS(Q160="ET", "East", Q160="WT", "West", Q160="ST","South", Q160="NR", "North")</f>
        <v>#NAME?</v>
      </c>
      <c r="S160" s="2" t="s">
        <v>38</v>
      </c>
      <c r="T160" s="2" t="str">
        <f t="shared" si="7"/>
        <v>London</v>
      </c>
      <c r="U160" s="12" t="s">
        <v>30</v>
      </c>
      <c r="V160" s="12">
        <f t="shared" si="8"/>
        <v>0.1</v>
      </c>
      <c r="W160" s="13">
        <f t="shared" si="9"/>
        <v>108849.40000000001</v>
      </c>
      <c r="X160" s="2" t="str">
        <f t="shared" si="10"/>
        <v>High</v>
      </c>
    </row>
    <row r="161" spans="1:24" ht="14.25" customHeight="1" x14ac:dyDescent="0.5">
      <c r="A161" s="2" t="s">
        <v>617</v>
      </c>
      <c r="B161" s="2" t="s">
        <v>618</v>
      </c>
      <c r="C161" s="2" t="str">
        <f t="shared" si="0"/>
        <v>Chris Johnson</v>
      </c>
      <c r="D161" s="2" t="s">
        <v>99</v>
      </c>
      <c r="E161" s="2" t="str">
        <f t="shared" si="1"/>
        <v>daniel@company.com</v>
      </c>
      <c r="F161" s="2" t="s">
        <v>75</v>
      </c>
      <c r="G161" s="3">
        <v>44870</v>
      </c>
      <c r="H161" s="3" t="str">
        <f t="shared" si="2"/>
        <v>05-Nov-2022</v>
      </c>
      <c r="I161" s="10" t="s">
        <v>619</v>
      </c>
      <c r="J161" s="10">
        <f t="shared" si="3"/>
        <v>68064</v>
      </c>
      <c r="K161" s="11" t="s">
        <v>83</v>
      </c>
      <c r="L161" s="2" t="s">
        <v>112</v>
      </c>
      <c r="M161" s="2" t="str">
        <f t="shared" si="4"/>
        <v>On Leave</v>
      </c>
      <c r="N161" s="2" t="s">
        <v>77</v>
      </c>
      <c r="O161" s="2" t="str">
        <f t="shared" si="5"/>
        <v>All Clear</v>
      </c>
      <c r="P161" s="2" t="s">
        <v>620</v>
      </c>
      <c r="Q161" s="2" t="str">
        <f t="shared" si="6"/>
        <v>ET</v>
      </c>
      <c r="R161" s="2" t="e">
        <f t="array" aca="1" ref="R161" ca="1">_xludf.IFS(Q161="ET", "East", Q161="WT", "West", Q161="ST","South", Q161="NR", "North")</f>
        <v>#NAME?</v>
      </c>
      <c r="S161" s="2" t="s">
        <v>96</v>
      </c>
      <c r="T161" s="2" t="str">
        <f t="shared" si="7"/>
        <v>Cairo</v>
      </c>
      <c r="U161" s="12" t="s">
        <v>22</v>
      </c>
      <c r="V161" s="12">
        <f t="shared" si="8"/>
        <v>0.2</v>
      </c>
      <c r="W161" s="13">
        <f t="shared" si="9"/>
        <v>81676.800000000003</v>
      </c>
      <c r="X161" s="2" t="str">
        <f t="shared" si="10"/>
        <v>Normal</v>
      </c>
    </row>
    <row r="162" spans="1:24" ht="14.25" customHeight="1" x14ac:dyDescent="0.5">
      <c r="A162" s="2" t="s">
        <v>621</v>
      </c>
      <c r="B162" s="2" t="s">
        <v>405</v>
      </c>
      <c r="C162" s="2" t="str">
        <f t="shared" si="0"/>
        <v>Daniel Wilson</v>
      </c>
      <c r="D162" s="2" t="s">
        <v>93</v>
      </c>
      <c r="E162" s="2" t="str">
        <f t="shared" si="1"/>
        <v>k@ie@company.com</v>
      </c>
      <c r="F162" s="2" t="s">
        <v>50</v>
      </c>
      <c r="G162" s="3">
        <v>44983</v>
      </c>
      <c r="H162" s="3" t="str">
        <f t="shared" si="2"/>
        <v>26-Feb-2023</v>
      </c>
      <c r="I162" s="10" t="s">
        <v>622</v>
      </c>
      <c r="J162" s="10">
        <f t="shared" si="3"/>
        <v>119063</v>
      </c>
      <c r="K162" s="11" t="s">
        <v>44</v>
      </c>
      <c r="L162" s="2" t="s">
        <v>64</v>
      </c>
      <c r="M162" s="2" t="str">
        <f t="shared" si="4"/>
        <v>Terminated</v>
      </c>
      <c r="N162" s="2" t="s">
        <v>107</v>
      </c>
      <c r="O162" s="2" t="str">
        <f t="shared" si="5"/>
        <v>All Clear</v>
      </c>
      <c r="P162" s="2" t="s">
        <v>623</v>
      </c>
      <c r="Q162" s="2" t="str">
        <f t="shared" si="6"/>
        <v>NR</v>
      </c>
      <c r="R162" s="2" t="e">
        <f t="array" aca="1" ref="R162" ca="1">_xludf.IFS(Q162="ET", "East", Q162="WT", "West", Q162="ST","South", Q162="NR", "North")</f>
        <v>#NAME?</v>
      </c>
      <c r="S162" s="2" t="s">
        <v>53</v>
      </c>
      <c r="T162" s="2" t="str">
        <f t="shared" si="7"/>
        <v>Delhi</v>
      </c>
      <c r="U162" s="12" t="s">
        <v>22</v>
      </c>
      <c r="V162" s="12">
        <f t="shared" si="8"/>
        <v>0.2</v>
      </c>
      <c r="W162" s="13">
        <f t="shared" si="9"/>
        <v>142875.6</v>
      </c>
      <c r="X162" s="2" t="str">
        <f t="shared" si="10"/>
        <v>High</v>
      </c>
    </row>
    <row r="163" spans="1:24" ht="14.25" customHeight="1" x14ac:dyDescent="0.5">
      <c r="A163" s="2" t="s">
        <v>624</v>
      </c>
      <c r="B163" s="2" t="s">
        <v>181</v>
      </c>
      <c r="C163" s="2" t="str">
        <f t="shared" si="0"/>
        <v>Jane Lewis</v>
      </c>
      <c r="D163" s="2" t="s">
        <v>235</v>
      </c>
      <c r="E163" s="2" t="str">
        <f t="shared" si="1"/>
        <v>jane@company.com</v>
      </c>
      <c r="F163" s="2" t="s">
        <v>34</v>
      </c>
      <c r="G163" s="3">
        <v>44405</v>
      </c>
      <c r="H163" s="3" t="str">
        <f t="shared" si="2"/>
        <v>28-Jul-2021</v>
      </c>
      <c r="I163" s="10" t="s">
        <v>625</v>
      </c>
      <c r="J163" s="10">
        <f t="shared" si="3"/>
        <v>42454</v>
      </c>
      <c r="K163" s="11" t="s">
        <v>44</v>
      </c>
      <c r="L163" s="2" t="s">
        <v>121</v>
      </c>
      <c r="M163" s="2" t="str">
        <f t="shared" si="4"/>
        <v>On Leave</v>
      </c>
      <c r="N163" s="2" t="s">
        <v>19</v>
      </c>
      <c r="O163" s="2" t="str">
        <f t="shared" si="5"/>
        <v>Urgent Review</v>
      </c>
      <c r="P163" s="2" t="s">
        <v>626</v>
      </c>
      <c r="Q163" s="2" t="str">
        <f t="shared" si="6"/>
        <v>NR</v>
      </c>
      <c r="R163" s="2" t="e">
        <f t="array" aca="1" ref="R163" ca="1">_xludf.IFS(Q163="ET", "East", Q163="WT", "West", Q163="ST","South", Q163="NR", "North")</f>
        <v>#NAME?</v>
      </c>
      <c r="S163" s="2" t="s">
        <v>53</v>
      </c>
      <c r="T163" s="2" t="str">
        <f t="shared" si="7"/>
        <v>Delhi</v>
      </c>
      <c r="U163" s="12" t="s">
        <v>22</v>
      </c>
      <c r="V163" s="12">
        <f t="shared" si="8"/>
        <v>0.2</v>
      </c>
      <c r="W163" s="13">
        <f t="shared" si="9"/>
        <v>50944.799999999996</v>
      </c>
      <c r="X163" s="2" t="str">
        <f t="shared" si="10"/>
        <v>Normal</v>
      </c>
    </row>
    <row r="164" spans="1:24" ht="14.25" customHeight="1" x14ac:dyDescent="0.5">
      <c r="A164" s="2" t="s">
        <v>627</v>
      </c>
      <c r="B164" s="2" t="s">
        <v>181</v>
      </c>
      <c r="C164" s="2" t="str">
        <f t="shared" si="0"/>
        <v>Jane Lewis</v>
      </c>
      <c r="D164" s="2" t="s">
        <v>49</v>
      </c>
      <c r="E164" s="2" t="str">
        <f t="shared" si="1"/>
        <v>emily@company.com</v>
      </c>
      <c r="F164" s="2" t="s">
        <v>42</v>
      </c>
      <c r="G164" s="3">
        <v>44963</v>
      </c>
      <c r="H164" s="3" t="str">
        <f t="shared" si="2"/>
        <v>06-Feb-2023</v>
      </c>
      <c r="I164" s="10" t="s">
        <v>628</v>
      </c>
      <c r="J164" s="10">
        <f t="shared" si="3"/>
        <v>60878</v>
      </c>
      <c r="K164" s="11" t="s">
        <v>36</v>
      </c>
      <c r="L164" s="2" t="s">
        <v>112</v>
      </c>
      <c r="M164" s="2" t="str">
        <f t="shared" si="4"/>
        <v>On Leave</v>
      </c>
      <c r="N164" s="2" t="s">
        <v>65</v>
      </c>
      <c r="O164" s="2" t="str">
        <f t="shared" si="5"/>
        <v>Follow Up</v>
      </c>
      <c r="P164" s="2" t="s">
        <v>629</v>
      </c>
      <c r="Q164" s="2" t="str">
        <f t="shared" si="6"/>
        <v>WT</v>
      </c>
      <c r="R164" s="2" t="e">
        <f t="array" aca="1" ref="R164" ca="1">_xludf.IFS(Q164="ET", "East", Q164="WT", "West", Q164="ST","South", Q164="NR", "North")</f>
        <v>#NAME?</v>
      </c>
      <c r="S164" s="2" t="s">
        <v>38</v>
      </c>
      <c r="T164" s="2" t="str">
        <f t="shared" si="7"/>
        <v>London</v>
      </c>
      <c r="U164" s="12" t="s">
        <v>39</v>
      </c>
      <c r="V164" s="12">
        <f t="shared" si="8"/>
        <v>0.05</v>
      </c>
      <c r="W164" s="13">
        <f t="shared" si="9"/>
        <v>63921.9</v>
      </c>
      <c r="X164" s="2" t="str">
        <f t="shared" si="10"/>
        <v>Normal</v>
      </c>
    </row>
    <row r="165" spans="1:24" ht="14.25" customHeight="1" x14ac:dyDescent="0.5">
      <c r="A165" s="2" t="s">
        <v>630</v>
      </c>
      <c r="B165" s="2" t="s">
        <v>502</v>
      </c>
      <c r="C165" s="2" t="str">
        <f t="shared" si="0"/>
        <v>John Moore</v>
      </c>
      <c r="D165" s="2" t="s">
        <v>105</v>
      </c>
      <c r="E165" s="2" t="str">
        <f t="shared" si="1"/>
        <v>sam@company.com</v>
      </c>
      <c r="F165" s="2" t="s">
        <v>100</v>
      </c>
      <c r="G165" s="3">
        <v>44843</v>
      </c>
      <c r="H165" s="3" t="str">
        <f t="shared" si="2"/>
        <v>09-Oct-2022</v>
      </c>
      <c r="I165" s="10" t="s">
        <v>631</v>
      </c>
      <c r="J165" s="10">
        <f t="shared" si="3"/>
        <v>91098</v>
      </c>
      <c r="K165" s="11" t="s">
        <v>57</v>
      </c>
      <c r="L165" s="2" t="s">
        <v>89</v>
      </c>
      <c r="M165" s="2" t="str">
        <f t="shared" si="4"/>
        <v>Active</v>
      </c>
      <c r="N165" s="2" t="s">
        <v>19</v>
      </c>
      <c r="O165" s="2" t="str">
        <f t="shared" si="5"/>
        <v>Urgent Review</v>
      </c>
      <c r="P165" s="2" t="s">
        <v>632</v>
      </c>
      <c r="Q165" s="2" t="str">
        <f t="shared" si="6"/>
        <v>ET</v>
      </c>
      <c r="R165" s="2" t="e">
        <f t="array" aca="1" ref="R165" ca="1">_xludf.IFS(Q165="ET", "East", Q165="WT", "West", Q165="ST","South", Q165="NR", "North")</f>
        <v>#NAME?</v>
      </c>
      <c r="S165" s="2" t="s">
        <v>53</v>
      </c>
      <c r="T165" s="2" t="str">
        <f t="shared" si="7"/>
        <v>Delhi</v>
      </c>
      <c r="U165" s="12" t="s">
        <v>85</v>
      </c>
      <c r="V165" s="12">
        <f t="shared" si="8"/>
        <v>0.15</v>
      </c>
      <c r="W165" s="13">
        <f t="shared" si="9"/>
        <v>104762.7</v>
      </c>
      <c r="X165" s="2" t="str">
        <f t="shared" si="10"/>
        <v>High</v>
      </c>
    </row>
    <row r="166" spans="1:24" ht="14.25" customHeight="1" x14ac:dyDescent="0.5">
      <c r="A166" s="2" t="s">
        <v>633</v>
      </c>
      <c r="B166" s="2" t="s">
        <v>210</v>
      </c>
      <c r="C166" s="2" t="str">
        <f t="shared" si="0"/>
        <v>John Clark</v>
      </c>
      <c r="D166" s="2" t="s">
        <v>33</v>
      </c>
      <c r="E166" s="2" t="str">
        <f t="shared" si="1"/>
        <v>alex@company.com</v>
      </c>
      <c r="F166" s="2" t="s">
        <v>69</v>
      </c>
      <c r="G166" s="3">
        <v>44500</v>
      </c>
      <c r="H166" s="3" t="str">
        <f t="shared" si="2"/>
        <v>31-Oct-2021</v>
      </c>
      <c r="I166" s="10" t="s">
        <v>634</v>
      </c>
      <c r="J166" s="10">
        <f t="shared" si="3"/>
        <v>102154</v>
      </c>
      <c r="K166" s="11" t="s">
        <v>17</v>
      </c>
      <c r="L166" s="2" t="s">
        <v>112</v>
      </c>
      <c r="M166" s="2" t="str">
        <f t="shared" si="4"/>
        <v>On Leave</v>
      </c>
      <c r="N166" s="2" t="s">
        <v>65</v>
      </c>
      <c r="O166" s="2" t="str">
        <f t="shared" si="5"/>
        <v>Follow Up</v>
      </c>
      <c r="P166" s="2" t="s">
        <v>635</v>
      </c>
      <c r="Q166" s="2" t="str">
        <f t="shared" si="6"/>
        <v>ST</v>
      </c>
      <c r="R166" s="2" t="e">
        <f t="array" aca="1" ref="R166" ca="1">_xludf.IFS(Q166="ET", "East", Q166="WT", "West", Q166="ST","South", Q166="NR", "North")</f>
        <v>#NAME?</v>
      </c>
      <c r="S166" s="2" t="s">
        <v>159</v>
      </c>
      <c r="T166" s="2" t="str">
        <f t="shared" si="7"/>
        <v>Berlin</v>
      </c>
      <c r="U166" s="12" t="s">
        <v>22</v>
      </c>
      <c r="V166" s="12">
        <f t="shared" si="8"/>
        <v>0.2</v>
      </c>
      <c r="W166" s="13">
        <f t="shared" si="9"/>
        <v>122584.79999999999</v>
      </c>
      <c r="X166" s="2" t="str">
        <f t="shared" si="10"/>
        <v>High</v>
      </c>
    </row>
    <row r="167" spans="1:24" ht="14.25" customHeight="1" x14ac:dyDescent="0.5">
      <c r="A167" s="2" t="s">
        <v>636</v>
      </c>
      <c r="B167" s="2" t="s">
        <v>405</v>
      </c>
      <c r="C167" s="2" t="str">
        <f t="shared" si="0"/>
        <v>Daniel Wilson</v>
      </c>
      <c r="D167" s="2" t="s">
        <v>74</v>
      </c>
      <c r="E167" s="2" t="str">
        <f t="shared" si="1"/>
        <v>mike@company.com</v>
      </c>
      <c r="F167" s="2" t="s">
        <v>75</v>
      </c>
      <c r="G167" s="3">
        <v>44099</v>
      </c>
      <c r="H167" s="3" t="str">
        <f t="shared" si="2"/>
        <v>25-Sep-2020</v>
      </c>
      <c r="I167" s="10" t="s">
        <v>637</v>
      </c>
      <c r="J167" s="10">
        <f t="shared" si="3"/>
        <v>52991</v>
      </c>
      <c r="K167" s="11" t="s">
        <v>36</v>
      </c>
      <c r="L167" s="2" t="s">
        <v>27</v>
      </c>
      <c r="M167" s="2" t="str">
        <f t="shared" si="4"/>
        <v>On Leave</v>
      </c>
      <c r="N167" s="2" t="s">
        <v>77</v>
      </c>
      <c r="O167" s="2" t="str">
        <f t="shared" si="5"/>
        <v>All Clear</v>
      </c>
      <c r="P167" s="2" t="s">
        <v>638</v>
      </c>
      <c r="Q167" s="2" t="str">
        <f t="shared" si="6"/>
        <v>WT</v>
      </c>
      <c r="R167" s="2" t="e">
        <f t="array" aca="1" ref="R167" ca="1">_xludf.IFS(Q167="ET", "East", Q167="WT", "West", Q167="ST","South", Q167="NR", "North")</f>
        <v>#NAME?</v>
      </c>
      <c r="S167" s="2" t="s">
        <v>21</v>
      </c>
      <c r="T167" s="2" t="str">
        <f t="shared" si="7"/>
        <v>Sao Paulo</v>
      </c>
      <c r="U167" s="12" t="s">
        <v>30</v>
      </c>
      <c r="V167" s="12">
        <f t="shared" si="8"/>
        <v>0.1</v>
      </c>
      <c r="W167" s="13">
        <f t="shared" si="9"/>
        <v>58290.100000000006</v>
      </c>
      <c r="X167" s="2" t="str">
        <f t="shared" si="10"/>
        <v>Normal</v>
      </c>
    </row>
    <row r="168" spans="1:24" ht="14.25" customHeight="1" x14ac:dyDescent="0.5">
      <c r="A168" s="2" t="s">
        <v>639</v>
      </c>
      <c r="B168" s="2" t="s">
        <v>279</v>
      </c>
      <c r="C168" s="2" t="str">
        <f t="shared" si="0"/>
        <v>Mike Wilson</v>
      </c>
      <c r="D168" s="2" t="s">
        <v>99</v>
      </c>
      <c r="E168" s="2" t="str">
        <f t="shared" si="1"/>
        <v>daniel@company.com</v>
      </c>
      <c r="F168" s="2" t="s">
        <v>42</v>
      </c>
      <c r="G168" s="3">
        <v>45016</v>
      </c>
      <c r="H168" s="3" t="str">
        <f t="shared" si="2"/>
        <v>31-Mar-2023</v>
      </c>
      <c r="I168" s="10" t="s">
        <v>640</v>
      </c>
      <c r="J168" s="10">
        <f t="shared" si="3"/>
        <v>108344</v>
      </c>
      <c r="K168" s="11" t="s">
        <v>17</v>
      </c>
      <c r="L168" s="2" t="s">
        <v>112</v>
      </c>
      <c r="M168" s="2" t="str">
        <f t="shared" si="4"/>
        <v>On Leave</v>
      </c>
      <c r="O168" s="2" t="str">
        <f t="shared" si="5"/>
        <v>No Notes</v>
      </c>
      <c r="P168" s="2" t="s">
        <v>641</v>
      </c>
      <c r="Q168" s="2" t="str">
        <f t="shared" si="6"/>
        <v>ST</v>
      </c>
      <c r="R168" s="2" t="e">
        <f t="array" aca="1" ref="R168" ca="1">_xludf.IFS(Q168="ET", "East", Q168="WT", "West", Q168="ST","South", Q168="NR", "North")</f>
        <v>#NAME?</v>
      </c>
      <c r="S168" s="2" t="s">
        <v>60</v>
      </c>
      <c r="T168" s="2" t="str">
        <f t="shared" si="7"/>
        <v>Toronto</v>
      </c>
      <c r="U168" s="12" t="s">
        <v>22</v>
      </c>
      <c r="V168" s="12">
        <f t="shared" si="8"/>
        <v>0.2</v>
      </c>
      <c r="W168" s="13">
        <f t="shared" si="9"/>
        <v>130012.79999999999</v>
      </c>
      <c r="X168" s="2" t="str">
        <f t="shared" si="10"/>
        <v>High</v>
      </c>
    </row>
    <row r="169" spans="1:24" ht="14.25" customHeight="1" x14ac:dyDescent="0.5">
      <c r="A169" s="2" t="s">
        <v>642</v>
      </c>
      <c r="B169" s="2" t="s">
        <v>104</v>
      </c>
      <c r="C169" s="2" t="str">
        <f t="shared" si="0"/>
        <v>Mike Brown</v>
      </c>
      <c r="D169" s="2" t="s">
        <v>25</v>
      </c>
      <c r="E169" s="2" t="str">
        <f t="shared" si="1"/>
        <v>chris@company.com</v>
      </c>
      <c r="F169" s="2" t="s">
        <v>34</v>
      </c>
      <c r="G169" s="3">
        <v>45114</v>
      </c>
      <c r="H169" s="3" t="str">
        <f t="shared" si="2"/>
        <v>07-Jul-2023</v>
      </c>
      <c r="I169" s="10" t="s">
        <v>643</v>
      </c>
      <c r="J169" s="10">
        <f t="shared" si="3"/>
        <v>76593</v>
      </c>
      <c r="K169" s="11" t="s">
        <v>57</v>
      </c>
      <c r="L169" s="2" t="s">
        <v>121</v>
      </c>
      <c r="M169" s="2" t="str">
        <f t="shared" si="4"/>
        <v>On Leave</v>
      </c>
      <c r="N169" s="2" t="s">
        <v>107</v>
      </c>
      <c r="O169" s="2" t="str">
        <f t="shared" si="5"/>
        <v>All Clear</v>
      </c>
      <c r="P169" s="2" t="s">
        <v>644</v>
      </c>
      <c r="Q169" s="2" t="str">
        <f t="shared" si="6"/>
        <v>NR</v>
      </c>
      <c r="R169" s="2" t="e">
        <f t="array" aca="1" ref="R169" ca="1">_xludf.IFS(Q169="ET", "East", Q169="WT", "West", Q169="ST","South", Q169="NR", "North")</f>
        <v>#NAME?</v>
      </c>
      <c r="S169" s="2" t="s">
        <v>96</v>
      </c>
      <c r="T169" s="2" t="str">
        <f t="shared" si="7"/>
        <v>Cairo</v>
      </c>
      <c r="U169" s="12" t="s">
        <v>39</v>
      </c>
      <c r="V169" s="12">
        <f t="shared" si="8"/>
        <v>0.05</v>
      </c>
      <c r="W169" s="13">
        <f t="shared" si="9"/>
        <v>80422.650000000009</v>
      </c>
      <c r="X169" s="2" t="str">
        <f t="shared" si="10"/>
        <v>Normal</v>
      </c>
    </row>
    <row r="170" spans="1:24" ht="14.25" customHeight="1" x14ac:dyDescent="0.5">
      <c r="A170" s="2" t="s">
        <v>645</v>
      </c>
      <c r="B170" s="2" t="s">
        <v>646</v>
      </c>
      <c r="C170" s="2" t="str">
        <f t="shared" si="0"/>
        <v>Jane Clark</v>
      </c>
      <c r="D170" s="2" t="s">
        <v>14</v>
      </c>
      <c r="E170" s="2" t="str">
        <f t="shared" si="1"/>
        <v>john@company.com</v>
      </c>
      <c r="F170" s="2" t="s">
        <v>50</v>
      </c>
      <c r="G170" s="3">
        <v>44754</v>
      </c>
      <c r="H170" s="3" t="str">
        <f t="shared" si="2"/>
        <v>12-Jul-2022</v>
      </c>
      <c r="I170" s="10" t="s">
        <v>647</v>
      </c>
      <c r="J170" s="10">
        <f t="shared" si="3"/>
        <v>76304</v>
      </c>
      <c r="K170" s="11" t="s">
        <v>44</v>
      </c>
      <c r="L170" s="2" t="s">
        <v>58</v>
      </c>
      <c r="M170" s="2" t="str">
        <f t="shared" si="4"/>
        <v>Terminated</v>
      </c>
      <c r="N170" s="2" t="s">
        <v>107</v>
      </c>
      <c r="O170" s="2" t="str">
        <f t="shared" si="5"/>
        <v>All Clear</v>
      </c>
      <c r="P170" s="2" t="s">
        <v>648</v>
      </c>
      <c r="Q170" s="2" t="str">
        <f t="shared" si="6"/>
        <v>ST</v>
      </c>
      <c r="R170" s="2" t="e">
        <f t="array" aca="1" ref="R170" ca="1">_xludf.IFS(Q170="ET", "East", Q170="WT", "West", Q170="ST","South", Q170="NR", "North")</f>
        <v>#NAME?</v>
      </c>
      <c r="S170" s="2" t="s">
        <v>53</v>
      </c>
      <c r="T170" s="2" t="str">
        <f t="shared" si="7"/>
        <v>Delhi</v>
      </c>
      <c r="U170" s="12" t="s">
        <v>85</v>
      </c>
      <c r="V170" s="12">
        <f t="shared" si="8"/>
        <v>0.15</v>
      </c>
      <c r="W170" s="13">
        <f t="shared" si="9"/>
        <v>87749.599999999991</v>
      </c>
      <c r="X170" s="2" t="str">
        <f t="shared" si="10"/>
        <v>Normal</v>
      </c>
    </row>
    <row r="171" spans="1:24" ht="14.25" customHeight="1" x14ac:dyDescent="0.5">
      <c r="A171" s="2" t="s">
        <v>649</v>
      </c>
      <c r="B171" s="2" t="s">
        <v>202</v>
      </c>
      <c r="C171" s="2" t="str">
        <f t="shared" si="0"/>
        <v>Chris Lewis</v>
      </c>
      <c r="D171" s="2" t="s">
        <v>74</v>
      </c>
      <c r="E171" s="2" t="str">
        <f t="shared" si="1"/>
        <v>mike@company.com</v>
      </c>
      <c r="F171" s="2" t="s">
        <v>42</v>
      </c>
      <c r="G171" s="3">
        <v>44956</v>
      </c>
      <c r="H171" s="3" t="str">
        <f t="shared" si="2"/>
        <v>30-Jan-2023</v>
      </c>
      <c r="I171" s="10" t="s">
        <v>650</v>
      </c>
      <c r="J171" s="10">
        <f t="shared" si="3"/>
        <v>70386</v>
      </c>
      <c r="K171" s="11" t="s">
        <v>17</v>
      </c>
      <c r="L171" s="2" t="s">
        <v>27</v>
      </c>
      <c r="M171" s="2" t="str">
        <f t="shared" si="4"/>
        <v>On Leave</v>
      </c>
      <c r="N171" s="2" t="s">
        <v>107</v>
      </c>
      <c r="O171" s="2" t="str">
        <f t="shared" si="5"/>
        <v>All Clear</v>
      </c>
      <c r="P171" s="2" t="s">
        <v>651</v>
      </c>
      <c r="Q171" s="2" t="str">
        <f t="shared" si="6"/>
        <v>ST</v>
      </c>
      <c r="R171" s="2" t="e">
        <f t="array" aca="1" ref="R171" ca="1">_xludf.IFS(Q171="ET", "East", Q171="WT", "West", Q171="ST","South", Q171="NR", "North")</f>
        <v>#NAME?</v>
      </c>
      <c r="S171" s="2" t="s">
        <v>60</v>
      </c>
      <c r="T171" s="2" t="str">
        <f t="shared" si="7"/>
        <v>Toronto</v>
      </c>
      <c r="U171" s="12" t="s">
        <v>39</v>
      </c>
      <c r="V171" s="12">
        <f t="shared" si="8"/>
        <v>0.05</v>
      </c>
      <c r="W171" s="13">
        <f t="shared" si="9"/>
        <v>73905.3</v>
      </c>
      <c r="X171" s="2" t="str">
        <f t="shared" si="10"/>
        <v>Normal</v>
      </c>
    </row>
    <row r="172" spans="1:24" ht="14.25" customHeight="1" x14ac:dyDescent="0.5">
      <c r="A172" s="2" t="s">
        <v>652</v>
      </c>
      <c r="B172" s="2" t="s">
        <v>191</v>
      </c>
      <c r="C172" s="2" t="str">
        <f t="shared" si="0"/>
        <v>Sarah Clark</v>
      </c>
      <c r="D172" s="2" t="s">
        <v>25</v>
      </c>
      <c r="E172" s="2" t="str">
        <f t="shared" si="1"/>
        <v>chris@company.com</v>
      </c>
      <c r="F172" s="2" t="s">
        <v>15</v>
      </c>
      <c r="G172" s="3">
        <v>44077</v>
      </c>
      <c r="H172" s="3" t="str">
        <f t="shared" si="2"/>
        <v>03-Sep-2020</v>
      </c>
      <c r="I172" s="10" t="s">
        <v>653</v>
      </c>
      <c r="J172" s="10">
        <f t="shared" si="3"/>
        <v>95220</v>
      </c>
      <c r="K172" s="11" t="s">
        <v>83</v>
      </c>
      <c r="L172" s="2" t="s">
        <v>58</v>
      </c>
      <c r="M172" s="2" t="str">
        <f t="shared" si="4"/>
        <v>Terminated</v>
      </c>
      <c r="N172" s="2" t="s">
        <v>77</v>
      </c>
      <c r="O172" s="2" t="str">
        <f t="shared" si="5"/>
        <v>All Clear</v>
      </c>
      <c r="P172" s="2" t="s">
        <v>654</v>
      </c>
      <c r="Q172" s="2" t="str">
        <f t="shared" si="6"/>
        <v>WT</v>
      </c>
      <c r="R172" s="2" t="e">
        <f t="array" aca="1" ref="R172" ca="1">_xludf.IFS(Q172="ET", "East", Q172="WT", "West", Q172="ST","South", Q172="NR", "North")</f>
        <v>#NAME?</v>
      </c>
      <c r="S172" s="2" t="s">
        <v>53</v>
      </c>
      <c r="T172" s="2" t="str">
        <f t="shared" si="7"/>
        <v>Delhi</v>
      </c>
      <c r="U172" s="12" t="s">
        <v>39</v>
      </c>
      <c r="V172" s="12">
        <f t="shared" si="8"/>
        <v>0.05</v>
      </c>
      <c r="W172" s="13">
        <f t="shared" si="9"/>
        <v>99981</v>
      </c>
      <c r="X172" s="2" t="str">
        <f t="shared" si="10"/>
        <v>Normal</v>
      </c>
    </row>
    <row r="173" spans="1:24" ht="14.25" customHeight="1" x14ac:dyDescent="0.5">
      <c r="A173" s="2" t="s">
        <v>655</v>
      </c>
      <c r="B173" s="2" t="s">
        <v>656</v>
      </c>
      <c r="C173" s="2" t="str">
        <f t="shared" si="0"/>
        <v>Alex Taylor</v>
      </c>
      <c r="D173" s="2" t="s">
        <v>125</v>
      </c>
      <c r="E173" s="2" t="str">
        <f t="shared" si="1"/>
        <v>sarah@company.com</v>
      </c>
      <c r="F173" s="2" t="s">
        <v>50</v>
      </c>
      <c r="G173" s="3">
        <v>43961</v>
      </c>
      <c r="H173" s="3" t="str">
        <f t="shared" si="2"/>
        <v>10-May-2020</v>
      </c>
      <c r="I173" s="10" t="s">
        <v>657</v>
      </c>
      <c r="J173" s="10">
        <f t="shared" si="3"/>
        <v>109338</v>
      </c>
      <c r="K173" s="11" t="s">
        <v>83</v>
      </c>
      <c r="L173" s="2" t="s">
        <v>89</v>
      </c>
      <c r="M173" s="2" t="str">
        <f t="shared" si="4"/>
        <v>Active</v>
      </c>
      <c r="N173" s="2" t="s">
        <v>65</v>
      </c>
      <c r="O173" s="2" t="str">
        <f t="shared" si="5"/>
        <v>Follow Up</v>
      </c>
      <c r="P173" s="2" t="s">
        <v>658</v>
      </c>
      <c r="Q173" s="2" t="str">
        <f t="shared" si="6"/>
        <v>ST</v>
      </c>
      <c r="R173" s="2" t="e">
        <f t="array" aca="1" ref="R173" ca="1">_xludf.IFS(Q173="ET", "East", Q173="WT", "West", Q173="ST","South", Q173="NR", "North")</f>
        <v>#NAME?</v>
      </c>
      <c r="S173" s="2" t="s">
        <v>21</v>
      </c>
      <c r="T173" s="2" t="str">
        <f t="shared" si="7"/>
        <v>Sao Paulo</v>
      </c>
      <c r="U173" s="12" t="s">
        <v>39</v>
      </c>
      <c r="V173" s="12">
        <f t="shared" si="8"/>
        <v>0.05</v>
      </c>
      <c r="W173" s="13">
        <f t="shared" si="9"/>
        <v>114804.90000000001</v>
      </c>
      <c r="X173" s="2" t="str">
        <f t="shared" si="10"/>
        <v>High</v>
      </c>
    </row>
    <row r="174" spans="1:24" ht="14.25" customHeight="1" x14ac:dyDescent="0.5">
      <c r="A174" s="2" t="s">
        <v>659</v>
      </c>
      <c r="B174" s="2" t="s">
        <v>502</v>
      </c>
      <c r="C174" s="2" t="str">
        <f t="shared" si="0"/>
        <v>John Moore</v>
      </c>
      <c r="D174" s="2" t="s">
        <v>14</v>
      </c>
      <c r="E174" s="2" t="str">
        <f t="shared" si="1"/>
        <v>john@company.com</v>
      </c>
      <c r="F174" s="2" t="s">
        <v>34</v>
      </c>
      <c r="G174" s="3">
        <v>44183</v>
      </c>
      <c r="H174" s="3" t="str">
        <f t="shared" si="2"/>
        <v>18-Dec-2020</v>
      </c>
      <c r="I174" s="10" t="s">
        <v>660</v>
      </c>
      <c r="J174" s="10">
        <f t="shared" si="3"/>
        <v>61083</v>
      </c>
      <c r="K174" s="11" t="s">
        <v>36</v>
      </c>
      <c r="L174" s="2" t="s">
        <v>27</v>
      </c>
      <c r="M174" s="2" t="str">
        <f t="shared" si="4"/>
        <v>On Leave</v>
      </c>
      <c r="N174" s="2" t="s">
        <v>107</v>
      </c>
      <c r="O174" s="2" t="str">
        <f t="shared" si="5"/>
        <v>All Clear</v>
      </c>
      <c r="P174" s="2" t="s">
        <v>661</v>
      </c>
      <c r="Q174" s="2" t="str">
        <f t="shared" si="6"/>
        <v>WT</v>
      </c>
      <c r="R174" s="2" t="e">
        <f t="array" aca="1" ref="R174" ca="1">_xludf.IFS(Q174="ET", "East", Q174="WT", "West", Q174="ST","South", Q174="NR", "North")</f>
        <v>#NAME?</v>
      </c>
      <c r="S174" s="2" t="s">
        <v>79</v>
      </c>
      <c r="T174" s="2" t="str">
        <f t="shared" si="7"/>
        <v>New York</v>
      </c>
      <c r="U174" s="12" t="s">
        <v>30</v>
      </c>
      <c r="V174" s="12">
        <f t="shared" si="8"/>
        <v>0.1</v>
      </c>
      <c r="W174" s="13">
        <f t="shared" si="9"/>
        <v>67191.3</v>
      </c>
      <c r="X174" s="2" t="str">
        <f t="shared" si="10"/>
        <v>Normal</v>
      </c>
    </row>
    <row r="175" spans="1:24" ht="14.25" customHeight="1" x14ac:dyDescent="0.5">
      <c r="A175" s="2" t="s">
        <v>662</v>
      </c>
      <c r="B175" s="2" t="s">
        <v>41</v>
      </c>
      <c r="C175" s="2" t="str">
        <f t="shared" si="0"/>
        <v>Sam Wilson</v>
      </c>
      <c r="D175" s="2" t="s">
        <v>235</v>
      </c>
      <c r="E175" s="2" t="str">
        <f t="shared" si="1"/>
        <v>jane@company.com</v>
      </c>
      <c r="F175" s="2" t="s">
        <v>100</v>
      </c>
      <c r="G175" s="3">
        <v>44026</v>
      </c>
      <c r="H175" s="3" t="str">
        <f t="shared" si="2"/>
        <v>14-Jul-2020</v>
      </c>
      <c r="I175" s="10" t="s">
        <v>663</v>
      </c>
      <c r="J175" s="10">
        <f t="shared" si="3"/>
        <v>58354</v>
      </c>
      <c r="K175" s="11" t="s">
        <v>57</v>
      </c>
      <c r="L175" s="2" t="s">
        <v>89</v>
      </c>
      <c r="M175" s="2" t="str">
        <f t="shared" si="4"/>
        <v>Active</v>
      </c>
      <c r="N175" s="2" t="s">
        <v>19</v>
      </c>
      <c r="O175" s="2" t="str">
        <f t="shared" si="5"/>
        <v>Urgent Review</v>
      </c>
      <c r="P175" s="2" t="s">
        <v>664</v>
      </c>
      <c r="Q175" s="2" t="str">
        <f t="shared" si="6"/>
        <v>NR</v>
      </c>
      <c r="R175" s="2" t="e">
        <f t="array" aca="1" ref="R175" ca="1">_xludf.IFS(Q175="ET", "East", Q175="WT", "West", Q175="ST","South", Q175="NR", "North")</f>
        <v>#NAME?</v>
      </c>
      <c r="S175" s="2" t="s">
        <v>96</v>
      </c>
      <c r="T175" s="2" t="str">
        <f t="shared" si="7"/>
        <v>Cairo</v>
      </c>
      <c r="U175" s="12" t="s">
        <v>85</v>
      </c>
      <c r="V175" s="12">
        <f t="shared" si="8"/>
        <v>0.15</v>
      </c>
      <c r="W175" s="13">
        <f t="shared" si="9"/>
        <v>67107.099999999991</v>
      </c>
      <c r="X175" s="2" t="str">
        <f t="shared" si="10"/>
        <v>Normal</v>
      </c>
    </row>
    <row r="176" spans="1:24" ht="14.25" customHeight="1" x14ac:dyDescent="0.5">
      <c r="A176" s="2" t="s">
        <v>665</v>
      </c>
      <c r="B176" s="2" t="s">
        <v>524</v>
      </c>
      <c r="C176" s="2" t="str">
        <f t="shared" si="0"/>
        <v>Jane Johnson</v>
      </c>
      <c r="D176" s="2" t="s">
        <v>105</v>
      </c>
      <c r="E176" s="2" t="str">
        <f t="shared" si="1"/>
        <v>sam@company.com</v>
      </c>
      <c r="F176" s="2" t="s">
        <v>69</v>
      </c>
      <c r="G176" s="3">
        <v>44760</v>
      </c>
      <c r="H176" s="3" t="str">
        <f t="shared" si="2"/>
        <v>18-Jul-2022</v>
      </c>
      <c r="I176" s="10" t="s">
        <v>666</v>
      </c>
      <c r="J176" s="10">
        <f t="shared" si="3"/>
        <v>62190</v>
      </c>
      <c r="K176" s="11" t="s">
        <v>36</v>
      </c>
      <c r="L176" s="2" t="s">
        <v>89</v>
      </c>
      <c r="M176" s="2" t="str">
        <f t="shared" si="4"/>
        <v>Active</v>
      </c>
      <c r="N176" s="2" t="s">
        <v>107</v>
      </c>
      <c r="O176" s="2" t="str">
        <f t="shared" si="5"/>
        <v>All Clear</v>
      </c>
      <c r="P176" s="2" t="s">
        <v>667</v>
      </c>
      <c r="Q176" s="2" t="str">
        <f t="shared" si="6"/>
        <v>WT</v>
      </c>
      <c r="R176" s="2" t="e">
        <f t="array" aca="1" ref="R176" ca="1">_xludf.IFS(Q176="ET", "East", Q176="WT", "West", Q176="ST","South", Q176="NR", "North")</f>
        <v>#NAME?</v>
      </c>
      <c r="S176" s="2" t="s">
        <v>47</v>
      </c>
      <c r="T176" s="2" t="str">
        <f t="shared" si="7"/>
        <v>Lagos</v>
      </c>
      <c r="U176" s="12" t="s">
        <v>85</v>
      </c>
      <c r="V176" s="12">
        <f t="shared" si="8"/>
        <v>0.15</v>
      </c>
      <c r="W176" s="13">
        <f t="shared" si="9"/>
        <v>71518.5</v>
      </c>
      <c r="X176" s="2" t="str">
        <f t="shared" si="10"/>
        <v>Normal</v>
      </c>
    </row>
    <row r="177" spans="1:24" ht="14.25" customHeight="1" x14ac:dyDescent="0.5">
      <c r="A177" s="2" t="s">
        <v>668</v>
      </c>
      <c r="B177" s="2" t="s">
        <v>669</v>
      </c>
      <c r="C177" s="2" t="str">
        <f t="shared" si="0"/>
        <v>Sarah Miller</v>
      </c>
      <c r="D177" s="2" t="s">
        <v>14</v>
      </c>
      <c r="E177" s="2" t="str">
        <f t="shared" si="1"/>
        <v>john@company.com</v>
      </c>
      <c r="F177" s="2" t="s">
        <v>34</v>
      </c>
      <c r="G177" s="3">
        <v>45236</v>
      </c>
      <c r="H177" s="3" t="str">
        <f t="shared" si="2"/>
        <v>06-Nov-2023</v>
      </c>
      <c r="I177" s="10" t="s">
        <v>670</v>
      </c>
      <c r="J177" s="10">
        <f t="shared" si="3"/>
        <v>46142</v>
      </c>
      <c r="K177" s="11" t="s">
        <v>36</v>
      </c>
      <c r="L177" s="2" t="s">
        <v>112</v>
      </c>
      <c r="M177" s="2" t="str">
        <f t="shared" si="4"/>
        <v>On Leave</v>
      </c>
      <c r="N177" s="2" t="s">
        <v>77</v>
      </c>
      <c r="O177" s="2" t="str">
        <f t="shared" si="5"/>
        <v>All Clear</v>
      </c>
      <c r="P177" s="2" t="s">
        <v>671</v>
      </c>
      <c r="Q177" s="2" t="str">
        <f t="shared" si="6"/>
        <v>WT</v>
      </c>
      <c r="R177" s="2" t="e">
        <f t="array" aca="1" ref="R177" ca="1">_xludf.IFS(Q177="ET", "East", Q177="WT", "West", Q177="ST","South", Q177="NR", "North")</f>
        <v>#NAME?</v>
      </c>
      <c r="S177" s="2" t="s">
        <v>38</v>
      </c>
      <c r="T177" s="2" t="str">
        <f t="shared" si="7"/>
        <v>London</v>
      </c>
      <c r="U177" s="12" t="s">
        <v>30</v>
      </c>
      <c r="V177" s="12">
        <f t="shared" si="8"/>
        <v>0.1</v>
      </c>
      <c r="W177" s="13">
        <f t="shared" si="9"/>
        <v>50756.200000000004</v>
      </c>
      <c r="X177" s="2" t="str">
        <f t="shared" si="10"/>
        <v>Normal</v>
      </c>
    </row>
    <row r="178" spans="1:24" ht="14.25" customHeight="1" x14ac:dyDescent="0.5">
      <c r="A178" s="2" t="s">
        <v>672</v>
      </c>
      <c r="B178" s="2" t="s">
        <v>584</v>
      </c>
      <c r="C178" s="2" t="str">
        <f t="shared" si="0"/>
        <v>Sam Clark</v>
      </c>
      <c r="D178" s="2" t="s">
        <v>93</v>
      </c>
      <c r="E178" s="2" t="str">
        <f t="shared" si="1"/>
        <v>k@ie@company.com</v>
      </c>
      <c r="F178" s="2" t="s">
        <v>100</v>
      </c>
      <c r="G178" s="3">
        <v>44852</v>
      </c>
      <c r="H178" s="3" t="str">
        <f t="shared" si="2"/>
        <v>18-Oct-2022</v>
      </c>
      <c r="I178" s="10" t="s">
        <v>673</v>
      </c>
      <c r="J178" s="10">
        <f t="shared" si="3"/>
        <v>68398</v>
      </c>
      <c r="K178" s="11" t="s">
        <v>36</v>
      </c>
      <c r="L178" s="2" t="s">
        <v>58</v>
      </c>
      <c r="M178" s="2" t="str">
        <f t="shared" si="4"/>
        <v>Terminated</v>
      </c>
      <c r="O178" s="2" t="str">
        <f t="shared" si="5"/>
        <v>No Notes</v>
      </c>
      <c r="P178" s="2" t="s">
        <v>674</v>
      </c>
      <c r="Q178" s="2" t="str">
        <f t="shared" si="6"/>
        <v>ET</v>
      </c>
      <c r="R178" s="2" t="e">
        <f t="array" aca="1" ref="R178" ca="1">_xludf.IFS(Q178="ET", "East", Q178="WT", "West", Q178="ST","South", Q178="NR", "North")</f>
        <v>#NAME?</v>
      </c>
      <c r="S178" s="2" t="s">
        <v>38</v>
      </c>
      <c r="T178" s="2" t="str">
        <f t="shared" si="7"/>
        <v>London</v>
      </c>
      <c r="U178" s="12" t="s">
        <v>85</v>
      </c>
      <c r="V178" s="12">
        <f t="shared" si="8"/>
        <v>0.15</v>
      </c>
      <c r="W178" s="13">
        <f t="shared" si="9"/>
        <v>78657.7</v>
      </c>
      <c r="X178" s="2" t="str">
        <f t="shared" si="10"/>
        <v>Normal</v>
      </c>
    </row>
    <row r="179" spans="1:24" ht="14.25" customHeight="1" x14ac:dyDescent="0.5">
      <c r="A179" s="2" t="s">
        <v>675</v>
      </c>
      <c r="B179" s="2" t="s">
        <v>92</v>
      </c>
      <c r="C179" s="2" t="str">
        <f t="shared" si="0"/>
        <v>Mike Miller</v>
      </c>
      <c r="D179" s="2" t="s">
        <v>25</v>
      </c>
      <c r="E179" s="2" t="str">
        <f t="shared" si="1"/>
        <v>chris@company.com</v>
      </c>
      <c r="F179" s="2" t="s">
        <v>75</v>
      </c>
      <c r="G179" s="3">
        <v>44475</v>
      </c>
      <c r="H179" s="3" t="str">
        <f t="shared" si="2"/>
        <v>06-Oct-2021</v>
      </c>
      <c r="I179" s="10" t="s">
        <v>676</v>
      </c>
      <c r="J179" s="10">
        <f t="shared" si="3"/>
        <v>91971</v>
      </c>
      <c r="K179" s="11" t="s">
        <v>83</v>
      </c>
      <c r="L179" s="2" t="s">
        <v>89</v>
      </c>
      <c r="M179" s="2" t="str">
        <f t="shared" si="4"/>
        <v>Active</v>
      </c>
      <c r="N179" s="2" t="s">
        <v>19</v>
      </c>
      <c r="O179" s="2" t="str">
        <f t="shared" si="5"/>
        <v>Urgent Review</v>
      </c>
      <c r="P179" s="2" t="s">
        <v>677</v>
      </c>
      <c r="Q179" s="2" t="str">
        <f t="shared" si="6"/>
        <v>ST</v>
      </c>
      <c r="R179" s="2" t="e">
        <f t="array" aca="1" ref="R179" ca="1">_xludf.IFS(Q179="ET", "East", Q179="WT", "West", Q179="ST","South", Q179="NR", "North")</f>
        <v>#NAME?</v>
      </c>
      <c r="S179" s="2" t="s">
        <v>96</v>
      </c>
      <c r="T179" s="2" t="str">
        <f t="shared" si="7"/>
        <v>Cairo</v>
      </c>
      <c r="U179" s="12" t="s">
        <v>39</v>
      </c>
      <c r="V179" s="12">
        <f t="shared" si="8"/>
        <v>0.05</v>
      </c>
      <c r="W179" s="13">
        <f t="shared" si="9"/>
        <v>96569.55</v>
      </c>
      <c r="X179" s="2" t="str">
        <f t="shared" si="10"/>
        <v>Normal</v>
      </c>
    </row>
    <row r="180" spans="1:24" ht="14.25" customHeight="1" x14ac:dyDescent="0.5">
      <c r="A180" s="2" t="s">
        <v>678</v>
      </c>
      <c r="B180" s="2" t="s">
        <v>286</v>
      </c>
      <c r="C180" s="2" t="str">
        <f t="shared" si="0"/>
        <v>Mike Lewis</v>
      </c>
      <c r="D180" s="2" t="s">
        <v>235</v>
      </c>
      <c r="E180" s="2" t="str">
        <f t="shared" si="1"/>
        <v>jane@company.com</v>
      </c>
      <c r="F180" s="2" t="s">
        <v>42</v>
      </c>
      <c r="G180" s="3">
        <v>44057</v>
      </c>
      <c r="H180" s="3" t="str">
        <f t="shared" si="2"/>
        <v>14-Aug-2020</v>
      </c>
      <c r="I180" s="10" t="s">
        <v>679</v>
      </c>
      <c r="J180" s="10">
        <f t="shared" si="3"/>
        <v>81862</v>
      </c>
      <c r="K180" s="11" t="s">
        <v>83</v>
      </c>
      <c r="L180" s="2" t="s">
        <v>58</v>
      </c>
      <c r="M180" s="2" t="str">
        <f t="shared" si="4"/>
        <v>Terminated</v>
      </c>
      <c r="N180" s="2" t="s">
        <v>107</v>
      </c>
      <c r="O180" s="2" t="str">
        <f t="shared" si="5"/>
        <v>All Clear</v>
      </c>
      <c r="P180" s="2" t="s">
        <v>680</v>
      </c>
      <c r="Q180" s="2" t="str">
        <f t="shared" si="6"/>
        <v>NR</v>
      </c>
      <c r="R180" s="2" t="e">
        <f t="array" aca="1" ref="R180" ca="1">_xludf.IFS(Q180="ET", "East", Q180="WT", "West", Q180="ST","South", Q180="NR", "North")</f>
        <v>#NAME?</v>
      </c>
      <c r="S180" s="2" t="s">
        <v>21</v>
      </c>
      <c r="T180" s="2" t="str">
        <f t="shared" si="7"/>
        <v>Sao Paulo</v>
      </c>
      <c r="U180" s="12" t="s">
        <v>85</v>
      </c>
      <c r="V180" s="12">
        <f t="shared" si="8"/>
        <v>0.15</v>
      </c>
      <c r="W180" s="13">
        <f t="shared" si="9"/>
        <v>94141.299999999988</v>
      </c>
      <c r="X180" s="2" t="str">
        <f t="shared" si="10"/>
        <v>Normal</v>
      </c>
    </row>
    <row r="181" spans="1:24" ht="14.25" customHeight="1" x14ac:dyDescent="0.5">
      <c r="A181" s="2" t="s">
        <v>681</v>
      </c>
      <c r="B181" s="2" t="s">
        <v>425</v>
      </c>
      <c r="C181" s="2" t="str">
        <f t="shared" si="0"/>
        <v>Daniel Smith</v>
      </c>
      <c r="D181" s="2" t="s">
        <v>93</v>
      </c>
      <c r="E181" s="2" t="str">
        <f t="shared" si="1"/>
        <v>k@ie@company.com</v>
      </c>
      <c r="F181" s="2" t="s">
        <v>15</v>
      </c>
      <c r="G181" s="3">
        <v>44531</v>
      </c>
      <c r="H181" s="3" t="str">
        <f t="shared" si="2"/>
        <v>01-Dec-2021</v>
      </c>
      <c r="I181" s="10" t="s">
        <v>682</v>
      </c>
      <c r="J181" s="10">
        <f t="shared" si="3"/>
        <v>93410</v>
      </c>
      <c r="K181" s="11" t="s">
        <v>36</v>
      </c>
      <c r="L181" s="2" t="s">
        <v>58</v>
      </c>
      <c r="M181" s="2" t="str">
        <f t="shared" si="4"/>
        <v>Terminated</v>
      </c>
      <c r="N181" s="2" t="s">
        <v>107</v>
      </c>
      <c r="O181" s="2" t="str">
        <f t="shared" si="5"/>
        <v>All Clear</v>
      </c>
      <c r="P181" s="2" t="s">
        <v>683</v>
      </c>
      <c r="Q181" s="2" t="str">
        <f t="shared" si="6"/>
        <v>WT</v>
      </c>
      <c r="R181" s="2" t="e">
        <f t="array" aca="1" ref="R181" ca="1">_xludf.IFS(Q181="ET", "East", Q181="WT", "West", Q181="ST","South", Q181="NR", "North")</f>
        <v>#NAME?</v>
      </c>
      <c r="S181" s="2" t="s">
        <v>79</v>
      </c>
      <c r="T181" s="2" t="str">
        <f t="shared" si="7"/>
        <v>New York</v>
      </c>
      <c r="U181" s="12" t="s">
        <v>30</v>
      </c>
      <c r="V181" s="12">
        <f t="shared" si="8"/>
        <v>0.1</v>
      </c>
      <c r="W181" s="13">
        <f t="shared" si="9"/>
        <v>102751.00000000001</v>
      </c>
      <c r="X181" s="2" t="str">
        <f t="shared" si="10"/>
        <v>High</v>
      </c>
    </row>
    <row r="182" spans="1:24" ht="14.25" customHeight="1" x14ac:dyDescent="0.5">
      <c r="A182" s="2" t="s">
        <v>684</v>
      </c>
      <c r="B182" s="2" t="s">
        <v>685</v>
      </c>
      <c r="C182" s="2" t="str">
        <f t="shared" si="0"/>
        <v>Alex Lewis</v>
      </c>
      <c r="D182" s="2" t="s">
        <v>125</v>
      </c>
      <c r="E182" s="2" t="str">
        <f t="shared" si="1"/>
        <v>sarah@company.com</v>
      </c>
      <c r="F182" s="2" t="s">
        <v>50</v>
      </c>
      <c r="G182" s="3">
        <v>45330</v>
      </c>
      <c r="H182" s="3" t="str">
        <f t="shared" si="2"/>
        <v>08-Feb-2024</v>
      </c>
      <c r="I182" s="10" t="s">
        <v>686</v>
      </c>
      <c r="J182" s="10">
        <f t="shared" si="3"/>
        <v>59503</v>
      </c>
      <c r="K182" s="11" t="s">
        <v>83</v>
      </c>
      <c r="L182" s="2" t="s">
        <v>27</v>
      </c>
      <c r="M182" s="2" t="str">
        <f t="shared" si="4"/>
        <v>On Leave</v>
      </c>
      <c r="N182" s="2" t="s">
        <v>28</v>
      </c>
      <c r="O182" s="2" t="str">
        <f t="shared" si="5"/>
        <v>Pending Docs</v>
      </c>
      <c r="P182" s="2" t="s">
        <v>687</v>
      </c>
      <c r="Q182" s="2" t="str">
        <f t="shared" si="6"/>
        <v>NR</v>
      </c>
      <c r="R182" s="2" t="e">
        <f t="array" aca="1" ref="R182" ca="1">_xludf.IFS(Q182="ET", "East", Q182="WT", "West", Q182="ST","South", Q182="NR", "North")</f>
        <v>#NAME?</v>
      </c>
      <c r="S182" s="2" t="s">
        <v>38</v>
      </c>
      <c r="T182" s="2" t="str">
        <f t="shared" si="7"/>
        <v>London</v>
      </c>
      <c r="U182" s="12" t="s">
        <v>39</v>
      </c>
      <c r="V182" s="12">
        <f t="shared" si="8"/>
        <v>0.05</v>
      </c>
      <c r="W182" s="13">
        <f t="shared" si="9"/>
        <v>62478.15</v>
      </c>
      <c r="X182" s="2" t="str">
        <f t="shared" si="10"/>
        <v>Normal</v>
      </c>
    </row>
    <row r="183" spans="1:24" ht="14.25" customHeight="1" x14ac:dyDescent="0.5">
      <c r="A183" s="2" t="s">
        <v>688</v>
      </c>
      <c r="B183" s="2" t="s">
        <v>555</v>
      </c>
      <c r="C183" s="2" t="str">
        <f t="shared" si="0"/>
        <v>Daniel Miller</v>
      </c>
      <c r="D183" s="2" t="s">
        <v>93</v>
      </c>
      <c r="E183" s="2" t="str">
        <f t="shared" si="1"/>
        <v>k@ie@company.com</v>
      </c>
      <c r="F183" s="2" t="s">
        <v>50</v>
      </c>
      <c r="G183" s="3">
        <v>44095</v>
      </c>
      <c r="H183" s="3" t="str">
        <f t="shared" si="2"/>
        <v>21-Sep-2020</v>
      </c>
      <c r="I183" s="10" t="s">
        <v>689</v>
      </c>
      <c r="J183" s="10">
        <f t="shared" si="3"/>
        <v>88456</v>
      </c>
      <c r="K183" s="11" t="s">
        <v>57</v>
      </c>
      <c r="L183" s="2" t="s">
        <v>18</v>
      </c>
      <c r="M183" s="2" t="str">
        <f t="shared" si="4"/>
        <v>Active</v>
      </c>
      <c r="N183" s="2" t="s">
        <v>65</v>
      </c>
      <c r="O183" s="2" t="str">
        <f t="shared" si="5"/>
        <v>Follow Up</v>
      </c>
      <c r="P183" s="2" t="s">
        <v>690</v>
      </c>
      <c r="Q183" s="2" t="str">
        <f t="shared" si="6"/>
        <v>ET</v>
      </c>
      <c r="R183" s="2" t="e">
        <f t="array" aca="1" ref="R183" ca="1">_xludf.IFS(Q183="ET", "East", Q183="WT", "West", Q183="ST","South", Q183="NR", "North")</f>
        <v>#NAME?</v>
      </c>
      <c r="S183" s="2" t="s">
        <v>79</v>
      </c>
      <c r="T183" s="2" t="str">
        <f t="shared" si="7"/>
        <v>New York</v>
      </c>
      <c r="U183" s="12" t="s">
        <v>30</v>
      </c>
      <c r="V183" s="12">
        <f t="shared" si="8"/>
        <v>0.1</v>
      </c>
      <c r="W183" s="13">
        <f t="shared" si="9"/>
        <v>97301.6</v>
      </c>
      <c r="X183" s="2" t="str">
        <f t="shared" si="10"/>
        <v>Normal</v>
      </c>
    </row>
    <row r="184" spans="1:24" ht="14.25" customHeight="1" x14ac:dyDescent="0.5">
      <c r="A184" s="2" t="s">
        <v>691</v>
      </c>
      <c r="B184" s="2" t="s">
        <v>378</v>
      </c>
      <c r="C184" s="2" t="str">
        <f t="shared" si="0"/>
        <v>Emily Smith</v>
      </c>
      <c r="D184" s="2" t="s">
        <v>99</v>
      </c>
      <c r="E184" s="2" t="str">
        <f t="shared" si="1"/>
        <v>daniel@company.com</v>
      </c>
      <c r="F184" s="2" t="s">
        <v>42</v>
      </c>
      <c r="G184" s="3">
        <v>45226</v>
      </c>
      <c r="H184" s="3" t="str">
        <f t="shared" si="2"/>
        <v>27-Oct-2023</v>
      </c>
      <c r="I184" s="10" t="s">
        <v>692</v>
      </c>
      <c r="J184" s="10">
        <f t="shared" si="3"/>
        <v>48016</v>
      </c>
      <c r="K184" s="11" t="s">
        <v>36</v>
      </c>
      <c r="L184" s="2" t="s">
        <v>112</v>
      </c>
      <c r="M184" s="2" t="str">
        <f t="shared" si="4"/>
        <v>On Leave</v>
      </c>
      <c r="N184" s="2" t="s">
        <v>19</v>
      </c>
      <c r="O184" s="2" t="str">
        <f t="shared" si="5"/>
        <v>Urgent Review</v>
      </c>
      <c r="P184" s="2" t="s">
        <v>693</v>
      </c>
      <c r="Q184" s="2" t="str">
        <f t="shared" si="6"/>
        <v>ST</v>
      </c>
      <c r="R184" s="2" t="e">
        <f t="array" aca="1" ref="R184" ca="1">_xludf.IFS(Q184="ET", "East", Q184="WT", "West", Q184="ST","South", Q184="NR", "North")</f>
        <v>#NAME?</v>
      </c>
      <c r="S184" s="2" t="s">
        <v>159</v>
      </c>
      <c r="T184" s="2" t="str">
        <f t="shared" si="7"/>
        <v>Berlin</v>
      </c>
      <c r="U184" s="12" t="s">
        <v>22</v>
      </c>
      <c r="V184" s="12">
        <f t="shared" si="8"/>
        <v>0.2</v>
      </c>
      <c r="W184" s="13">
        <f t="shared" si="9"/>
        <v>57619.199999999997</v>
      </c>
      <c r="X184" s="2" t="str">
        <f t="shared" si="10"/>
        <v>Normal</v>
      </c>
    </row>
    <row r="185" spans="1:24" ht="14.25" customHeight="1" x14ac:dyDescent="0.5">
      <c r="A185" s="2" t="s">
        <v>694</v>
      </c>
      <c r="B185" s="2" t="s">
        <v>24</v>
      </c>
      <c r="C185" s="2" t="str">
        <f t="shared" si="0"/>
        <v>Chris Davis</v>
      </c>
      <c r="D185" s="2" t="s">
        <v>99</v>
      </c>
      <c r="E185" s="2" t="str">
        <f t="shared" si="1"/>
        <v>daniel@company.com</v>
      </c>
      <c r="F185" s="2" t="s">
        <v>15</v>
      </c>
      <c r="G185" s="3">
        <v>45288</v>
      </c>
      <c r="H185" s="3" t="str">
        <f t="shared" si="2"/>
        <v>28-Dec-2023</v>
      </c>
      <c r="I185" s="10" t="s">
        <v>695</v>
      </c>
      <c r="J185" s="10">
        <f t="shared" si="3"/>
        <v>42384</v>
      </c>
      <c r="K185" s="11" t="s">
        <v>83</v>
      </c>
      <c r="L185" s="2" t="s">
        <v>89</v>
      </c>
      <c r="M185" s="2" t="str">
        <f t="shared" si="4"/>
        <v>Active</v>
      </c>
      <c r="N185" s="2" t="s">
        <v>28</v>
      </c>
      <c r="O185" s="2" t="str">
        <f t="shared" si="5"/>
        <v>Pending Docs</v>
      </c>
      <c r="P185" s="2" t="s">
        <v>696</v>
      </c>
      <c r="Q185" s="2" t="str">
        <f t="shared" si="6"/>
        <v>WT</v>
      </c>
      <c r="R185" s="2" t="e">
        <f t="array" aca="1" ref="R185" ca="1">_xludf.IFS(Q185="ET", "East", Q185="WT", "West", Q185="ST","South", Q185="NR", "North")</f>
        <v>#NAME?</v>
      </c>
      <c r="S185" s="2" t="s">
        <v>60</v>
      </c>
      <c r="T185" s="2" t="str">
        <f t="shared" si="7"/>
        <v>Toronto</v>
      </c>
      <c r="U185" s="12" t="s">
        <v>39</v>
      </c>
      <c r="V185" s="12">
        <f t="shared" si="8"/>
        <v>0.05</v>
      </c>
      <c r="W185" s="13">
        <f t="shared" si="9"/>
        <v>44503.200000000004</v>
      </c>
      <c r="X185" s="2" t="str">
        <f t="shared" si="10"/>
        <v>Normal</v>
      </c>
    </row>
    <row r="186" spans="1:24" ht="14.25" customHeight="1" x14ac:dyDescent="0.5">
      <c r="A186" s="2" t="s">
        <v>697</v>
      </c>
      <c r="B186" s="2" t="s">
        <v>698</v>
      </c>
      <c r="C186" s="2" t="str">
        <f t="shared" si="0"/>
        <v>Emily Wilson</v>
      </c>
      <c r="D186" s="2" t="s">
        <v>33</v>
      </c>
      <c r="E186" s="2" t="str">
        <f t="shared" si="1"/>
        <v>alex@company.com</v>
      </c>
      <c r="F186" s="2" t="s">
        <v>42</v>
      </c>
      <c r="G186" s="3">
        <v>44476</v>
      </c>
      <c r="H186" s="3" t="str">
        <f t="shared" si="2"/>
        <v>07-Oct-2021</v>
      </c>
      <c r="I186" s="10" t="s">
        <v>699</v>
      </c>
      <c r="J186" s="10">
        <f t="shared" si="3"/>
        <v>102320</v>
      </c>
      <c r="K186" s="11" t="s">
        <v>17</v>
      </c>
      <c r="L186" s="2" t="s">
        <v>58</v>
      </c>
      <c r="M186" s="2" t="str">
        <f t="shared" si="4"/>
        <v>Terminated</v>
      </c>
      <c r="O186" s="2" t="str">
        <f t="shared" si="5"/>
        <v>No Notes</v>
      </c>
      <c r="P186" s="2" t="s">
        <v>700</v>
      </c>
      <c r="Q186" s="2" t="str">
        <f t="shared" si="6"/>
        <v>ST</v>
      </c>
      <c r="R186" s="2" t="e">
        <f t="array" aca="1" ref="R186" ca="1">_xludf.IFS(Q186="ET", "East", Q186="WT", "West", Q186="ST","South", Q186="NR", "North")</f>
        <v>#NAME?</v>
      </c>
      <c r="S186" s="2" t="s">
        <v>21</v>
      </c>
      <c r="T186" s="2" t="str">
        <f t="shared" si="7"/>
        <v>Sao Paulo</v>
      </c>
      <c r="U186" s="12" t="s">
        <v>39</v>
      </c>
      <c r="V186" s="12">
        <f t="shared" si="8"/>
        <v>0.05</v>
      </c>
      <c r="W186" s="13">
        <f t="shared" si="9"/>
        <v>107436</v>
      </c>
      <c r="X186" s="2" t="str">
        <f t="shared" si="10"/>
        <v>High</v>
      </c>
    </row>
    <row r="187" spans="1:24" ht="14.25" customHeight="1" x14ac:dyDescent="0.5">
      <c r="A187" s="2" t="s">
        <v>701</v>
      </c>
      <c r="B187" s="2" t="s">
        <v>177</v>
      </c>
      <c r="C187" s="2" t="str">
        <f t="shared" si="0"/>
        <v>Alex Miller</v>
      </c>
      <c r="D187" s="2" t="s">
        <v>74</v>
      </c>
      <c r="E187" s="2" t="str">
        <f t="shared" si="1"/>
        <v>mike@company.com</v>
      </c>
      <c r="F187" s="2" t="s">
        <v>75</v>
      </c>
      <c r="G187" s="3">
        <v>44041</v>
      </c>
      <c r="H187" s="3" t="str">
        <f t="shared" si="2"/>
        <v>29-Jul-2020</v>
      </c>
      <c r="I187" s="10" t="s">
        <v>702</v>
      </c>
      <c r="J187" s="10">
        <f t="shared" si="3"/>
        <v>55072</v>
      </c>
      <c r="K187" s="11" t="s">
        <v>36</v>
      </c>
      <c r="L187" s="2" t="s">
        <v>64</v>
      </c>
      <c r="M187" s="2" t="str">
        <f t="shared" si="4"/>
        <v>Terminated</v>
      </c>
      <c r="N187" s="2" t="s">
        <v>65</v>
      </c>
      <c r="O187" s="2" t="str">
        <f t="shared" si="5"/>
        <v>Follow Up</v>
      </c>
      <c r="P187" s="2" t="s">
        <v>703</v>
      </c>
      <c r="Q187" s="2" t="str">
        <f t="shared" si="6"/>
        <v>ET</v>
      </c>
      <c r="R187" s="2" t="e">
        <f t="array" aca="1" ref="R187" ca="1">_xludf.IFS(Q187="ET", "East", Q187="WT", "West", Q187="ST","South", Q187="NR", "North")</f>
        <v>#NAME?</v>
      </c>
      <c r="S187" s="2" t="s">
        <v>47</v>
      </c>
      <c r="T187" s="2" t="str">
        <f t="shared" si="7"/>
        <v>Lagos</v>
      </c>
      <c r="U187" s="12" t="s">
        <v>85</v>
      </c>
      <c r="V187" s="12">
        <f t="shared" si="8"/>
        <v>0.15</v>
      </c>
      <c r="W187" s="13">
        <f t="shared" si="9"/>
        <v>63332.799999999996</v>
      </c>
      <c r="X187" s="2" t="str">
        <f t="shared" si="10"/>
        <v>Normal</v>
      </c>
    </row>
    <row r="188" spans="1:24" ht="14.25" customHeight="1" x14ac:dyDescent="0.5">
      <c r="A188" s="2" t="s">
        <v>704</v>
      </c>
      <c r="B188" s="2" t="s">
        <v>437</v>
      </c>
      <c r="C188" s="2" t="str">
        <f t="shared" si="0"/>
        <v>Alex Brown</v>
      </c>
      <c r="D188" s="2" t="s">
        <v>74</v>
      </c>
      <c r="E188" s="2" t="str">
        <f t="shared" si="1"/>
        <v>mike@company.com</v>
      </c>
      <c r="F188" s="2" t="s">
        <v>100</v>
      </c>
      <c r="G188" s="3">
        <v>45231</v>
      </c>
      <c r="H188" s="3" t="str">
        <f t="shared" si="2"/>
        <v>01-Nov-2023</v>
      </c>
      <c r="I188" s="10" t="s">
        <v>705</v>
      </c>
      <c r="J188" s="10">
        <f t="shared" si="3"/>
        <v>80510</v>
      </c>
      <c r="K188" s="11" t="s">
        <v>36</v>
      </c>
      <c r="L188" s="2" t="s">
        <v>18</v>
      </c>
      <c r="M188" s="2" t="str">
        <f t="shared" si="4"/>
        <v>Active</v>
      </c>
      <c r="N188" s="2" t="s">
        <v>19</v>
      </c>
      <c r="O188" s="2" t="str">
        <f t="shared" si="5"/>
        <v>Urgent Review</v>
      </c>
      <c r="P188" s="2" t="s">
        <v>706</v>
      </c>
      <c r="Q188" s="2" t="str">
        <f t="shared" si="6"/>
        <v>ET</v>
      </c>
      <c r="R188" s="2" t="e">
        <f t="array" aca="1" ref="R188" ca="1">_xludf.IFS(Q188="ET", "East", Q188="WT", "West", Q188="ST","South", Q188="NR", "North")</f>
        <v>#NAME?</v>
      </c>
      <c r="S188" s="2" t="s">
        <v>60</v>
      </c>
      <c r="T188" s="2" t="str">
        <f t="shared" si="7"/>
        <v>Toronto</v>
      </c>
      <c r="U188" s="12" t="s">
        <v>39</v>
      </c>
      <c r="V188" s="12">
        <f t="shared" si="8"/>
        <v>0.05</v>
      </c>
      <c r="W188" s="13">
        <f t="shared" si="9"/>
        <v>84535.5</v>
      </c>
      <c r="X188" s="2" t="str">
        <f t="shared" si="10"/>
        <v>Normal</v>
      </c>
    </row>
    <row r="189" spans="1:24" ht="14.25" customHeight="1" x14ac:dyDescent="0.5">
      <c r="A189" s="2" t="s">
        <v>707</v>
      </c>
      <c r="B189" s="2" t="s">
        <v>152</v>
      </c>
      <c r="C189" s="2" t="str">
        <f t="shared" si="0"/>
        <v>Sarah Moore</v>
      </c>
      <c r="D189" s="2" t="s">
        <v>235</v>
      </c>
      <c r="E189" s="2" t="str">
        <f t="shared" si="1"/>
        <v>jane@company.com</v>
      </c>
      <c r="F189" s="2" t="s">
        <v>34</v>
      </c>
      <c r="G189" s="3">
        <v>45249</v>
      </c>
      <c r="H189" s="3" t="str">
        <f t="shared" si="2"/>
        <v>19-Nov-2023</v>
      </c>
      <c r="I189" s="10" t="s">
        <v>708</v>
      </c>
      <c r="J189" s="10">
        <f t="shared" si="3"/>
        <v>88933</v>
      </c>
      <c r="K189" s="11" t="s">
        <v>57</v>
      </c>
      <c r="L189" s="2" t="s">
        <v>89</v>
      </c>
      <c r="M189" s="2" t="str">
        <f t="shared" si="4"/>
        <v>Active</v>
      </c>
      <c r="N189" s="2" t="s">
        <v>107</v>
      </c>
      <c r="O189" s="2" t="str">
        <f t="shared" si="5"/>
        <v>All Clear</v>
      </c>
      <c r="P189" s="2" t="s">
        <v>709</v>
      </c>
      <c r="Q189" s="2" t="str">
        <f t="shared" si="6"/>
        <v>NR</v>
      </c>
      <c r="R189" s="2" t="e">
        <f t="array" aca="1" ref="R189" ca="1">_xludf.IFS(Q189="ET", "East", Q189="WT", "West", Q189="ST","South", Q189="NR", "North")</f>
        <v>#NAME?</v>
      </c>
      <c r="S189" s="2" t="s">
        <v>60</v>
      </c>
      <c r="T189" s="2" t="str">
        <f t="shared" si="7"/>
        <v>Toronto</v>
      </c>
      <c r="U189" s="12" t="s">
        <v>30</v>
      </c>
      <c r="V189" s="12">
        <f t="shared" si="8"/>
        <v>0.1</v>
      </c>
      <c r="W189" s="13">
        <f t="shared" si="9"/>
        <v>97826.3</v>
      </c>
      <c r="X189" s="2" t="str">
        <f t="shared" si="10"/>
        <v>Normal</v>
      </c>
    </row>
    <row r="190" spans="1:24" ht="14.25" customHeight="1" x14ac:dyDescent="0.5">
      <c r="A190" s="2" t="s">
        <v>710</v>
      </c>
      <c r="B190" s="2" t="s">
        <v>161</v>
      </c>
      <c r="C190" s="2" t="str">
        <f t="shared" si="0"/>
        <v>Alex Johnson</v>
      </c>
      <c r="D190" s="2" t="s">
        <v>125</v>
      </c>
      <c r="E190" s="2" t="str">
        <f t="shared" si="1"/>
        <v>sarah@company.com</v>
      </c>
      <c r="F190" s="2" t="s">
        <v>50</v>
      </c>
      <c r="G190" s="3">
        <v>45304</v>
      </c>
      <c r="H190" s="3" t="str">
        <f t="shared" si="2"/>
        <v>13-Jan-2024</v>
      </c>
      <c r="I190" s="10" t="s">
        <v>711</v>
      </c>
      <c r="J190" s="10">
        <f t="shared" si="3"/>
        <v>61826</v>
      </c>
      <c r="K190" s="11" t="s">
        <v>44</v>
      </c>
      <c r="L190" s="2" t="s">
        <v>64</v>
      </c>
      <c r="M190" s="2" t="str">
        <f t="shared" si="4"/>
        <v>Terminated</v>
      </c>
      <c r="N190" s="2" t="s">
        <v>19</v>
      </c>
      <c r="O190" s="2" t="str">
        <f t="shared" si="5"/>
        <v>Urgent Review</v>
      </c>
      <c r="P190" s="2" t="s">
        <v>712</v>
      </c>
      <c r="Q190" s="2" t="str">
        <f t="shared" si="6"/>
        <v>WT</v>
      </c>
      <c r="R190" s="2" t="e">
        <f t="array" aca="1" ref="R190" ca="1">_xludf.IFS(Q190="ET", "East", Q190="WT", "West", Q190="ST","South", Q190="NR", "North")</f>
        <v>#NAME?</v>
      </c>
      <c r="S190" s="2" t="s">
        <v>159</v>
      </c>
      <c r="T190" s="2" t="str">
        <f t="shared" si="7"/>
        <v>Berlin</v>
      </c>
      <c r="U190" s="12" t="s">
        <v>85</v>
      </c>
      <c r="V190" s="12">
        <f t="shared" si="8"/>
        <v>0.15</v>
      </c>
      <c r="W190" s="13">
        <f t="shared" si="9"/>
        <v>71099.899999999994</v>
      </c>
      <c r="X190" s="2" t="str">
        <f t="shared" si="10"/>
        <v>Normal</v>
      </c>
    </row>
    <row r="191" spans="1:24" ht="14.25" customHeight="1" x14ac:dyDescent="0.5">
      <c r="A191" s="2" t="s">
        <v>713</v>
      </c>
      <c r="B191" s="2" t="s">
        <v>104</v>
      </c>
      <c r="C191" s="2" t="str">
        <f t="shared" si="0"/>
        <v>Mike Brown</v>
      </c>
      <c r="D191" s="2" t="s">
        <v>49</v>
      </c>
      <c r="E191" s="2" t="str">
        <f t="shared" si="1"/>
        <v>emily@company.com</v>
      </c>
      <c r="F191" s="2" t="s">
        <v>75</v>
      </c>
      <c r="G191" s="3">
        <v>44773</v>
      </c>
      <c r="H191" s="3" t="str">
        <f t="shared" si="2"/>
        <v>31-Jul-2022</v>
      </c>
      <c r="I191" s="10" t="s">
        <v>714</v>
      </c>
      <c r="J191" s="10">
        <f t="shared" si="3"/>
        <v>108026</v>
      </c>
      <c r="K191" s="11" t="s">
        <v>44</v>
      </c>
      <c r="L191" s="2" t="s">
        <v>112</v>
      </c>
      <c r="M191" s="2" t="str">
        <f t="shared" si="4"/>
        <v>On Leave</v>
      </c>
      <c r="N191" s="2" t="s">
        <v>107</v>
      </c>
      <c r="O191" s="2" t="str">
        <f t="shared" si="5"/>
        <v>All Clear</v>
      </c>
      <c r="P191" s="2" t="s">
        <v>715</v>
      </c>
      <c r="Q191" s="2" t="str">
        <f t="shared" si="6"/>
        <v>NR</v>
      </c>
      <c r="R191" s="2" t="e">
        <f t="array" aca="1" ref="R191" ca="1">_xludf.IFS(Q191="ET", "East", Q191="WT", "West", Q191="ST","South", Q191="NR", "North")</f>
        <v>#NAME?</v>
      </c>
      <c r="S191" s="2" t="s">
        <v>38</v>
      </c>
      <c r="T191" s="2" t="str">
        <f t="shared" si="7"/>
        <v>London</v>
      </c>
      <c r="U191" s="12" t="s">
        <v>22</v>
      </c>
      <c r="V191" s="12">
        <f t="shared" si="8"/>
        <v>0.2</v>
      </c>
      <c r="W191" s="13">
        <f t="shared" si="9"/>
        <v>129631.2</v>
      </c>
      <c r="X191" s="2" t="str">
        <f t="shared" si="10"/>
        <v>High</v>
      </c>
    </row>
    <row r="192" spans="1:24" ht="14.25" customHeight="1" x14ac:dyDescent="0.5">
      <c r="A192" s="2" t="s">
        <v>716</v>
      </c>
      <c r="B192" s="2" t="s">
        <v>502</v>
      </c>
      <c r="C192" s="2" t="str">
        <f t="shared" si="0"/>
        <v>John Moore</v>
      </c>
      <c r="D192" s="2" t="s">
        <v>99</v>
      </c>
      <c r="E192" s="2" t="str">
        <f t="shared" si="1"/>
        <v>daniel@company.com</v>
      </c>
      <c r="F192" s="2" t="s">
        <v>100</v>
      </c>
      <c r="G192" s="3">
        <v>45218</v>
      </c>
      <c r="H192" s="3" t="str">
        <f t="shared" si="2"/>
        <v>19-Oct-2023</v>
      </c>
      <c r="I192" s="10" t="s">
        <v>717</v>
      </c>
      <c r="J192" s="10">
        <f t="shared" si="3"/>
        <v>65518</v>
      </c>
      <c r="K192" s="11" t="s">
        <v>57</v>
      </c>
      <c r="L192" s="2" t="s">
        <v>112</v>
      </c>
      <c r="M192" s="2" t="str">
        <f t="shared" si="4"/>
        <v>On Leave</v>
      </c>
      <c r="N192" s="2" t="s">
        <v>65</v>
      </c>
      <c r="O192" s="2" t="str">
        <f t="shared" si="5"/>
        <v>Follow Up</v>
      </c>
      <c r="P192" s="2" t="s">
        <v>718</v>
      </c>
      <c r="Q192" s="2" t="str">
        <f t="shared" si="6"/>
        <v>ET</v>
      </c>
      <c r="R192" s="2" t="e">
        <f t="array" aca="1" ref="R192" ca="1">_xludf.IFS(Q192="ET", "East", Q192="WT", "West", Q192="ST","South", Q192="NR", "North")</f>
        <v>#NAME?</v>
      </c>
      <c r="S192" s="2" t="s">
        <v>47</v>
      </c>
      <c r="T192" s="2" t="str">
        <f t="shared" si="7"/>
        <v>Lagos</v>
      </c>
      <c r="U192" s="12" t="s">
        <v>30</v>
      </c>
      <c r="V192" s="12">
        <f t="shared" si="8"/>
        <v>0.1</v>
      </c>
      <c r="W192" s="13">
        <f t="shared" si="9"/>
        <v>72069.8</v>
      </c>
      <c r="X192" s="2" t="str">
        <f t="shared" si="10"/>
        <v>Normal</v>
      </c>
    </row>
    <row r="193" spans="1:24" ht="14.25" customHeight="1" x14ac:dyDescent="0.5">
      <c r="A193" s="2" t="s">
        <v>719</v>
      </c>
      <c r="B193" s="2" t="s">
        <v>720</v>
      </c>
      <c r="C193" s="2" t="str">
        <f t="shared" si="0"/>
        <v>Sam Lewis</v>
      </c>
      <c r="D193" s="2" t="s">
        <v>235</v>
      </c>
      <c r="E193" s="2" t="str">
        <f t="shared" si="1"/>
        <v>jane@company.com</v>
      </c>
      <c r="F193" s="2" t="s">
        <v>75</v>
      </c>
      <c r="G193" s="3">
        <v>44287</v>
      </c>
      <c r="H193" s="3" t="str">
        <f t="shared" si="2"/>
        <v>01-Apr-2021</v>
      </c>
      <c r="I193" s="10" t="s">
        <v>721</v>
      </c>
      <c r="J193" s="10">
        <f t="shared" si="3"/>
        <v>64045</v>
      </c>
      <c r="K193" s="11" t="s">
        <v>57</v>
      </c>
      <c r="L193" s="2" t="s">
        <v>58</v>
      </c>
      <c r="M193" s="2" t="str">
        <f t="shared" si="4"/>
        <v>Terminated</v>
      </c>
      <c r="N193" s="2" t="s">
        <v>107</v>
      </c>
      <c r="O193" s="2" t="str">
        <f t="shared" si="5"/>
        <v>All Clear</v>
      </c>
      <c r="P193" s="2" t="s">
        <v>722</v>
      </c>
      <c r="Q193" s="2" t="str">
        <f t="shared" si="6"/>
        <v>ST</v>
      </c>
      <c r="R193" s="2" t="e">
        <f t="array" aca="1" ref="R193" ca="1">_xludf.IFS(Q193="ET", "East", Q193="WT", "West", Q193="ST","South", Q193="NR", "North")</f>
        <v>#NAME?</v>
      </c>
      <c r="S193" s="2" t="s">
        <v>38</v>
      </c>
      <c r="T193" s="2" t="str">
        <f t="shared" si="7"/>
        <v>London</v>
      </c>
      <c r="U193" s="12" t="s">
        <v>22</v>
      </c>
      <c r="V193" s="12">
        <f t="shared" si="8"/>
        <v>0.2</v>
      </c>
      <c r="W193" s="13">
        <f t="shared" si="9"/>
        <v>76854</v>
      </c>
      <c r="X193" s="2" t="str">
        <f t="shared" si="10"/>
        <v>Normal</v>
      </c>
    </row>
    <row r="194" spans="1:24" ht="14.25" customHeight="1" x14ac:dyDescent="0.5">
      <c r="A194" s="2" t="s">
        <v>723</v>
      </c>
      <c r="B194" s="2" t="s">
        <v>32</v>
      </c>
      <c r="C194" s="2" t="str">
        <f t="shared" si="0"/>
        <v>Sarah Lewis</v>
      </c>
      <c r="D194" s="2" t="s">
        <v>49</v>
      </c>
      <c r="E194" s="2" t="str">
        <f t="shared" si="1"/>
        <v>emily@company.com</v>
      </c>
      <c r="F194" s="2" t="s">
        <v>15</v>
      </c>
      <c r="G194" s="3">
        <v>44555</v>
      </c>
      <c r="H194" s="3" t="str">
        <f t="shared" si="2"/>
        <v>25-Dec-2021</v>
      </c>
      <c r="I194" s="10" t="s">
        <v>724</v>
      </c>
      <c r="J194" s="10">
        <f t="shared" si="3"/>
        <v>90876</v>
      </c>
      <c r="K194" s="11" t="s">
        <v>57</v>
      </c>
      <c r="L194" s="2" t="s">
        <v>58</v>
      </c>
      <c r="M194" s="2" t="str">
        <f t="shared" si="4"/>
        <v>Terminated</v>
      </c>
      <c r="O194" s="2" t="str">
        <f t="shared" si="5"/>
        <v>No Notes</v>
      </c>
      <c r="P194" s="2" t="s">
        <v>725</v>
      </c>
      <c r="Q194" s="2" t="str">
        <f t="shared" si="6"/>
        <v>NR</v>
      </c>
      <c r="R194" s="2" t="e">
        <f t="array" aca="1" ref="R194" ca="1">_xludf.IFS(Q194="ET", "East", Q194="WT", "West", Q194="ST","South", Q194="NR", "North")</f>
        <v>#NAME?</v>
      </c>
      <c r="S194" s="2" t="s">
        <v>96</v>
      </c>
      <c r="T194" s="2" t="str">
        <f t="shared" si="7"/>
        <v>Cairo</v>
      </c>
      <c r="U194" s="12" t="s">
        <v>22</v>
      </c>
      <c r="V194" s="12">
        <f t="shared" si="8"/>
        <v>0.2</v>
      </c>
      <c r="W194" s="13">
        <f t="shared" si="9"/>
        <v>109051.2</v>
      </c>
      <c r="X194" s="2" t="str">
        <f t="shared" si="10"/>
        <v>High</v>
      </c>
    </row>
    <row r="195" spans="1:24" ht="14.25" customHeight="1" x14ac:dyDescent="0.5">
      <c r="A195" s="2" t="s">
        <v>726</v>
      </c>
      <c r="B195" s="2" t="s">
        <v>234</v>
      </c>
      <c r="C195" s="2" t="str">
        <f t="shared" si="0"/>
        <v>Emily Lewis</v>
      </c>
      <c r="D195" s="2" t="s">
        <v>74</v>
      </c>
      <c r="E195" s="2" t="str">
        <f t="shared" si="1"/>
        <v>mike@company.com</v>
      </c>
      <c r="F195" s="2" t="s">
        <v>50</v>
      </c>
      <c r="G195" s="3">
        <v>45080</v>
      </c>
      <c r="H195" s="3" t="str">
        <f t="shared" si="2"/>
        <v>03-Jun-2023</v>
      </c>
      <c r="I195" s="10" t="s">
        <v>727</v>
      </c>
      <c r="J195" s="10">
        <f t="shared" si="3"/>
        <v>91919</v>
      </c>
      <c r="K195" s="11" t="s">
        <v>44</v>
      </c>
      <c r="L195" s="2" t="s">
        <v>121</v>
      </c>
      <c r="M195" s="2" t="str">
        <f t="shared" si="4"/>
        <v>On Leave</v>
      </c>
      <c r="N195" s="2" t="s">
        <v>77</v>
      </c>
      <c r="O195" s="2" t="str">
        <f t="shared" si="5"/>
        <v>All Clear</v>
      </c>
      <c r="P195" s="2" t="s">
        <v>728</v>
      </c>
      <c r="Q195" s="2" t="str">
        <f t="shared" si="6"/>
        <v>NR</v>
      </c>
      <c r="R195" s="2" t="e">
        <f t="array" aca="1" ref="R195" ca="1">_xludf.IFS(Q195="ET", "East", Q195="WT", "West", Q195="ST","South", Q195="NR", "North")</f>
        <v>#NAME?</v>
      </c>
      <c r="S195" s="2" t="s">
        <v>60</v>
      </c>
      <c r="T195" s="2" t="str">
        <f t="shared" si="7"/>
        <v>Toronto</v>
      </c>
      <c r="U195" s="12" t="s">
        <v>22</v>
      </c>
      <c r="V195" s="12">
        <f t="shared" si="8"/>
        <v>0.2</v>
      </c>
      <c r="W195" s="13">
        <f t="shared" si="9"/>
        <v>110302.8</v>
      </c>
      <c r="X195" s="2" t="str">
        <f t="shared" si="10"/>
        <v>High</v>
      </c>
    </row>
    <row r="196" spans="1:24" ht="14.25" customHeight="1" x14ac:dyDescent="0.5">
      <c r="A196" s="2" t="s">
        <v>729</v>
      </c>
      <c r="B196" s="2" t="s">
        <v>698</v>
      </c>
      <c r="C196" s="2" t="str">
        <f t="shared" si="0"/>
        <v>Emily Wilson</v>
      </c>
      <c r="D196" s="2" t="s">
        <v>33</v>
      </c>
      <c r="E196" s="2" t="str">
        <f t="shared" si="1"/>
        <v>alex@company.com</v>
      </c>
      <c r="F196" s="2" t="s">
        <v>34</v>
      </c>
      <c r="G196" s="3">
        <v>44812</v>
      </c>
      <c r="H196" s="3" t="str">
        <f t="shared" si="2"/>
        <v>08-Sep-2022</v>
      </c>
      <c r="I196" s="10" t="s">
        <v>730</v>
      </c>
      <c r="J196" s="10">
        <f t="shared" si="3"/>
        <v>67103</v>
      </c>
      <c r="K196" s="11" t="s">
        <v>57</v>
      </c>
      <c r="L196" s="2" t="s">
        <v>121</v>
      </c>
      <c r="M196" s="2" t="str">
        <f t="shared" si="4"/>
        <v>On Leave</v>
      </c>
      <c r="N196" s="2" t="s">
        <v>107</v>
      </c>
      <c r="O196" s="2" t="str">
        <f t="shared" si="5"/>
        <v>All Clear</v>
      </c>
      <c r="P196" s="2" t="s">
        <v>731</v>
      </c>
      <c r="Q196" s="2" t="str">
        <f t="shared" si="6"/>
        <v>ST</v>
      </c>
      <c r="R196" s="2" t="e">
        <f t="array" aca="1" ref="R196" ca="1">_xludf.IFS(Q196="ET", "East", Q196="WT", "West", Q196="ST","South", Q196="NR", "North")</f>
        <v>#NAME?</v>
      </c>
      <c r="S196" s="2" t="s">
        <v>96</v>
      </c>
      <c r="T196" s="2" t="str">
        <f t="shared" si="7"/>
        <v>Cairo</v>
      </c>
      <c r="U196" s="12" t="s">
        <v>39</v>
      </c>
      <c r="V196" s="12">
        <f t="shared" si="8"/>
        <v>0.05</v>
      </c>
      <c r="W196" s="13">
        <f t="shared" si="9"/>
        <v>70458.150000000009</v>
      </c>
      <c r="X196" s="2" t="str">
        <f t="shared" si="10"/>
        <v>Normal</v>
      </c>
    </row>
    <row r="197" spans="1:24" ht="14.25" customHeight="1" x14ac:dyDescent="0.5">
      <c r="A197" s="2" t="s">
        <v>732</v>
      </c>
      <c r="B197" s="2" t="s">
        <v>315</v>
      </c>
      <c r="C197" s="2" t="str">
        <f t="shared" si="0"/>
        <v>Katie Davis</v>
      </c>
      <c r="D197" s="2" t="s">
        <v>93</v>
      </c>
      <c r="E197" s="2" t="str">
        <f t="shared" si="1"/>
        <v>k@ie@company.com</v>
      </c>
      <c r="F197" s="2" t="s">
        <v>42</v>
      </c>
      <c r="G197" s="3">
        <v>44985</v>
      </c>
      <c r="H197" s="3" t="str">
        <f t="shared" si="2"/>
        <v>28-Feb-2023</v>
      </c>
      <c r="I197" s="10" t="s">
        <v>733</v>
      </c>
      <c r="J197" s="10">
        <f t="shared" si="3"/>
        <v>76188</v>
      </c>
      <c r="K197" s="11" t="s">
        <v>83</v>
      </c>
      <c r="L197" s="2" t="s">
        <v>89</v>
      </c>
      <c r="M197" s="2" t="str">
        <f t="shared" si="4"/>
        <v>Active</v>
      </c>
      <c r="O197" s="2" t="str">
        <f t="shared" si="5"/>
        <v>No Notes</v>
      </c>
      <c r="P197" s="2" t="s">
        <v>734</v>
      </c>
      <c r="Q197" s="2" t="str">
        <f t="shared" si="6"/>
        <v>NR</v>
      </c>
      <c r="R197" s="2" t="e">
        <f t="array" aca="1" ref="R197" ca="1">_xludf.IFS(Q197="ET", "East", Q197="WT", "West", Q197="ST","South", Q197="NR", "North")</f>
        <v>#NAME?</v>
      </c>
      <c r="S197" s="2" t="s">
        <v>79</v>
      </c>
      <c r="T197" s="2" t="str">
        <f t="shared" si="7"/>
        <v>New York</v>
      </c>
      <c r="U197" s="12" t="s">
        <v>30</v>
      </c>
      <c r="V197" s="12">
        <f t="shared" si="8"/>
        <v>0.1</v>
      </c>
      <c r="W197" s="13">
        <f t="shared" si="9"/>
        <v>83806.8</v>
      </c>
      <c r="X197" s="2" t="str">
        <f t="shared" si="10"/>
        <v>Normal</v>
      </c>
    </row>
    <row r="198" spans="1:24" ht="14.25" customHeight="1" x14ac:dyDescent="0.5">
      <c r="A198" s="2" t="s">
        <v>735</v>
      </c>
      <c r="B198" s="2" t="s">
        <v>736</v>
      </c>
      <c r="C198" s="2" t="str">
        <f t="shared" si="0"/>
        <v>John Lewis</v>
      </c>
      <c r="D198" s="2" t="s">
        <v>99</v>
      </c>
      <c r="E198" s="2" t="str">
        <f t="shared" si="1"/>
        <v>daniel@company.com</v>
      </c>
      <c r="F198" s="2" t="s">
        <v>42</v>
      </c>
      <c r="G198" s="3">
        <v>44418</v>
      </c>
      <c r="H198" s="3" t="str">
        <f t="shared" si="2"/>
        <v>10-Aug-2021</v>
      </c>
      <c r="I198" s="10" t="s">
        <v>737</v>
      </c>
      <c r="J198" s="10">
        <f t="shared" si="3"/>
        <v>45845</v>
      </c>
      <c r="K198" s="11" t="s">
        <v>36</v>
      </c>
      <c r="L198" s="2" t="s">
        <v>27</v>
      </c>
      <c r="M198" s="2" t="str">
        <f t="shared" si="4"/>
        <v>On Leave</v>
      </c>
      <c r="N198" s="2" t="s">
        <v>77</v>
      </c>
      <c r="O198" s="2" t="str">
        <f t="shared" si="5"/>
        <v>All Clear</v>
      </c>
      <c r="P198" s="2" t="s">
        <v>738</v>
      </c>
      <c r="Q198" s="2" t="str">
        <f t="shared" si="6"/>
        <v>ST</v>
      </c>
      <c r="R198" s="2" t="e">
        <f t="array" aca="1" ref="R198" ca="1">_xludf.IFS(Q198="ET", "East", Q198="WT", "West", Q198="ST","South", Q198="NR", "North")</f>
        <v>#NAME?</v>
      </c>
      <c r="S198" s="2" t="s">
        <v>60</v>
      </c>
      <c r="T198" s="2" t="str">
        <f t="shared" si="7"/>
        <v>Toronto</v>
      </c>
      <c r="U198" s="12" t="s">
        <v>30</v>
      </c>
      <c r="V198" s="12">
        <f t="shared" si="8"/>
        <v>0.1</v>
      </c>
      <c r="W198" s="13">
        <f t="shared" si="9"/>
        <v>50429.500000000007</v>
      </c>
      <c r="X198" s="2" t="str">
        <f t="shared" si="10"/>
        <v>Normal</v>
      </c>
    </row>
    <row r="199" spans="1:24" ht="14.25" customHeight="1" x14ac:dyDescent="0.5">
      <c r="A199" s="2" t="s">
        <v>739</v>
      </c>
      <c r="B199" s="2" t="s">
        <v>740</v>
      </c>
      <c r="C199" s="2" t="str">
        <f t="shared" si="0"/>
        <v>Mike Smith</v>
      </c>
      <c r="D199" s="2" t="s">
        <v>235</v>
      </c>
      <c r="E199" s="2" t="str">
        <f t="shared" si="1"/>
        <v>jane@company.com</v>
      </c>
      <c r="F199" s="2" t="s">
        <v>100</v>
      </c>
      <c r="G199" s="3">
        <v>44306</v>
      </c>
      <c r="H199" s="3" t="str">
        <f t="shared" si="2"/>
        <v>20-Apr-2021</v>
      </c>
      <c r="I199" s="10" t="s">
        <v>741</v>
      </c>
      <c r="J199" s="10">
        <f t="shared" si="3"/>
        <v>76674</v>
      </c>
      <c r="K199" s="11" t="s">
        <v>36</v>
      </c>
      <c r="L199" s="2" t="s">
        <v>18</v>
      </c>
      <c r="M199" s="2" t="str">
        <f t="shared" si="4"/>
        <v>Active</v>
      </c>
      <c r="N199" s="2" t="s">
        <v>65</v>
      </c>
      <c r="O199" s="2" t="str">
        <f t="shared" si="5"/>
        <v>Follow Up</v>
      </c>
      <c r="P199" s="2" t="s">
        <v>742</v>
      </c>
      <c r="Q199" s="2" t="str">
        <f t="shared" si="6"/>
        <v>WT</v>
      </c>
      <c r="R199" s="2" t="e">
        <f t="array" aca="1" ref="R199" ca="1">_xludf.IFS(Q199="ET", "East", Q199="WT", "West", Q199="ST","South", Q199="NR", "North")</f>
        <v>#NAME?</v>
      </c>
      <c r="S199" s="2" t="s">
        <v>38</v>
      </c>
      <c r="T199" s="2" t="str">
        <f t="shared" si="7"/>
        <v>London</v>
      </c>
      <c r="U199" s="12" t="s">
        <v>39</v>
      </c>
      <c r="V199" s="12">
        <f t="shared" si="8"/>
        <v>0.05</v>
      </c>
      <c r="W199" s="13">
        <f t="shared" si="9"/>
        <v>80507.7</v>
      </c>
      <c r="X199" s="2" t="str">
        <f t="shared" si="10"/>
        <v>Normal</v>
      </c>
    </row>
    <row r="200" spans="1:24" ht="14.25" customHeight="1" x14ac:dyDescent="0.5">
      <c r="A200" s="2" t="s">
        <v>743</v>
      </c>
      <c r="B200" s="2" t="s">
        <v>169</v>
      </c>
      <c r="C200" s="2" t="str">
        <f t="shared" si="0"/>
        <v>Jane Miller</v>
      </c>
      <c r="D200" s="2" t="s">
        <v>14</v>
      </c>
      <c r="E200" s="2" t="str">
        <f t="shared" si="1"/>
        <v>john@company.com</v>
      </c>
      <c r="F200" s="2" t="s">
        <v>34</v>
      </c>
      <c r="G200" s="3">
        <v>44816</v>
      </c>
      <c r="H200" s="3" t="str">
        <f t="shared" si="2"/>
        <v>12-Sep-2022</v>
      </c>
      <c r="I200" s="10" t="s">
        <v>744</v>
      </c>
      <c r="J200" s="10">
        <f t="shared" si="3"/>
        <v>59337</v>
      </c>
      <c r="K200" s="11" t="s">
        <v>17</v>
      </c>
      <c r="L200" s="2" t="s">
        <v>89</v>
      </c>
      <c r="M200" s="2" t="str">
        <f t="shared" si="4"/>
        <v>Active</v>
      </c>
      <c r="N200" s="2" t="s">
        <v>65</v>
      </c>
      <c r="O200" s="2" t="str">
        <f t="shared" si="5"/>
        <v>Follow Up</v>
      </c>
      <c r="P200" s="2" t="s">
        <v>745</v>
      </c>
      <c r="Q200" s="2" t="str">
        <f t="shared" si="6"/>
        <v>ST</v>
      </c>
      <c r="R200" s="2" t="e">
        <f t="array" aca="1" ref="R200" ca="1">_xludf.IFS(Q200="ET", "East", Q200="WT", "West", Q200="ST","South", Q200="NR", "North")</f>
        <v>#NAME?</v>
      </c>
      <c r="S200" s="2" t="s">
        <v>60</v>
      </c>
      <c r="T200" s="2" t="str">
        <f t="shared" si="7"/>
        <v>Toronto</v>
      </c>
      <c r="U200" s="12" t="s">
        <v>85</v>
      </c>
      <c r="V200" s="12">
        <f t="shared" si="8"/>
        <v>0.15</v>
      </c>
      <c r="W200" s="13">
        <f t="shared" si="9"/>
        <v>68237.549999999988</v>
      </c>
      <c r="X200" s="2" t="str">
        <f t="shared" si="10"/>
        <v>Normal</v>
      </c>
    </row>
    <row r="201" spans="1:24" ht="14.25" customHeight="1" x14ac:dyDescent="0.5">
      <c r="A201" s="2" t="s">
        <v>746</v>
      </c>
      <c r="B201" s="2" t="s">
        <v>245</v>
      </c>
      <c r="C201" s="2" t="str">
        <f t="shared" si="0"/>
        <v>Katie Moore</v>
      </c>
      <c r="D201" s="2" t="s">
        <v>49</v>
      </c>
      <c r="E201" s="2" t="str">
        <f t="shared" si="1"/>
        <v>emily@company.com</v>
      </c>
      <c r="F201" s="2" t="s">
        <v>69</v>
      </c>
      <c r="G201" s="3">
        <v>45131</v>
      </c>
      <c r="H201" s="3" t="str">
        <f t="shared" si="2"/>
        <v>24-Jul-2023</v>
      </c>
      <c r="I201" s="10" t="s">
        <v>747</v>
      </c>
      <c r="J201" s="10">
        <f t="shared" si="3"/>
        <v>62313</v>
      </c>
      <c r="K201" s="11" t="s">
        <v>17</v>
      </c>
      <c r="L201" s="2" t="s">
        <v>18</v>
      </c>
      <c r="M201" s="2" t="str">
        <f t="shared" si="4"/>
        <v>Active</v>
      </c>
      <c r="N201" s="2" t="s">
        <v>19</v>
      </c>
      <c r="O201" s="2" t="str">
        <f t="shared" si="5"/>
        <v>Urgent Review</v>
      </c>
      <c r="P201" s="2" t="s">
        <v>748</v>
      </c>
      <c r="Q201" s="2" t="str">
        <f t="shared" si="6"/>
        <v>WT</v>
      </c>
      <c r="R201" s="2" t="e">
        <f t="array" aca="1" ref="R201" ca="1">_xludf.IFS(Q201="ET", "East", Q201="WT", "West", Q201="ST","South", Q201="NR", "North")</f>
        <v>#NAME?</v>
      </c>
      <c r="S201" s="2" t="s">
        <v>79</v>
      </c>
      <c r="T201" s="2" t="str">
        <f t="shared" si="7"/>
        <v>New York</v>
      </c>
      <c r="U201" s="12" t="s">
        <v>22</v>
      </c>
      <c r="V201" s="12">
        <f t="shared" si="8"/>
        <v>0.2</v>
      </c>
      <c r="W201" s="13">
        <f t="shared" si="9"/>
        <v>74775.599999999991</v>
      </c>
      <c r="X201" s="2" t="str">
        <f t="shared" si="10"/>
        <v>Normal</v>
      </c>
    </row>
    <row r="202" spans="1:24" ht="14.25" customHeight="1" x14ac:dyDescent="0.5">
      <c r="A202" s="2" t="s">
        <v>749</v>
      </c>
      <c r="B202" s="2" t="s">
        <v>378</v>
      </c>
      <c r="C202" s="2" t="str">
        <f t="shared" si="0"/>
        <v>Emily Smith</v>
      </c>
      <c r="D202" s="2" t="s">
        <v>93</v>
      </c>
      <c r="E202" s="2" t="str">
        <f t="shared" si="1"/>
        <v>k@ie@company.com</v>
      </c>
      <c r="F202" s="2" t="s">
        <v>15</v>
      </c>
      <c r="G202" s="3">
        <v>43986</v>
      </c>
      <c r="H202" s="3" t="str">
        <f t="shared" si="2"/>
        <v>04-Jun-2020</v>
      </c>
      <c r="I202" s="10" t="s">
        <v>750</v>
      </c>
      <c r="J202" s="10">
        <f t="shared" si="3"/>
        <v>66943</v>
      </c>
      <c r="K202" s="11" t="s">
        <v>36</v>
      </c>
      <c r="L202" s="2" t="s">
        <v>58</v>
      </c>
      <c r="M202" s="2" t="str">
        <f t="shared" si="4"/>
        <v>Terminated</v>
      </c>
      <c r="O202" s="2" t="str">
        <f t="shared" si="5"/>
        <v>No Notes</v>
      </c>
      <c r="P202" s="2" t="s">
        <v>751</v>
      </c>
      <c r="Q202" s="2" t="str">
        <f t="shared" si="6"/>
        <v>ST</v>
      </c>
      <c r="R202" s="2" t="e">
        <f t="array" aca="1" ref="R202" ca="1">_xludf.IFS(Q202="ET", "East", Q202="WT", "West", Q202="ST","South", Q202="NR", "North")</f>
        <v>#NAME?</v>
      </c>
      <c r="S202" s="2" t="s">
        <v>159</v>
      </c>
      <c r="T202" s="2" t="str">
        <f t="shared" si="7"/>
        <v>Berlin</v>
      </c>
      <c r="U202" s="12" t="s">
        <v>30</v>
      </c>
      <c r="V202" s="12">
        <f t="shared" si="8"/>
        <v>0.1</v>
      </c>
      <c r="W202" s="13">
        <f t="shared" si="9"/>
        <v>73637.3</v>
      </c>
      <c r="X202" s="2" t="str">
        <f t="shared" si="10"/>
        <v>Normal</v>
      </c>
    </row>
    <row r="203" spans="1:24" ht="14.25" customHeight="1" x14ac:dyDescent="0.5">
      <c r="A203" s="2" t="s">
        <v>752</v>
      </c>
      <c r="B203" s="2" t="s">
        <v>124</v>
      </c>
      <c r="C203" s="2" t="str">
        <f t="shared" si="0"/>
        <v>Sarah Davis</v>
      </c>
      <c r="D203" s="2" t="s">
        <v>99</v>
      </c>
      <c r="E203" s="2" t="str">
        <f t="shared" si="1"/>
        <v>daniel@company.com</v>
      </c>
      <c r="F203" s="2" t="s">
        <v>100</v>
      </c>
      <c r="G203" s="3">
        <v>45072</v>
      </c>
      <c r="H203" s="3" t="str">
        <f t="shared" si="2"/>
        <v>26-May-2023</v>
      </c>
      <c r="I203" s="10" t="s">
        <v>753</v>
      </c>
      <c r="J203" s="10">
        <f t="shared" si="3"/>
        <v>117949</v>
      </c>
      <c r="K203" s="11" t="s">
        <v>83</v>
      </c>
      <c r="L203" s="2" t="s">
        <v>112</v>
      </c>
      <c r="M203" s="2" t="str">
        <f t="shared" si="4"/>
        <v>On Leave</v>
      </c>
      <c r="O203" s="2" t="str">
        <f t="shared" si="5"/>
        <v>No Notes</v>
      </c>
      <c r="P203" s="2" t="s">
        <v>754</v>
      </c>
      <c r="Q203" s="2" t="str">
        <f t="shared" si="6"/>
        <v>ET</v>
      </c>
      <c r="R203" s="2" t="e">
        <f t="array" aca="1" ref="R203" ca="1">_xludf.IFS(Q203="ET", "East", Q203="WT", "West", Q203="ST","South", Q203="NR", "North")</f>
        <v>#NAME?</v>
      </c>
      <c r="S203" s="2" t="s">
        <v>96</v>
      </c>
      <c r="T203" s="2" t="str">
        <f t="shared" si="7"/>
        <v>Cairo</v>
      </c>
      <c r="U203" s="12" t="s">
        <v>39</v>
      </c>
      <c r="V203" s="12">
        <f t="shared" si="8"/>
        <v>0.05</v>
      </c>
      <c r="W203" s="13">
        <f t="shared" si="9"/>
        <v>123846.45000000001</v>
      </c>
      <c r="X203" s="2" t="str">
        <f t="shared" si="10"/>
        <v>High</v>
      </c>
    </row>
    <row r="204" spans="1:24" ht="14.25" customHeight="1" x14ac:dyDescent="0.5">
      <c r="A204" s="2" t="s">
        <v>755</v>
      </c>
      <c r="B204" s="2" t="s">
        <v>405</v>
      </c>
      <c r="C204" s="2" t="str">
        <f t="shared" si="0"/>
        <v>Daniel Wilson</v>
      </c>
      <c r="D204" s="2" t="s">
        <v>74</v>
      </c>
      <c r="E204" s="2" t="str">
        <f t="shared" si="1"/>
        <v>mike@company.com</v>
      </c>
      <c r="F204" s="2" t="s">
        <v>69</v>
      </c>
      <c r="G204" s="3">
        <v>44020</v>
      </c>
      <c r="H204" s="3" t="str">
        <f t="shared" si="2"/>
        <v>08-Jul-2020</v>
      </c>
      <c r="I204" s="10" t="s">
        <v>756</v>
      </c>
      <c r="J204" s="10">
        <f t="shared" si="3"/>
        <v>40276</v>
      </c>
      <c r="K204" s="11" t="s">
        <v>44</v>
      </c>
      <c r="L204" s="2" t="s">
        <v>58</v>
      </c>
      <c r="M204" s="2" t="str">
        <f t="shared" si="4"/>
        <v>Terminated</v>
      </c>
      <c r="N204" s="2" t="s">
        <v>28</v>
      </c>
      <c r="O204" s="2" t="str">
        <f t="shared" si="5"/>
        <v>Pending Docs</v>
      </c>
      <c r="P204" s="2" t="s">
        <v>757</v>
      </c>
      <c r="Q204" s="2" t="str">
        <f t="shared" si="6"/>
        <v>ET</v>
      </c>
      <c r="R204" s="2" t="e">
        <f t="array" aca="1" ref="R204" ca="1">_xludf.IFS(Q204="ET", "East", Q204="WT", "West", Q204="ST","South", Q204="NR", "North")</f>
        <v>#NAME?</v>
      </c>
      <c r="S204" s="2" t="s">
        <v>53</v>
      </c>
      <c r="T204" s="2" t="str">
        <f t="shared" si="7"/>
        <v>Delhi</v>
      </c>
      <c r="U204" s="12" t="s">
        <v>22</v>
      </c>
      <c r="V204" s="12">
        <f t="shared" si="8"/>
        <v>0.2</v>
      </c>
      <c r="W204" s="13">
        <f t="shared" si="9"/>
        <v>48331.199999999997</v>
      </c>
      <c r="X204" s="2" t="str">
        <f t="shared" si="10"/>
        <v>Normal</v>
      </c>
    </row>
    <row r="205" spans="1:24" ht="14.25" customHeight="1" x14ac:dyDescent="0.5">
      <c r="A205" s="2" t="s">
        <v>758</v>
      </c>
      <c r="B205" s="2" t="s">
        <v>720</v>
      </c>
      <c r="C205" s="2" t="str">
        <f t="shared" si="0"/>
        <v>Sam Lewis</v>
      </c>
      <c r="D205" s="2" t="s">
        <v>125</v>
      </c>
      <c r="E205" s="2" t="str">
        <f t="shared" si="1"/>
        <v>sarah@company.com</v>
      </c>
      <c r="F205" s="2" t="s">
        <v>75</v>
      </c>
      <c r="G205" s="3">
        <v>45271</v>
      </c>
      <c r="H205" s="3" t="str">
        <f t="shared" si="2"/>
        <v>11-Dec-2023</v>
      </c>
      <c r="I205" s="10" t="s">
        <v>759</v>
      </c>
      <c r="J205" s="10">
        <f t="shared" si="3"/>
        <v>91151</v>
      </c>
      <c r="K205" s="11" t="s">
        <v>44</v>
      </c>
      <c r="L205" s="2" t="s">
        <v>112</v>
      </c>
      <c r="M205" s="2" t="str">
        <f t="shared" si="4"/>
        <v>On Leave</v>
      </c>
      <c r="N205" s="2" t="s">
        <v>28</v>
      </c>
      <c r="O205" s="2" t="str">
        <f t="shared" si="5"/>
        <v>Pending Docs</v>
      </c>
      <c r="P205" s="2" t="s">
        <v>760</v>
      </c>
      <c r="Q205" s="2" t="str">
        <f t="shared" si="6"/>
        <v>WT</v>
      </c>
      <c r="R205" s="2" t="e">
        <f t="array" aca="1" ref="R205" ca="1">_xludf.IFS(Q205="ET", "East", Q205="WT", "West", Q205="ST","South", Q205="NR", "North")</f>
        <v>#NAME?</v>
      </c>
      <c r="S205" s="2" t="s">
        <v>96</v>
      </c>
      <c r="T205" s="2" t="str">
        <f t="shared" si="7"/>
        <v>Cairo</v>
      </c>
      <c r="U205" s="12" t="s">
        <v>85</v>
      </c>
      <c r="V205" s="12">
        <f t="shared" si="8"/>
        <v>0.15</v>
      </c>
      <c r="W205" s="13">
        <f t="shared" si="9"/>
        <v>104823.65</v>
      </c>
      <c r="X205" s="2" t="str">
        <f t="shared" si="10"/>
        <v>High</v>
      </c>
    </row>
    <row r="206" spans="1:24" ht="14.25" customHeight="1" x14ac:dyDescent="0.5">
      <c r="A206" s="2" t="s">
        <v>761</v>
      </c>
      <c r="B206" s="2" t="s">
        <v>762</v>
      </c>
      <c r="C206" s="2" t="str">
        <f t="shared" si="0"/>
        <v>Sam Davis</v>
      </c>
      <c r="D206" s="2" t="s">
        <v>49</v>
      </c>
      <c r="E206" s="2" t="str">
        <f t="shared" si="1"/>
        <v>emily@company.com</v>
      </c>
      <c r="F206" s="2" t="s">
        <v>15</v>
      </c>
      <c r="G206" s="3">
        <v>44811</v>
      </c>
      <c r="H206" s="3" t="str">
        <f t="shared" si="2"/>
        <v>07-Sep-2022</v>
      </c>
      <c r="I206" s="10" t="s">
        <v>763</v>
      </c>
      <c r="J206" s="10">
        <f t="shared" si="3"/>
        <v>57611</v>
      </c>
      <c r="K206" s="11" t="s">
        <v>83</v>
      </c>
      <c r="L206" s="2" t="s">
        <v>121</v>
      </c>
      <c r="M206" s="2" t="str">
        <f t="shared" si="4"/>
        <v>On Leave</v>
      </c>
      <c r="N206" s="2" t="s">
        <v>77</v>
      </c>
      <c r="O206" s="2" t="str">
        <f t="shared" si="5"/>
        <v>All Clear</v>
      </c>
      <c r="P206" s="2" t="s">
        <v>764</v>
      </c>
      <c r="Q206" s="2" t="str">
        <f t="shared" si="6"/>
        <v>WT</v>
      </c>
      <c r="R206" s="2" t="e">
        <f t="array" aca="1" ref="R206" ca="1">_xludf.IFS(Q206="ET", "East", Q206="WT", "West", Q206="ST","South", Q206="NR", "North")</f>
        <v>#NAME?</v>
      </c>
      <c r="S206" s="2" t="s">
        <v>38</v>
      </c>
      <c r="T206" s="2" t="str">
        <f t="shared" si="7"/>
        <v>London</v>
      </c>
      <c r="U206" s="12" t="s">
        <v>85</v>
      </c>
      <c r="V206" s="12">
        <f t="shared" si="8"/>
        <v>0.15</v>
      </c>
      <c r="W206" s="13">
        <f t="shared" si="9"/>
        <v>66252.649999999994</v>
      </c>
      <c r="X206" s="2" t="str">
        <f t="shared" si="10"/>
        <v>Normal</v>
      </c>
    </row>
    <row r="207" spans="1:24" ht="14.25" customHeight="1" x14ac:dyDescent="0.5">
      <c r="A207" s="2" t="s">
        <v>765</v>
      </c>
      <c r="B207" s="2" t="s">
        <v>766</v>
      </c>
      <c r="C207" s="2" t="str">
        <f t="shared" si="0"/>
        <v>Daniel Clark</v>
      </c>
      <c r="D207" s="2" t="s">
        <v>74</v>
      </c>
      <c r="E207" s="2" t="str">
        <f t="shared" si="1"/>
        <v>mike@company.com</v>
      </c>
      <c r="F207" s="2" t="s">
        <v>75</v>
      </c>
      <c r="G207" s="3">
        <v>44376</v>
      </c>
      <c r="H207" s="3" t="str">
        <f t="shared" si="2"/>
        <v>29-Jun-2021</v>
      </c>
      <c r="I207" s="10" t="s">
        <v>767</v>
      </c>
      <c r="J207" s="10">
        <f t="shared" si="3"/>
        <v>51944</v>
      </c>
      <c r="K207" s="11" t="s">
        <v>44</v>
      </c>
      <c r="L207" s="2" t="s">
        <v>89</v>
      </c>
      <c r="M207" s="2" t="str">
        <f t="shared" si="4"/>
        <v>Active</v>
      </c>
      <c r="N207" s="2" t="s">
        <v>77</v>
      </c>
      <c r="O207" s="2" t="str">
        <f t="shared" si="5"/>
        <v>All Clear</v>
      </c>
      <c r="P207" s="2" t="s">
        <v>768</v>
      </c>
      <c r="Q207" s="2" t="str">
        <f t="shared" si="6"/>
        <v>ET</v>
      </c>
      <c r="R207" s="2" t="e">
        <f t="array" aca="1" ref="R207" ca="1">_xludf.IFS(Q207="ET", "East", Q207="WT", "West", Q207="ST","South", Q207="NR", "North")</f>
        <v>#NAME?</v>
      </c>
      <c r="S207" s="2" t="s">
        <v>60</v>
      </c>
      <c r="T207" s="2" t="str">
        <f t="shared" si="7"/>
        <v>Toronto</v>
      </c>
      <c r="U207" s="12" t="s">
        <v>22</v>
      </c>
      <c r="V207" s="12">
        <f t="shared" si="8"/>
        <v>0.2</v>
      </c>
      <c r="W207" s="13">
        <f t="shared" si="9"/>
        <v>62332.799999999996</v>
      </c>
      <c r="X207" s="2" t="str">
        <f t="shared" si="10"/>
        <v>Normal</v>
      </c>
    </row>
    <row r="208" spans="1:24" ht="14.25" customHeight="1" x14ac:dyDescent="0.5">
      <c r="A208" s="2" t="s">
        <v>769</v>
      </c>
      <c r="B208" s="2" t="s">
        <v>378</v>
      </c>
      <c r="C208" s="2" t="str">
        <f t="shared" si="0"/>
        <v>Emily Smith</v>
      </c>
      <c r="D208" s="2" t="s">
        <v>99</v>
      </c>
      <c r="E208" s="2" t="str">
        <f t="shared" si="1"/>
        <v>daniel@company.com</v>
      </c>
      <c r="F208" s="2" t="s">
        <v>34</v>
      </c>
      <c r="G208" s="3">
        <v>43871</v>
      </c>
      <c r="H208" s="3" t="str">
        <f t="shared" si="2"/>
        <v>10-Feb-2020</v>
      </c>
      <c r="I208" s="10" t="s">
        <v>770</v>
      </c>
      <c r="J208" s="10">
        <f t="shared" si="3"/>
        <v>92887</v>
      </c>
      <c r="K208" s="11" t="s">
        <v>57</v>
      </c>
      <c r="L208" s="2" t="s">
        <v>121</v>
      </c>
      <c r="M208" s="2" t="str">
        <f t="shared" si="4"/>
        <v>On Leave</v>
      </c>
      <c r="N208" s="2" t="s">
        <v>28</v>
      </c>
      <c r="O208" s="2" t="str">
        <f t="shared" si="5"/>
        <v>Pending Docs</v>
      </c>
      <c r="P208" s="2" t="s">
        <v>771</v>
      </c>
      <c r="Q208" s="2" t="str">
        <f t="shared" si="6"/>
        <v>WT</v>
      </c>
      <c r="R208" s="2" t="e">
        <f t="array" aca="1" ref="R208" ca="1">_xludf.IFS(Q208="ET", "East", Q208="WT", "West", Q208="ST","South", Q208="NR", "North")</f>
        <v>#NAME?</v>
      </c>
      <c r="S208" s="2" t="s">
        <v>38</v>
      </c>
      <c r="T208" s="2" t="str">
        <f t="shared" si="7"/>
        <v>London</v>
      </c>
      <c r="U208" s="12" t="s">
        <v>85</v>
      </c>
      <c r="V208" s="12">
        <f t="shared" si="8"/>
        <v>0.15</v>
      </c>
      <c r="W208" s="13">
        <f t="shared" si="9"/>
        <v>106820.04999999999</v>
      </c>
      <c r="X208" s="2" t="str">
        <f t="shared" si="10"/>
        <v>High</v>
      </c>
    </row>
    <row r="209" spans="1:24" ht="14.25" customHeight="1" x14ac:dyDescent="0.5">
      <c r="A209" s="2" t="s">
        <v>772</v>
      </c>
      <c r="B209" s="2" t="s">
        <v>297</v>
      </c>
      <c r="C209" s="2" t="str">
        <f t="shared" si="0"/>
        <v>Alex Davis</v>
      </c>
      <c r="D209" s="2" t="s">
        <v>49</v>
      </c>
      <c r="E209" s="2" t="str">
        <f t="shared" si="1"/>
        <v>emily@company.com</v>
      </c>
      <c r="F209" s="2" t="s">
        <v>50</v>
      </c>
      <c r="G209" s="3">
        <v>44137</v>
      </c>
      <c r="H209" s="3" t="str">
        <f t="shared" si="2"/>
        <v>02-Nov-2020</v>
      </c>
      <c r="I209" s="10" t="s">
        <v>773</v>
      </c>
      <c r="J209" s="10">
        <f t="shared" si="3"/>
        <v>89847</v>
      </c>
      <c r="K209" s="11" t="s">
        <v>36</v>
      </c>
      <c r="L209" s="2" t="s">
        <v>112</v>
      </c>
      <c r="M209" s="2" t="str">
        <f t="shared" si="4"/>
        <v>On Leave</v>
      </c>
      <c r="N209" s="2" t="s">
        <v>77</v>
      </c>
      <c r="O209" s="2" t="str">
        <f t="shared" si="5"/>
        <v>All Clear</v>
      </c>
      <c r="P209" s="2" t="s">
        <v>774</v>
      </c>
      <c r="Q209" s="2" t="str">
        <f t="shared" si="6"/>
        <v>ST</v>
      </c>
      <c r="R209" s="2" t="e">
        <f t="array" aca="1" ref="R209" ca="1">_xludf.IFS(Q209="ET", "East", Q209="WT", "West", Q209="ST","South", Q209="NR", "North")</f>
        <v>#NAME?</v>
      </c>
      <c r="S209" s="2" t="s">
        <v>159</v>
      </c>
      <c r="T209" s="2" t="str">
        <f t="shared" si="7"/>
        <v>Berlin</v>
      </c>
      <c r="U209" s="12" t="s">
        <v>30</v>
      </c>
      <c r="V209" s="12">
        <f t="shared" si="8"/>
        <v>0.1</v>
      </c>
      <c r="W209" s="13">
        <f t="shared" si="9"/>
        <v>98831.700000000012</v>
      </c>
      <c r="X209" s="2" t="str">
        <f t="shared" si="10"/>
        <v>Normal</v>
      </c>
    </row>
    <row r="210" spans="1:24" ht="14.25" customHeight="1" x14ac:dyDescent="0.5">
      <c r="A210" s="2" t="s">
        <v>775</v>
      </c>
      <c r="B210" s="2" t="s">
        <v>286</v>
      </c>
      <c r="C210" s="2" t="str">
        <f t="shared" si="0"/>
        <v>Mike Lewis</v>
      </c>
      <c r="D210" s="2" t="s">
        <v>93</v>
      </c>
      <c r="E210" s="2" t="str">
        <f t="shared" si="1"/>
        <v>k@ie@company.com</v>
      </c>
      <c r="F210" s="2" t="s">
        <v>15</v>
      </c>
      <c r="G210" s="3">
        <v>44773</v>
      </c>
      <c r="H210" s="3" t="str">
        <f t="shared" si="2"/>
        <v>31-Jul-2022</v>
      </c>
      <c r="I210" s="10" t="s">
        <v>776</v>
      </c>
      <c r="J210" s="10">
        <f t="shared" si="3"/>
        <v>98653</v>
      </c>
      <c r="K210" s="11" t="s">
        <v>36</v>
      </c>
      <c r="L210" s="2" t="s">
        <v>58</v>
      </c>
      <c r="M210" s="2" t="str">
        <f t="shared" si="4"/>
        <v>Terminated</v>
      </c>
      <c r="N210" s="2" t="s">
        <v>107</v>
      </c>
      <c r="O210" s="2" t="str">
        <f t="shared" si="5"/>
        <v>All Clear</v>
      </c>
      <c r="P210" s="2" t="s">
        <v>777</v>
      </c>
      <c r="Q210" s="2" t="str">
        <f t="shared" si="6"/>
        <v>ST</v>
      </c>
      <c r="R210" s="2" t="e">
        <f t="array" aca="1" ref="R210" ca="1">_xludf.IFS(Q210="ET", "East", Q210="WT", "West", Q210="ST","South", Q210="NR", "North")</f>
        <v>#NAME?</v>
      </c>
      <c r="S210" s="2" t="s">
        <v>60</v>
      </c>
      <c r="T210" s="2" t="str">
        <f t="shared" si="7"/>
        <v>Toronto</v>
      </c>
      <c r="U210" s="12" t="s">
        <v>30</v>
      </c>
      <c r="V210" s="12">
        <f t="shared" si="8"/>
        <v>0.1</v>
      </c>
      <c r="W210" s="13">
        <f t="shared" si="9"/>
        <v>108518.3</v>
      </c>
      <c r="X210" s="2" t="str">
        <f t="shared" si="10"/>
        <v>High</v>
      </c>
    </row>
    <row r="211" spans="1:24" ht="14.25" customHeight="1" x14ac:dyDescent="0.5">
      <c r="A211" s="2" t="s">
        <v>778</v>
      </c>
      <c r="B211" s="2" t="s">
        <v>698</v>
      </c>
      <c r="C211" s="2" t="str">
        <f t="shared" si="0"/>
        <v>Emily Wilson</v>
      </c>
      <c r="D211" s="2" t="s">
        <v>99</v>
      </c>
      <c r="E211" s="2" t="str">
        <f t="shared" si="1"/>
        <v>daniel@company.com</v>
      </c>
      <c r="F211" s="2" t="s">
        <v>69</v>
      </c>
      <c r="G211" s="3">
        <v>44168</v>
      </c>
      <c r="H211" s="3" t="str">
        <f t="shared" si="2"/>
        <v>03-Dec-2020</v>
      </c>
      <c r="I211" s="10" t="s">
        <v>779</v>
      </c>
      <c r="J211" s="10">
        <f t="shared" si="3"/>
        <v>96622</v>
      </c>
      <c r="K211" s="11" t="s">
        <v>83</v>
      </c>
      <c r="L211" s="2" t="s">
        <v>121</v>
      </c>
      <c r="M211" s="2" t="str">
        <f t="shared" si="4"/>
        <v>On Leave</v>
      </c>
      <c r="N211" s="2" t="s">
        <v>28</v>
      </c>
      <c r="O211" s="2" t="str">
        <f t="shared" si="5"/>
        <v>Pending Docs</v>
      </c>
      <c r="P211" s="2" t="s">
        <v>780</v>
      </c>
      <c r="Q211" s="2" t="str">
        <f t="shared" si="6"/>
        <v>ET</v>
      </c>
      <c r="R211" s="2" t="e">
        <f t="array" aca="1" ref="R211" ca="1">_xludf.IFS(Q211="ET", "East", Q211="WT", "West", Q211="ST","South", Q211="NR", "North")</f>
        <v>#NAME?</v>
      </c>
      <c r="S211" s="2" t="s">
        <v>53</v>
      </c>
      <c r="T211" s="2" t="str">
        <f t="shared" si="7"/>
        <v>Delhi</v>
      </c>
      <c r="U211" s="12" t="s">
        <v>30</v>
      </c>
      <c r="V211" s="12">
        <f t="shared" si="8"/>
        <v>0.1</v>
      </c>
      <c r="W211" s="13">
        <f t="shared" si="9"/>
        <v>106284.20000000001</v>
      </c>
      <c r="X211" s="2" t="str">
        <f t="shared" si="10"/>
        <v>High</v>
      </c>
    </row>
    <row r="212" spans="1:24" ht="14.25" customHeight="1" x14ac:dyDescent="0.5">
      <c r="A212" s="2" t="s">
        <v>781</v>
      </c>
      <c r="B212" s="2" t="s">
        <v>475</v>
      </c>
      <c r="C212" s="2" t="str">
        <f t="shared" si="0"/>
        <v>Alex Smith</v>
      </c>
      <c r="D212" s="2" t="s">
        <v>25</v>
      </c>
      <c r="E212" s="2" t="str">
        <f t="shared" si="1"/>
        <v>chris@company.com</v>
      </c>
      <c r="F212" s="2" t="s">
        <v>50</v>
      </c>
      <c r="G212" s="3">
        <v>45168</v>
      </c>
      <c r="H212" s="3" t="str">
        <f t="shared" si="2"/>
        <v>30-Aug-2023</v>
      </c>
      <c r="I212" s="10" t="s">
        <v>782</v>
      </c>
      <c r="J212" s="10">
        <f t="shared" si="3"/>
        <v>67810</v>
      </c>
      <c r="K212" s="11" t="s">
        <v>44</v>
      </c>
      <c r="L212" s="2" t="s">
        <v>45</v>
      </c>
      <c r="M212" s="2" t="str">
        <f t="shared" si="4"/>
        <v>Active</v>
      </c>
      <c r="O212" s="2" t="str">
        <f t="shared" si="5"/>
        <v>No Notes</v>
      </c>
      <c r="P212" s="2" t="s">
        <v>783</v>
      </c>
      <c r="Q212" s="2" t="str">
        <f t="shared" si="6"/>
        <v>NR</v>
      </c>
      <c r="R212" s="2" t="e">
        <f t="array" aca="1" ref="R212" ca="1">_xludf.IFS(Q212="ET", "East", Q212="WT", "West", Q212="ST","South", Q212="NR", "North")</f>
        <v>#NAME?</v>
      </c>
      <c r="S212" s="2" t="s">
        <v>60</v>
      </c>
      <c r="T212" s="2" t="str">
        <f t="shared" si="7"/>
        <v>Toronto</v>
      </c>
      <c r="U212" s="12" t="s">
        <v>85</v>
      </c>
      <c r="V212" s="12">
        <f t="shared" si="8"/>
        <v>0.15</v>
      </c>
      <c r="W212" s="13">
        <f t="shared" si="9"/>
        <v>77981.5</v>
      </c>
      <c r="X212" s="2" t="str">
        <f t="shared" si="10"/>
        <v>Normal</v>
      </c>
    </row>
    <row r="213" spans="1:24" ht="14.25" customHeight="1" x14ac:dyDescent="0.5">
      <c r="A213" s="2" t="s">
        <v>784</v>
      </c>
      <c r="B213" s="2" t="s">
        <v>698</v>
      </c>
      <c r="C213" s="2" t="str">
        <f t="shared" si="0"/>
        <v>Emily Wilson</v>
      </c>
      <c r="D213" s="2" t="s">
        <v>235</v>
      </c>
      <c r="E213" s="2" t="str">
        <f t="shared" si="1"/>
        <v>jane@company.com</v>
      </c>
      <c r="F213" s="2" t="s">
        <v>42</v>
      </c>
      <c r="G213" s="3">
        <v>44929</v>
      </c>
      <c r="H213" s="3" t="str">
        <f t="shared" si="2"/>
        <v>03-Jan-2023</v>
      </c>
      <c r="I213" s="10" t="s">
        <v>785</v>
      </c>
      <c r="J213" s="10">
        <f t="shared" si="3"/>
        <v>117842</v>
      </c>
      <c r="K213" s="11" t="s">
        <v>17</v>
      </c>
      <c r="L213" s="2" t="s">
        <v>18</v>
      </c>
      <c r="M213" s="2" t="str">
        <f t="shared" si="4"/>
        <v>Active</v>
      </c>
      <c r="N213" s="2" t="s">
        <v>107</v>
      </c>
      <c r="O213" s="2" t="str">
        <f t="shared" si="5"/>
        <v>All Clear</v>
      </c>
      <c r="P213" s="2" t="s">
        <v>786</v>
      </c>
      <c r="Q213" s="2" t="str">
        <f t="shared" si="6"/>
        <v>ST</v>
      </c>
      <c r="R213" s="2" t="e">
        <f t="array" aca="1" ref="R213" ca="1">_xludf.IFS(Q213="ET", "East", Q213="WT", "West", Q213="ST","South", Q213="NR", "North")</f>
        <v>#NAME?</v>
      </c>
      <c r="S213" s="2" t="s">
        <v>53</v>
      </c>
      <c r="T213" s="2" t="str">
        <f t="shared" si="7"/>
        <v>Delhi</v>
      </c>
      <c r="U213" s="12" t="s">
        <v>30</v>
      </c>
      <c r="V213" s="12">
        <f t="shared" si="8"/>
        <v>0.1</v>
      </c>
      <c r="W213" s="13">
        <f t="shared" si="9"/>
        <v>129626.20000000001</v>
      </c>
      <c r="X213" s="2" t="str">
        <f t="shared" si="10"/>
        <v>High</v>
      </c>
    </row>
    <row r="214" spans="1:24" ht="14.25" customHeight="1" x14ac:dyDescent="0.5">
      <c r="A214" s="2" t="s">
        <v>787</v>
      </c>
      <c r="B214" s="2" t="s">
        <v>286</v>
      </c>
      <c r="C214" s="2" t="str">
        <f t="shared" si="0"/>
        <v>Mike Lewis</v>
      </c>
      <c r="D214" s="2" t="s">
        <v>93</v>
      </c>
      <c r="E214" s="2" t="str">
        <f t="shared" si="1"/>
        <v>k@ie@company.com</v>
      </c>
      <c r="F214" s="2" t="s">
        <v>69</v>
      </c>
      <c r="G214" s="3">
        <v>44783</v>
      </c>
      <c r="H214" s="3" t="str">
        <f t="shared" si="2"/>
        <v>10-Aug-2022</v>
      </c>
      <c r="I214" s="10" t="s">
        <v>788</v>
      </c>
      <c r="J214" s="10">
        <f t="shared" si="3"/>
        <v>50503</v>
      </c>
      <c r="K214" s="11" t="s">
        <v>17</v>
      </c>
      <c r="L214" s="2" t="s">
        <v>64</v>
      </c>
      <c r="M214" s="2" t="str">
        <f t="shared" si="4"/>
        <v>Terminated</v>
      </c>
      <c r="N214" s="2" t="s">
        <v>77</v>
      </c>
      <c r="O214" s="2" t="str">
        <f t="shared" si="5"/>
        <v>All Clear</v>
      </c>
      <c r="P214" s="2" t="s">
        <v>789</v>
      </c>
      <c r="Q214" s="2" t="str">
        <f t="shared" si="6"/>
        <v>WT</v>
      </c>
      <c r="R214" s="2" t="e">
        <f t="array" aca="1" ref="R214" ca="1">_xludf.IFS(Q214="ET", "East", Q214="WT", "West", Q214="ST","South", Q214="NR", "North")</f>
        <v>#NAME?</v>
      </c>
      <c r="S214" s="2" t="s">
        <v>38</v>
      </c>
      <c r="T214" s="2" t="str">
        <f t="shared" si="7"/>
        <v>London</v>
      </c>
      <c r="U214" s="12" t="s">
        <v>39</v>
      </c>
      <c r="V214" s="12">
        <f t="shared" si="8"/>
        <v>0.05</v>
      </c>
      <c r="W214" s="13">
        <f t="shared" si="9"/>
        <v>53028.15</v>
      </c>
      <c r="X214" s="2" t="str">
        <f t="shared" si="10"/>
        <v>Normal</v>
      </c>
    </row>
    <row r="215" spans="1:24" ht="14.25" customHeight="1" x14ac:dyDescent="0.5">
      <c r="A215" s="2" t="s">
        <v>790</v>
      </c>
      <c r="B215" s="2" t="s">
        <v>68</v>
      </c>
      <c r="C215" s="2" t="str">
        <f t="shared" si="0"/>
        <v>Daniel Davis</v>
      </c>
      <c r="D215" s="2" t="s">
        <v>49</v>
      </c>
      <c r="E215" s="2" t="str">
        <f t="shared" si="1"/>
        <v>emily@company.com</v>
      </c>
      <c r="F215" s="2" t="s">
        <v>100</v>
      </c>
      <c r="G215" s="3">
        <v>44109</v>
      </c>
      <c r="H215" s="3" t="str">
        <f t="shared" si="2"/>
        <v>05-Oct-2020</v>
      </c>
      <c r="I215" s="10" t="s">
        <v>791</v>
      </c>
      <c r="J215" s="10">
        <f t="shared" si="3"/>
        <v>76976</v>
      </c>
      <c r="K215" s="11" t="s">
        <v>44</v>
      </c>
      <c r="L215" s="2" t="s">
        <v>112</v>
      </c>
      <c r="M215" s="2" t="str">
        <f t="shared" si="4"/>
        <v>On Leave</v>
      </c>
      <c r="N215" s="2" t="s">
        <v>65</v>
      </c>
      <c r="O215" s="2" t="str">
        <f t="shared" si="5"/>
        <v>Follow Up</v>
      </c>
      <c r="P215" s="2" t="s">
        <v>792</v>
      </c>
      <c r="Q215" s="2" t="str">
        <f t="shared" si="6"/>
        <v>NR</v>
      </c>
      <c r="R215" s="2" t="e">
        <f t="array" aca="1" ref="R215" ca="1">_xludf.IFS(Q215="ET", "East", Q215="WT", "West", Q215="ST","South", Q215="NR", "North")</f>
        <v>#NAME?</v>
      </c>
      <c r="S215" s="2" t="s">
        <v>38</v>
      </c>
      <c r="T215" s="2" t="str">
        <f t="shared" si="7"/>
        <v>London</v>
      </c>
      <c r="U215" s="12" t="s">
        <v>30</v>
      </c>
      <c r="V215" s="12">
        <f t="shared" si="8"/>
        <v>0.1</v>
      </c>
      <c r="W215" s="13">
        <f t="shared" si="9"/>
        <v>84673.600000000006</v>
      </c>
      <c r="X215" s="2" t="str">
        <f t="shared" si="10"/>
        <v>Normal</v>
      </c>
    </row>
    <row r="216" spans="1:24" ht="14.25" customHeight="1" x14ac:dyDescent="0.5">
      <c r="A216" s="2" t="s">
        <v>793</v>
      </c>
      <c r="B216" s="2" t="s">
        <v>161</v>
      </c>
      <c r="C216" s="2" t="str">
        <f t="shared" si="0"/>
        <v>Alex Johnson</v>
      </c>
      <c r="D216" s="2" t="s">
        <v>125</v>
      </c>
      <c r="E216" s="2" t="str">
        <f t="shared" si="1"/>
        <v>sarah@company.com</v>
      </c>
      <c r="F216" s="2" t="s">
        <v>42</v>
      </c>
      <c r="G216" s="3">
        <v>45030</v>
      </c>
      <c r="H216" s="3" t="str">
        <f t="shared" si="2"/>
        <v>14-Apr-2023</v>
      </c>
      <c r="I216" s="10" t="s">
        <v>794</v>
      </c>
      <c r="J216" s="10">
        <f t="shared" si="3"/>
        <v>51590</v>
      </c>
      <c r="K216" s="11" t="s">
        <v>17</v>
      </c>
      <c r="L216" s="2" t="s">
        <v>112</v>
      </c>
      <c r="M216" s="2" t="str">
        <f t="shared" si="4"/>
        <v>On Leave</v>
      </c>
      <c r="N216" s="2" t="s">
        <v>19</v>
      </c>
      <c r="O216" s="2" t="str">
        <f t="shared" si="5"/>
        <v>Urgent Review</v>
      </c>
      <c r="P216" s="2" t="s">
        <v>795</v>
      </c>
      <c r="Q216" s="2" t="str">
        <f t="shared" si="6"/>
        <v>NR</v>
      </c>
      <c r="R216" s="2" t="e">
        <f t="array" aca="1" ref="R216" ca="1">_xludf.IFS(Q216="ET", "East", Q216="WT", "West", Q216="ST","South", Q216="NR", "North")</f>
        <v>#NAME?</v>
      </c>
      <c r="S216" s="2" t="s">
        <v>79</v>
      </c>
      <c r="T216" s="2" t="str">
        <f t="shared" si="7"/>
        <v>New York</v>
      </c>
      <c r="U216" s="12" t="s">
        <v>30</v>
      </c>
      <c r="V216" s="12">
        <f t="shared" si="8"/>
        <v>0.1</v>
      </c>
      <c r="W216" s="13">
        <f t="shared" si="9"/>
        <v>56749.000000000007</v>
      </c>
      <c r="X216" s="2" t="str">
        <f t="shared" si="10"/>
        <v>Normal</v>
      </c>
    </row>
    <row r="217" spans="1:24" ht="14.25" customHeight="1" x14ac:dyDescent="0.5">
      <c r="A217" s="2" t="s">
        <v>796</v>
      </c>
      <c r="B217" s="2" t="s">
        <v>685</v>
      </c>
      <c r="C217" s="2" t="str">
        <f t="shared" si="0"/>
        <v>Alex Lewis</v>
      </c>
      <c r="D217" s="2" t="s">
        <v>74</v>
      </c>
      <c r="E217" s="2" t="str">
        <f t="shared" si="1"/>
        <v>mike@company.com</v>
      </c>
      <c r="F217" s="2" t="s">
        <v>42</v>
      </c>
      <c r="G217" s="3">
        <v>44726</v>
      </c>
      <c r="H217" s="3" t="str">
        <f t="shared" si="2"/>
        <v>14-Jun-2022</v>
      </c>
      <c r="I217" s="10" t="s">
        <v>797</v>
      </c>
      <c r="J217" s="10">
        <f t="shared" si="3"/>
        <v>50886</v>
      </c>
      <c r="K217" s="11" t="s">
        <v>83</v>
      </c>
      <c r="L217" s="2" t="s">
        <v>45</v>
      </c>
      <c r="M217" s="2" t="str">
        <f t="shared" si="4"/>
        <v>Active</v>
      </c>
      <c r="N217" s="2" t="s">
        <v>28</v>
      </c>
      <c r="O217" s="2" t="str">
        <f t="shared" si="5"/>
        <v>Pending Docs</v>
      </c>
      <c r="P217" s="2" t="s">
        <v>798</v>
      </c>
      <c r="Q217" s="2" t="str">
        <f t="shared" si="6"/>
        <v>ST</v>
      </c>
      <c r="R217" s="2" t="e">
        <f t="array" aca="1" ref="R217" ca="1">_xludf.IFS(Q217="ET", "East", Q217="WT", "West", Q217="ST","South", Q217="NR", "North")</f>
        <v>#NAME?</v>
      </c>
      <c r="S217" s="2" t="s">
        <v>21</v>
      </c>
      <c r="T217" s="2" t="str">
        <f t="shared" si="7"/>
        <v>Sao Paulo</v>
      </c>
      <c r="U217" s="12" t="s">
        <v>85</v>
      </c>
      <c r="V217" s="12">
        <f t="shared" si="8"/>
        <v>0.15</v>
      </c>
      <c r="W217" s="13">
        <f t="shared" si="9"/>
        <v>58518.899999999994</v>
      </c>
      <c r="X217" s="2" t="str">
        <f t="shared" si="10"/>
        <v>Normal</v>
      </c>
    </row>
    <row r="218" spans="1:24" ht="14.25" customHeight="1" x14ac:dyDescent="0.5">
      <c r="A218" s="2" t="s">
        <v>799</v>
      </c>
      <c r="B218" s="2" t="s">
        <v>104</v>
      </c>
      <c r="C218" s="2" t="str">
        <f t="shared" si="0"/>
        <v>Mike Brown</v>
      </c>
      <c r="D218" s="2" t="s">
        <v>14</v>
      </c>
      <c r="E218" s="2" t="str">
        <f t="shared" si="1"/>
        <v>john@company.com</v>
      </c>
      <c r="F218" s="2" t="s">
        <v>100</v>
      </c>
      <c r="G218" s="3">
        <v>44103</v>
      </c>
      <c r="H218" s="3" t="str">
        <f t="shared" si="2"/>
        <v>29-Sep-2020</v>
      </c>
      <c r="I218" s="10" t="s">
        <v>800</v>
      </c>
      <c r="J218" s="10">
        <f t="shared" si="3"/>
        <v>52866</v>
      </c>
      <c r="K218" s="11" t="s">
        <v>83</v>
      </c>
      <c r="L218" s="2" t="s">
        <v>89</v>
      </c>
      <c r="M218" s="2" t="str">
        <f t="shared" si="4"/>
        <v>Active</v>
      </c>
      <c r="N218" s="2" t="s">
        <v>65</v>
      </c>
      <c r="O218" s="2" t="str">
        <f t="shared" si="5"/>
        <v>Follow Up</v>
      </c>
      <c r="P218" s="2" t="s">
        <v>801</v>
      </c>
      <c r="Q218" s="2" t="str">
        <f t="shared" si="6"/>
        <v>ST</v>
      </c>
      <c r="R218" s="2" t="e">
        <f t="array" aca="1" ref="R218" ca="1">_xludf.IFS(Q218="ET", "East", Q218="WT", "West", Q218="ST","South", Q218="NR", "North")</f>
        <v>#NAME?</v>
      </c>
      <c r="S218" s="2" t="s">
        <v>21</v>
      </c>
      <c r="T218" s="2" t="str">
        <f t="shared" si="7"/>
        <v>Sao Paulo</v>
      </c>
      <c r="U218" s="12" t="s">
        <v>30</v>
      </c>
      <c r="V218" s="12">
        <f t="shared" si="8"/>
        <v>0.1</v>
      </c>
      <c r="W218" s="13">
        <f t="shared" si="9"/>
        <v>58152.600000000006</v>
      </c>
      <c r="X218" s="2" t="str">
        <f t="shared" si="10"/>
        <v>Normal</v>
      </c>
    </row>
    <row r="219" spans="1:24" ht="14.25" customHeight="1" x14ac:dyDescent="0.5">
      <c r="A219" s="2" t="s">
        <v>802</v>
      </c>
      <c r="B219" s="2" t="s">
        <v>740</v>
      </c>
      <c r="C219" s="2" t="str">
        <f t="shared" si="0"/>
        <v>Mike Smith</v>
      </c>
      <c r="D219" s="2" t="s">
        <v>74</v>
      </c>
      <c r="E219" s="2" t="str">
        <f t="shared" si="1"/>
        <v>mike@company.com</v>
      </c>
      <c r="F219" s="2" t="s">
        <v>15</v>
      </c>
      <c r="G219" s="3">
        <v>44667</v>
      </c>
      <c r="H219" s="3" t="str">
        <f t="shared" si="2"/>
        <v>16-Apr-2022</v>
      </c>
      <c r="I219" s="10" t="s">
        <v>803</v>
      </c>
      <c r="J219" s="10">
        <f t="shared" si="3"/>
        <v>106624</v>
      </c>
      <c r="K219" s="11" t="s">
        <v>44</v>
      </c>
      <c r="L219" s="2" t="s">
        <v>89</v>
      </c>
      <c r="M219" s="2" t="str">
        <f t="shared" si="4"/>
        <v>Active</v>
      </c>
      <c r="N219" s="2" t="s">
        <v>77</v>
      </c>
      <c r="O219" s="2" t="str">
        <f t="shared" si="5"/>
        <v>All Clear</v>
      </c>
      <c r="P219" s="2" t="s">
        <v>804</v>
      </c>
      <c r="Q219" s="2" t="str">
        <f t="shared" si="6"/>
        <v>NR</v>
      </c>
      <c r="R219" s="2" t="e">
        <f t="array" aca="1" ref="R219" ca="1">_xludf.IFS(Q219="ET", "East", Q219="WT", "West", Q219="ST","South", Q219="NR", "North")</f>
        <v>#NAME?</v>
      </c>
      <c r="S219" s="2" t="s">
        <v>159</v>
      </c>
      <c r="T219" s="2" t="str">
        <f t="shared" si="7"/>
        <v>Berlin</v>
      </c>
      <c r="U219" s="12" t="s">
        <v>22</v>
      </c>
      <c r="V219" s="12">
        <f t="shared" si="8"/>
        <v>0.2</v>
      </c>
      <c r="W219" s="13">
        <f t="shared" si="9"/>
        <v>127948.79999999999</v>
      </c>
      <c r="X219" s="2" t="str">
        <f t="shared" si="10"/>
        <v>High</v>
      </c>
    </row>
    <row r="220" spans="1:24" ht="14.25" customHeight="1" x14ac:dyDescent="0.5">
      <c r="A220" s="2" t="s">
        <v>805</v>
      </c>
      <c r="B220" s="2" t="s">
        <v>24</v>
      </c>
      <c r="C220" s="2" t="str">
        <f t="shared" si="0"/>
        <v>Chris Davis</v>
      </c>
      <c r="D220" s="2" t="s">
        <v>49</v>
      </c>
      <c r="E220" s="2" t="str">
        <f t="shared" si="1"/>
        <v>emily@company.com</v>
      </c>
      <c r="F220" s="2" t="s">
        <v>42</v>
      </c>
      <c r="G220" s="3">
        <v>44450</v>
      </c>
      <c r="H220" s="3" t="str">
        <f t="shared" si="2"/>
        <v>11-Sep-2021</v>
      </c>
      <c r="I220" s="10" t="s">
        <v>806</v>
      </c>
      <c r="J220" s="10">
        <f t="shared" si="3"/>
        <v>108899</v>
      </c>
      <c r="K220" s="11" t="s">
        <v>17</v>
      </c>
      <c r="L220" s="2" t="s">
        <v>89</v>
      </c>
      <c r="M220" s="2" t="str">
        <f t="shared" si="4"/>
        <v>Active</v>
      </c>
      <c r="O220" s="2" t="str">
        <f t="shared" si="5"/>
        <v>No Notes</v>
      </c>
      <c r="P220" s="2" t="s">
        <v>807</v>
      </c>
      <c r="Q220" s="2" t="str">
        <f t="shared" si="6"/>
        <v>NR</v>
      </c>
      <c r="R220" s="2" t="e">
        <f t="array" aca="1" ref="R220" ca="1">_xludf.IFS(Q220="ET", "East", Q220="WT", "West", Q220="ST","South", Q220="NR", "North")</f>
        <v>#NAME?</v>
      </c>
      <c r="S220" s="2" t="s">
        <v>21</v>
      </c>
      <c r="T220" s="2" t="str">
        <f t="shared" si="7"/>
        <v>Sao Paulo</v>
      </c>
      <c r="U220" s="12" t="s">
        <v>39</v>
      </c>
      <c r="V220" s="12">
        <f t="shared" si="8"/>
        <v>0.05</v>
      </c>
      <c r="W220" s="13">
        <f t="shared" si="9"/>
        <v>114343.95000000001</v>
      </c>
      <c r="X220" s="2" t="str">
        <f t="shared" si="10"/>
        <v>High</v>
      </c>
    </row>
    <row r="221" spans="1:24" ht="14.25" customHeight="1" x14ac:dyDescent="0.5">
      <c r="A221" s="2" t="s">
        <v>808</v>
      </c>
      <c r="B221" s="2" t="s">
        <v>55</v>
      </c>
      <c r="C221" s="2" t="str">
        <f t="shared" si="0"/>
        <v>Alex Moore</v>
      </c>
      <c r="D221" s="2" t="s">
        <v>74</v>
      </c>
      <c r="E221" s="2" t="str">
        <f t="shared" si="1"/>
        <v>mike@company.com</v>
      </c>
      <c r="F221" s="2" t="s">
        <v>34</v>
      </c>
      <c r="G221" s="3">
        <v>44692</v>
      </c>
      <c r="H221" s="3" t="str">
        <f t="shared" si="2"/>
        <v>11-May-2022</v>
      </c>
      <c r="I221" s="10" t="s">
        <v>809</v>
      </c>
      <c r="J221" s="10">
        <f t="shared" si="3"/>
        <v>72792</v>
      </c>
      <c r="K221" s="11" t="s">
        <v>83</v>
      </c>
      <c r="L221" s="2" t="s">
        <v>64</v>
      </c>
      <c r="M221" s="2" t="str">
        <f t="shared" si="4"/>
        <v>Terminated</v>
      </c>
      <c r="N221" s="2" t="s">
        <v>19</v>
      </c>
      <c r="O221" s="2" t="str">
        <f t="shared" si="5"/>
        <v>Urgent Review</v>
      </c>
      <c r="P221" s="2" t="s">
        <v>810</v>
      </c>
      <c r="Q221" s="2" t="str">
        <f t="shared" si="6"/>
        <v>ET</v>
      </c>
      <c r="R221" s="2" t="e">
        <f t="array" aca="1" ref="R221" ca="1">_xludf.IFS(Q221="ET", "East", Q221="WT", "West", Q221="ST","South", Q221="NR", "North")</f>
        <v>#NAME?</v>
      </c>
      <c r="S221" s="2" t="s">
        <v>79</v>
      </c>
      <c r="T221" s="2" t="str">
        <f t="shared" si="7"/>
        <v>New York</v>
      </c>
      <c r="U221" s="12" t="s">
        <v>85</v>
      </c>
      <c r="V221" s="12">
        <f t="shared" si="8"/>
        <v>0.15</v>
      </c>
      <c r="W221" s="13">
        <f t="shared" si="9"/>
        <v>83710.799999999988</v>
      </c>
      <c r="X221" s="2" t="str">
        <f t="shared" si="10"/>
        <v>Normal</v>
      </c>
    </row>
    <row r="222" spans="1:24" ht="14.25" customHeight="1" x14ac:dyDescent="0.5">
      <c r="A222" s="2" t="s">
        <v>811</v>
      </c>
      <c r="B222" s="2" t="s">
        <v>371</v>
      </c>
      <c r="C222" s="2" t="str">
        <f t="shared" si="0"/>
        <v>Sarah Johnson</v>
      </c>
      <c r="D222" s="2" t="s">
        <v>235</v>
      </c>
      <c r="E222" s="2" t="str">
        <f t="shared" si="1"/>
        <v>jane@company.com</v>
      </c>
      <c r="F222" s="2" t="s">
        <v>69</v>
      </c>
      <c r="G222" s="3">
        <v>44761</v>
      </c>
      <c r="H222" s="3" t="str">
        <f t="shared" si="2"/>
        <v>19-Jul-2022</v>
      </c>
      <c r="I222" s="10" t="s">
        <v>812</v>
      </c>
      <c r="J222" s="10">
        <f t="shared" si="3"/>
        <v>49764</v>
      </c>
      <c r="K222" s="11" t="s">
        <v>83</v>
      </c>
      <c r="L222" s="2" t="s">
        <v>27</v>
      </c>
      <c r="M222" s="2" t="str">
        <f t="shared" si="4"/>
        <v>On Leave</v>
      </c>
      <c r="N222" s="2" t="s">
        <v>65</v>
      </c>
      <c r="O222" s="2" t="str">
        <f t="shared" si="5"/>
        <v>Follow Up</v>
      </c>
      <c r="P222" s="2" t="s">
        <v>813</v>
      </c>
      <c r="Q222" s="2" t="str">
        <f t="shared" si="6"/>
        <v>WT</v>
      </c>
      <c r="R222" s="2" t="e">
        <f t="array" aca="1" ref="R222" ca="1">_xludf.IFS(Q222="ET", "East", Q222="WT", "West", Q222="ST","South", Q222="NR", "North")</f>
        <v>#NAME?</v>
      </c>
      <c r="S222" s="2" t="s">
        <v>96</v>
      </c>
      <c r="T222" s="2" t="str">
        <f t="shared" si="7"/>
        <v>Cairo</v>
      </c>
      <c r="U222" s="12" t="s">
        <v>39</v>
      </c>
      <c r="V222" s="12">
        <f t="shared" si="8"/>
        <v>0.05</v>
      </c>
      <c r="W222" s="13">
        <f t="shared" si="9"/>
        <v>52252.200000000004</v>
      </c>
      <c r="X222" s="2" t="str">
        <f t="shared" si="10"/>
        <v>Normal</v>
      </c>
    </row>
    <row r="223" spans="1:24" ht="14.25" customHeight="1" x14ac:dyDescent="0.5">
      <c r="A223" s="2" t="s">
        <v>814</v>
      </c>
      <c r="B223" s="2" t="s">
        <v>293</v>
      </c>
      <c r="C223" s="2" t="str">
        <f t="shared" si="0"/>
        <v>John Taylor</v>
      </c>
      <c r="D223" s="2" t="s">
        <v>99</v>
      </c>
      <c r="E223" s="2" t="str">
        <f t="shared" si="1"/>
        <v>daniel@company.com</v>
      </c>
      <c r="F223" s="2" t="s">
        <v>50</v>
      </c>
      <c r="G223" s="3">
        <v>44119</v>
      </c>
      <c r="H223" s="3" t="str">
        <f t="shared" si="2"/>
        <v>15-Oct-2020</v>
      </c>
      <c r="I223" s="10" t="s">
        <v>815</v>
      </c>
      <c r="J223" s="10">
        <f t="shared" si="3"/>
        <v>82727</v>
      </c>
      <c r="K223" s="11" t="s">
        <v>57</v>
      </c>
      <c r="L223" s="2" t="s">
        <v>45</v>
      </c>
      <c r="M223" s="2" t="str">
        <f t="shared" si="4"/>
        <v>Active</v>
      </c>
      <c r="N223" s="2" t="s">
        <v>19</v>
      </c>
      <c r="O223" s="2" t="str">
        <f t="shared" si="5"/>
        <v>Urgent Review</v>
      </c>
      <c r="P223" s="2" t="s">
        <v>816</v>
      </c>
      <c r="Q223" s="2" t="str">
        <f t="shared" si="6"/>
        <v>ET</v>
      </c>
      <c r="R223" s="2" t="e">
        <f t="array" aca="1" ref="R223" ca="1">_xludf.IFS(Q223="ET", "East", Q223="WT", "West", Q223="ST","South", Q223="NR", "North")</f>
        <v>#NAME?</v>
      </c>
      <c r="S223" s="2" t="s">
        <v>53</v>
      </c>
      <c r="T223" s="2" t="str">
        <f t="shared" si="7"/>
        <v>Delhi</v>
      </c>
      <c r="U223" s="12" t="s">
        <v>22</v>
      </c>
      <c r="V223" s="12">
        <f t="shared" si="8"/>
        <v>0.2</v>
      </c>
      <c r="W223" s="13">
        <f t="shared" si="9"/>
        <v>99272.4</v>
      </c>
      <c r="X223" s="2" t="str">
        <f t="shared" si="10"/>
        <v>Normal</v>
      </c>
    </row>
    <row r="224" spans="1:24" ht="14.25" customHeight="1" x14ac:dyDescent="0.5">
      <c r="A224" s="2" t="s">
        <v>817</v>
      </c>
      <c r="B224" s="2" t="s">
        <v>618</v>
      </c>
      <c r="C224" s="2" t="str">
        <f t="shared" si="0"/>
        <v>Chris Johnson</v>
      </c>
      <c r="D224" s="2" t="s">
        <v>14</v>
      </c>
      <c r="E224" s="2" t="str">
        <f t="shared" si="1"/>
        <v>john@company.com</v>
      </c>
      <c r="F224" s="2" t="s">
        <v>42</v>
      </c>
      <c r="G224" s="3">
        <v>44554</v>
      </c>
      <c r="H224" s="3" t="str">
        <f t="shared" si="2"/>
        <v>24-Dec-2021</v>
      </c>
      <c r="I224" s="10" t="s">
        <v>818</v>
      </c>
      <c r="J224" s="10">
        <f t="shared" si="3"/>
        <v>118471</v>
      </c>
      <c r="K224" s="11" t="s">
        <v>57</v>
      </c>
      <c r="L224" s="2" t="s">
        <v>64</v>
      </c>
      <c r="M224" s="2" t="str">
        <f t="shared" si="4"/>
        <v>Terminated</v>
      </c>
      <c r="N224" s="2" t="s">
        <v>28</v>
      </c>
      <c r="O224" s="2" t="str">
        <f t="shared" si="5"/>
        <v>Pending Docs</v>
      </c>
      <c r="P224" s="2" t="s">
        <v>819</v>
      </c>
      <c r="Q224" s="2" t="str">
        <f t="shared" si="6"/>
        <v>ST</v>
      </c>
      <c r="R224" s="2" t="e">
        <f t="array" aca="1" ref="R224" ca="1">_xludf.IFS(Q224="ET", "East", Q224="WT", "West", Q224="ST","South", Q224="NR", "North")</f>
        <v>#NAME?</v>
      </c>
      <c r="S224" s="2" t="s">
        <v>60</v>
      </c>
      <c r="T224" s="2" t="str">
        <f t="shared" si="7"/>
        <v>Toronto</v>
      </c>
      <c r="U224" s="12" t="s">
        <v>85</v>
      </c>
      <c r="V224" s="12">
        <f t="shared" si="8"/>
        <v>0.15</v>
      </c>
      <c r="W224" s="13">
        <f t="shared" si="9"/>
        <v>136241.65</v>
      </c>
      <c r="X224" s="2" t="str">
        <f t="shared" si="10"/>
        <v>High</v>
      </c>
    </row>
    <row r="225" spans="1:24" ht="14.25" customHeight="1" x14ac:dyDescent="0.5">
      <c r="A225" s="2" t="s">
        <v>820</v>
      </c>
      <c r="B225" s="2" t="s">
        <v>156</v>
      </c>
      <c r="C225" s="2" t="str">
        <f t="shared" si="0"/>
        <v>Sam Smith</v>
      </c>
      <c r="D225" s="2" t="s">
        <v>105</v>
      </c>
      <c r="E225" s="2" t="str">
        <f t="shared" si="1"/>
        <v>sam@company.com</v>
      </c>
      <c r="F225" s="2" t="s">
        <v>69</v>
      </c>
      <c r="G225" s="3">
        <v>44723</v>
      </c>
      <c r="H225" s="3" t="str">
        <f t="shared" si="2"/>
        <v>11-Jun-2022</v>
      </c>
      <c r="I225" s="10" t="s">
        <v>821</v>
      </c>
      <c r="J225" s="10">
        <f t="shared" si="3"/>
        <v>48068</v>
      </c>
      <c r="K225" s="11" t="s">
        <v>83</v>
      </c>
      <c r="L225" s="2" t="s">
        <v>121</v>
      </c>
      <c r="M225" s="2" t="str">
        <f t="shared" si="4"/>
        <v>On Leave</v>
      </c>
      <c r="N225" s="2" t="s">
        <v>77</v>
      </c>
      <c r="O225" s="2" t="str">
        <f t="shared" si="5"/>
        <v>All Clear</v>
      </c>
      <c r="P225" s="2" t="s">
        <v>822</v>
      </c>
      <c r="Q225" s="2" t="str">
        <f t="shared" si="6"/>
        <v>ET</v>
      </c>
      <c r="R225" s="2" t="e">
        <f t="array" aca="1" ref="R225" ca="1">_xludf.IFS(Q225="ET", "East", Q225="WT", "West", Q225="ST","South", Q225="NR", "North")</f>
        <v>#NAME?</v>
      </c>
      <c r="S225" s="2" t="s">
        <v>38</v>
      </c>
      <c r="T225" s="2" t="str">
        <f t="shared" si="7"/>
        <v>London</v>
      </c>
      <c r="U225" s="12" t="s">
        <v>85</v>
      </c>
      <c r="V225" s="12">
        <f t="shared" si="8"/>
        <v>0.15</v>
      </c>
      <c r="W225" s="13">
        <f t="shared" si="9"/>
        <v>55278.2</v>
      </c>
      <c r="X225" s="2" t="str">
        <f t="shared" si="10"/>
        <v>Normal</v>
      </c>
    </row>
    <row r="226" spans="1:24" ht="14.25" customHeight="1" x14ac:dyDescent="0.5">
      <c r="A226" s="2" t="s">
        <v>823</v>
      </c>
      <c r="B226" s="2" t="s">
        <v>268</v>
      </c>
      <c r="C226" s="2" t="str">
        <f t="shared" si="0"/>
        <v>John Brown</v>
      </c>
      <c r="D226" s="2" t="s">
        <v>49</v>
      </c>
      <c r="E226" s="2" t="str">
        <f t="shared" si="1"/>
        <v>emily@company.com</v>
      </c>
      <c r="F226" s="2" t="s">
        <v>75</v>
      </c>
      <c r="G226" s="3">
        <v>44102</v>
      </c>
      <c r="H226" s="3" t="str">
        <f t="shared" si="2"/>
        <v>28-Sep-2020</v>
      </c>
      <c r="I226" s="10" t="s">
        <v>824</v>
      </c>
      <c r="J226" s="10">
        <f t="shared" si="3"/>
        <v>47295</v>
      </c>
      <c r="K226" s="11" t="s">
        <v>44</v>
      </c>
      <c r="L226" s="2" t="s">
        <v>45</v>
      </c>
      <c r="M226" s="2" t="str">
        <f t="shared" si="4"/>
        <v>Active</v>
      </c>
      <c r="O226" s="2" t="str">
        <f t="shared" si="5"/>
        <v>No Notes</v>
      </c>
      <c r="P226" s="2" t="s">
        <v>825</v>
      </c>
      <c r="Q226" s="2" t="str">
        <f t="shared" si="6"/>
        <v>ET</v>
      </c>
      <c r="R226" s="2" t="e">
        <f t="array" aca="1" ref="R226" ca="1">_xludf.IFS(Q226="ET", "East", Q226="WT", "West", Q226="ST","South", Q226="NR", "North")</f>
        <v>#NAME?</v>
      </c>
      <c r="S226" s="2" t="s">
        <v>60</v>
      </c>
      <c r="T226" s="2" t="str">
        <f t="shared" si="7"/>
        <v>Toronto</v>
      </c>
      <c r="U226" s="12" t="s">
        <v>30</v>
      </c>
      <c r="V226" s="12">
        <f t="shared" si="8"/>
        <v>0.1</v>
      </c>
      <c r="W226" s="13">
        <f t="shared" si="9"/>
        <v>52024.500000000007</v>
      </c>
      <c r="X226" s="2" t="str">
        <f t="shared" si="10"/>
        <v>Normal</v>
      </c>
    </row>
    <row r="227" spans="1:24" ht="14.25" customHeight="1" x14ac:dyDescent="0.5">
      <c r="A227" s="2" t="s">
        <v>826</v>
      </c>
      <c r="B227" s="2" t="s">
        <v>119</v>
      </c>
      <c r="C227" s="2" t="str">
        <f t="shared" si="0"/>
        <v>Emily Brown</v>
      </c>
      <c r="D227" s="2" t="s">
        <v>33</v>
      </c>
      <c r="E227" s="2" t="str">
        <f t="shared" si="1"/>
        <v>alex@company.com</v>
      </c>
      <c r="F227" s="2" t="s">
        <v>69</v>
      </c>
      <c r="G227" s="3">
        <v>44920</v>
      </c>
      <c r="H227" s="3" t="str">
        <f t="shared" si="2"/>
        <v>25-Dec-2022</v>
      </c>
      <c r="I227" s="10" t="s">
        <v>827</v>
      </c>
      <c r="J227" s="10">
        <f t="shared" si="3"/>
        <v>81160</v>
      </c>
      <c r="K227" s="11" t="s">
        <v>36</v>
      </c>
      <c r="L227" s="2" t="s">
        <v>112</v>
      </c>
      <c r="M227" s="2" t="str">
        <f t="shared" si="4"/>
        <v>On Leave</v>
      </c>
      <c r="N227" s="2" t="s">
        <v>77</v>
      </c>
      <c r="O227" s="2" t="str">
        <f t="shared" si="5"/>
        <v>All Clear</v>
      </c>
      <c r="P227" s="2" t="s">
        <v>828</v>
      </c>
      <c r="Q227" s="2" t="str">
        <f t="shared" si="6"/>
        <v>ET</v>
      </c>
      <c r="R227" s="2" t="e">
        <f t="array" aca="1" ref="R227" ca="1">_xludf.IFS(Q227="ET", "East", Q227="WT", "West", Q227="ST","South", Q227="NR", "North")</f>
        <v>#NAME?</v>
      </c>
      <c r="S227" s="2" t="s">
        <v>60</v>
      </c>
      <c r="T227" s="2" t="str">
        <f t="shared" si="7"/>
        <v>Toronto</v>
      </c>
      <c r="U227" s="12" t="s">
        <v>39</v>
      </c>
      <c r="V227" s="12">
        <f t="shared" si="8"/>
        <v>0.05</v>
      </c>
      <c r="W227" s="13">
        <f t="shared" si="9"/>
        <v>85218</v>
      </c>
      <c r="X227" s="2" t="str">
        <f t="shared" si="10"/>
        <v>Normal</v>
      </c>
    </row>
    <row r="228" spans="1:24" ht="14.25" customHeight="1" x14ac:dyDescent="0.5">
      <c r="A228" s="2" t="s">
        <v>829</v>
      </c>
      <c r="B228" s="2" t="s">
        <v>329</v>
      </c>
      <c r="C228" s="2" t="str">
        <f t="shared" si="0"/>
        <v>John Smith</v>
      </c>
      <c r="D228" s="2" t="s">
        <v>105</v>
      </c>
      <c r="E228" s="2" t="str">
        <f t="shared" si="1"/>
        <v>sam@company.com</v>
      </c>
      <c r="F228" s="2" t="s">
        <v>50</v>
      </c>
      <c r="G228" s="3">
        <v>44313</v>
      </c>
      <c r="H228" s="3" t="str">
        <f t="shared" si="2"/>
        <v>27-Apr-2021</v>
      </c>
      <c r="I228" s="10" t="s">
        <v>830</v>
      </c>
      <c r="J228" s="10">
        <f t="shared" si="3"/>
        <v>51390</v>
      </c>
      <c r="K228" s="11" t="s">
        <v>36</v>
      </c>
      <c r="L228" s="2" t="s">
        <v>18</v>
      </c>
      <c r="M228" s="2" t="str">
        <f t="shared" si="4"/>
        <v>Active</v>
      </c>
      <c r="N228" s="2" t="s">
        <v>19</v>
      </c>
      <c r="O228" s="2" t="str">
        <f t="shared" si="5"/>
        <v>Urgent Review</v>
      </c>
      <c r="P228" s="2" t="s">
        <v>831</v>
      </c>
      <c r="Q228" s="2" t="str">
        <f t="shared" si="6"/>
        <v>ET</v>
      </c>
      <c r="R228" s="2" t="e">
        <f t="array" aca="1" ref="R228" ca="1">_xludf.IFS(Q228="ET", "East", Q228="WT", "West", Q228="ST","South", Q228="NR", "North")</f>
        <v>#NAME?</v>
      </c>
      <c r="S228" s="2" t="s">
        <v>47</v>
      </c>
      <c r="T228" s="2" t="str">
        <f t="shared" si="7"/>
        <v>Lagos</v>
      </c>
      <c r="U228" s="12" t="s">
        <v>22</v>
      </c>
      <c r="V228" s="12">
        <f t="shared" si="8"/>
        <v>0.2</v>
      </c>
      <c r="W228" s="13">
        <f t="shared" si="9"/>
        <v>61668</v>
      </c>
      <c r="X228" s="2" t="str">
        <f t="shared" si="10"/>
        <v>Normal</v>
      </c>
    </row>
    <row r="229" spans="1:24" ht="14.25" customHeight="1" x14ac:dyDescent="0.5">
      <c r="A229" s="2" t="s">
        <v>832</v>
      </c>
      <c r="B229" s="2" t="s">
        <v>202</v>
      </c>
      <c r="C229" s="2" t="str">
        <f t="shared" si="0"/>
        <v>Chris Lewis</v>
      </c>
      <c r="D229" s="2" t="s">
        <v>74</v>
      </c>
      <c r="E229" s="2" t="str">
        <f t="shared" si="1"/>
        <v>mike@company.com</v>
      </c>
      <c r="F229" s="2" t="s">
        <v>69</v>
      </c>
      <c r="G229" s="3">
        <v>44766</v>
      </c>
      <c r="H229" s="3" t="str">
        <f t="shared" si="2"/>
        <v>24-Jul-2022</v>
      </c>
      <c r="I229" s="10" t="s">
        <v>833</v>
      </c>
      <c r="J229" s="10">
        <f t="shared" si="3"/>
        <v>60131</v>
      </c>
      <c r="K229" s="11" t="s">
        <v>83</v>
      </c>
      <c r="L229" s="2" t="s">
        <v>45</v>
      </c>
      <c r="M229" s="2" t="str">
        <f t="shared" si="4"/>
        <v>Active</v>
      </c>
      <c r="N229" s="2" t="s">
        <v>65</v>
      </c>
      <c r="O229" s="2" t="str">
        <f t="shared" si="5"/>
        <v>Follow Up</v>
      </c>
      <c r="P229" s="2" t="s">
        <v>834</v>
      </c>
      <c r="Q229" s="2" t="str">
        <f t="shared" si="6"/>
        <v>WT</v>
      </c>
      <c r="R229" s="2" t="e">
        <f t="array" aca="1" ref="R229" ca="1">_xludf.IFS(Q229="ET", "East", Q229="WT", "West", Q229="ST","South", Q229="NR", "North")</f>
        <v>#NAME?</v>
      </c>
      <c r="S229" s="2" t="s">
        <v>96</v>
      </c>
      <c r="T229" s="2" t="str">
        <f t="shared" si="7"/>
        <v>Cairo</v>
      </c>
      <c r="U229" s="12" t="s">
        <v>22</v>
      </c>
      <c r="V229" s="12">
        <f t="shared" si="8"/>
        <v>0.2</v>
      </c>
      <c r="W229" s="13">
        <f t="shared" si="9"/>
        <v>72157.2</v>
      </c>
      <c r="X229" s="2" t="str">
        <f t="shared" si="10"/>
        <v>Normal</v>
      </c>
    </row>
    <row r="230" spans="1:24" ht="14.25" customHeight="1" x14ac:dyDescent="0.5">
      <c r="A230" s="2" t="s">
        <v>835</v>
      </c>
      <c r="B230" s="2" t="s">
        <v>836</v>
      </c>
      <c r="C230" s="2" t="str">
        <f t="shared" si="0"/>
        <v>Jane Brown</v>
      </c>
      <c r="D230" s="2" t="s">
        <v>49</v>
      </c>
      <c r="E230" s="2" t="str">
        <f t="shared" si="1"/>
        <v>emily@company.com</v>
      </c>
      <c r="F230" s="2" t="s">
        <v>100</v>
      </c>
      <c r="G230" s="3">
        <v>44078</v>
      </c>
      <c r="H230" s="3" t="str">
        <f t="shared" si="2"/>
        <v>04-Sep-2020</v>
      </c>
      <c r="I230" s="10" t="s">
        <v>837</v>
      </c>
      <c r="J230" s="10">
        <f t="shared" si="3"/>
        <v>115969</v>
      </c>
      <c r="K230" s="11" t="s">
        <v>83</v>
      </c>
      <c r="L230" s="2" t="s">
        <v>27</v>
      </c>
      <c r="M230" s="2" t="str">
        <f t="shared" si="4"/>
        <v>On Leave</v>
      </c>
      <c r="N230" s="2" t="s">
        <v>28</v>
      </c>
      <c r="O230" s="2" t="str">
        <f t="shared" si="5"/>
        <v>Pending Docs</v>
      </c>
      <c r="P230" s="2" t="s">
        <v>838</v>
      </c>
      <c r="Q230" s="2" t="str">
        <f t="shared" si="6"/>
        <v>WT</v>
      </c>
      <c r="R230" s="2" t="e">
        <f t="array" aca="1" ref="R230" ca="1">_xludf.IFS(Q230="ET", "East", Q230="WT", "West", Q230="ST","South", Q230="NR", "North")</f>
        <v>#NAME?</v>
      </c>
      <c r="S230" s="2" t="s">
        <v>47</v>
      </c>
      <c r="T230" s="2" t="str">
        <f t="shared" si="7"/>
        <v>Lagos</v>
      </c>
      <c r="U230" s="12" t="s">
        <v>85</v>
      </c>
      <c r="V230" s="12">
        <f t="shared" si="8"/>
        <v>0.15</v>
      </c>
      <c r="W230" s="13">
        <f t="shared" si="9"/>
        <v>133364.34999999998</v>
      </c>
      <c r="X230" s="2" t="str">
        <f t="shared" si="10"/>
        <v>High</v>
      </c>
    </row>
    <row r="231" spans="1:24" ht="14.25" customHeight="1" x14ac:dyDescent="0.5">
      <c r="A231" s="2" t="s">
        <v>839</v>
      </c>
      <c r="B231" s="2" t="s">
        <v>836</v>
      </c>
      <c r="C231" s="2" t="str">
        <f t="shared" si="0"/>
        <v>Jane Brown</v>
      </c>
      <c r="D231" s="2" t="s">
        <v>25</v>
      </c>
      <c r="E231" s="2" t="str">
        <f t="shared" si="1"/>
        <v>chris@company.com</v>
      </c>
      <c r="F231" s="2" t="s">
        <v>50</v>
      </c>
      <c r="G231" s="3">
        <v>43986</v>
      </c>
      <c r="H231" s="3" t="str">
        <f t="shared" si="2"/>
        <v>04-Jun-2020</v>
      </c>
      <c r="I231" s="10" t="s">
        <v>840</v>
      </c>
      <c r="J231" s="10">
        <f t="shared" si="3"/>
        <v>55038</v>
      </c>
      <c r="K231" s="11" t="s">
        <v>83</v>
      </c>
      <c r="L231" s="2" t="s">
        <v>58</v>
      </c>
      <c r="M231" s="2" t="str">
        <f t="shared" si="4"/>
        <v>Terminated</v>
      </c>
      <c r="N231" s="2" t="s">
        <v>28</v>
      </c>
      <c r="O231" s="2" t="str">
        <f t="shared" si="5"/>
        <v>Pending Docs</v>
      </c>
      <c r="P231" s="2" t="s">
        <v>841</v>
      </c>
      <c r="Q231" s="2" t="str">
        <f t="shared" si="6"/>
        <v>NR</v>
      </c>
      <c r="R231" s="2" t="e">
        <f t="array" aca="1" ref="R231" ca="1">_xludf.IFS(Q231="ET", "East", Q231="WT", "West", Q231="ST","South", Q231="NR", "North")</f>
        <v>#NAME?</v>
      </c>
      <c r="S231" s="2" t="s">
        <v>21</v>
      </c>
      <c r="T231" s="2" t="str">
        <f t="shared" si="7"/>
        <v>Sao Paulo</v>
      </c>
      <c r="U231" s="12" t="s">
        <v>30</v>
      </c>
      <c r="V231" s="12">
        <f t="shared" si="8"/>
        <v>0.1</v>
      </c>
      <c r="W231" s="13">
        <f t="shared" si="9"/>
        <v>60541.8</v>
      </c>
      <c r="X231" s="2" t="str">
        <f t="shared" si="10"/>
        <v>Normal</v>
      </c>
    </row>
    <row r="232" spans="1:24" ht="14.25" customHeight="1" x14ac:dyDescent="0.5">
      <c r="A232" s="2" t="s">
        <v>842</v>
      </c>
      <c r="B232" s="2" t="s">
        <v>601</v>
      </c>
      <c r="C232" s="2" t="str">
        <f t="shared" si="0"/>
        <v>Sarah Smith</v>
      </c>
      <c r="D232" s="2" t="s">
        <v>33</v>
      </c>
      <c r="E232" s="2" t="str">
        <f t="shared" si="1"/>
        <v>alex@company.com</v>
      </c>
      <c r="F232" s="2" t="s">
        <v>15</v>
      </c>
      <c r="G232" s="3">
        <v>44901</v>
      </c>
      <c r="H232" s="3" t="str">
        <f t="shared" si="2"/>
        <v>06-Dec-2022</v>
      </c>
      <c r="I232" s="10" t="s">
        <v>843</v>
      </c>
      <c r="J232" s="10">
        <f t="shared" si="3"/>
        <v>92327</v>
      </c>
      <c r="K232" s="11" t="s">
        <v>44</v>
      </c>
      <c r="L232" s="2" t="s">
        <v>121</v>
      </c>
      <c r="M232" s="2" t="str">
        <f t="shared" si="4"/>
        <v>On Leave</v>
      </c>
      <c r="N232" s="2" t="s">
        <v>77</v>
      </c>
      <c r="O232" s="2" t="str">
        <f t="shared" si="5"/>
        <v>All Clear</v>
      </c>
      <c r="P232" s="2" t="s">
        <v>844</v>
      </c>
      <c r="Q232" s="2" t="str">
        <f t="shared" si="6"/>
        <v>ST</v>
      </c>
      <c r="R232" s="2" t="e">
        <f t="array" aca="1" ref="R232" ca="1">_xludf.IFS(Q232="ET", "East", Q232="WT", "West", Q232="ST","South", Q232="NR", "North")</f>
        <v>#NAME?</v>
      </c>
      <c r="S232" s="2" t="s">
        <v>60</v>
      </c>
      <c r="T232" s="2" t="str">
        <f t="shared" si="7"/>
        <v>Toronto</v>
      </c>
      <c r="U232" s="12" t="s">
        <v>85</v>
      </c>
      <c r="V232" s="12">
        <f t="shared" si="8"/>
        <v>0.15</v>
      </c>
      <c r="W232" s="13">
        <f t="shared" si="9"/>
        <v>106176.04999999999</v>
      </c>
      <c r="X232" s="2" t="str">
        <f t="shared" si="10"/>
        <v>High</v>
      </c>
    </row>
    <row r="233" spans="1:24" ht="14.25" customHeight="1" x14ac:dyDescent="0.5">
      <c r="A233" s="2" t="s">
        <v>845</v>
      </c>
      <c r="B233" s="2" t="s">
        <v>353</v>
      </c>
      <c r="C233" s="2" t="str">
        <f t="shared" si="0"/>
        <v>Mike Moore</v>
      </c>
      <c r="D233" s="2" t="s">
        <v>14</v>
      </c>
      <c r="E233" s="2" t="str">
        <f t="shared" si="1"/>
        <v>john@company.com</v>
      </c>
      <c r="F233" s="2" t="s">
        <v>75</v>
      </c>
      <c r="G233" s="3">
        <v>44284</v>
      </c>
      <c r="H233" s="3" t="str">
        <f t="shared" si="2"/>
        <v>29-Mar-2021</v>
      </c>
      <c r="I233" s="10" t="s">
        <v>846</v>
      </c>
      <c r="J233" s="10">
        <f t="shared" si="3"/>
        <v>117064</v>
      </c>
      <c r="K233" s="11" t="s">
        <v>57</v>
      </c>
      <c r="L233" s="2" t="s">
        <v>64</v>
      </c>
      <c r="M233" s="2" t="str">
        <f t="shared" si="4"/>
        <v>Terminated</v>
      </c>
      <c r="N233" s="2" t="s">
        <v>65</v>
      </c>
      <c r="O233" s="2" t="str">
        <f t="shared" si="5"/>
        <v>Follow Up</v>
      </c>
      <c r="P233" s="2" t="s">
        <v>847</v>
      </c>
      <c r="Q233" s="2" t="str">
        <f t="shared" si="6"/>
        <v>ET</v>
      </c>
      <c r="R233" s="2" t="e">
        <f t="array" aca="1" ref="R233" ca="1">_xludf.IFS(Q233="ET", "East", Q233="WT", "West", Q233="ST","South", Q233="NR", "North")</f>
        <v>#NAME?</v>
      </c>
      <c r="S233" s="2" t="s">
        <v>53</v>
      </c>
      <c r="T233" s="2" t="str">
        <f t="shared" si="7"/>
        <v>Delhi</v>
      </c>
      <c r="U233" s="12" t="s">
        <v>85</v>
      </c>
      <c r="V233" s="12">
        <f t="shared" si="8"/>
        <v>0.15</v>
      </c>
      <c r="W233" s="13">
        <f t="shared" si="9"/>
        <v>134623.59999999998</v>
      </c>
      <c r="X233" s="2" t="str">
        <f t="shared" si="10"/>
        <v>High</v>
      </c>
    </row>
    <row r="234" spans="1:24" ht="14.25" customHeight="1" x14ac:dyDescent="0.5">
      <c r="A234" s="2" t="s">
        <v>848</v>
      </c>
      <c r="B234" s="2" t="s">
        <v>286</v>
      </c>
      <c r="C234" s="2" t="str">
        <f t="shared" si="0"/>
        <v>Mike Lewis</v>
      </c>
      <c r="D234" s="2" t="s">
        <v>125</v>
      </c>
      <c r="E234" s="2" t="str">
        <f t="shared" si="1"/>
        <v>sarah@company.com</v>
      </c>
      <c r="F234" s="2" t="s">
        <v>100</v>
      </c>
      <c r="G234" s="3">
        <v>44031</v>
      </c>
      <c r="H234" s="3" t="str">
        <f t="shared" si="2"/>
        <v>19-Jul-2020</v>
      </c>
      <c r="I234" s="10" t="s">
        <v>849</v>
      </c>
      <c r="J234" s="10">
        <f t="shared" si="3"/>
        <v>61281</v>
      </c>
      <c r="K234" s="11" t="s">
        <v>83</v>
      </c>
      <c r="L234" s="2" t="s">
        <v>121</v>
      </c>
      <c r="M234" s="2" t="str">
        <f t="shared" si="4"/>
        <v>On Leave</v>
      </c>
      <c r="N234" s="2" t="s">
        <v>65</v>
      </c>
      <c r="O234" s="2" t="str">
        <f t="shared" si="5"/>
        <v>Follow Up</v>
      </c>
      <c r="P234" s="2" t="s">
        <v>850</v>
      </c>
      <c r="Q234" s="2" t="str">
        <f t="shared" si="6"/>
        <v>NR</v>
      </c>
      <c r="R234" s="2" t="e">
        <f t="array" aca="1" ref="R234" ca="1">_xludf.IFS(Q234="ET", "East", Q234="WT", "West", Q234="ST","South", Q234="NR", "North")</f>
        <v>#NAME?</v>
      </c>
      <c r="S234" s="2" t="s">
        <v>38</v>
      </c>
      <c r="T234" s="2" t="str">
        <f t="shared" si="7"/>
        <v>London</v>
      </c>
      <c r="U234" s="12" t="s">
        <v>85</v>
      </c>
      <c r="V234" s="12">
        <f t="shared" si="8"/>
        <v>0.15</v>
      </c>
      <c r="W234" s="13">
        <f t="shared" si="9"/>
        <v>70473.149999999994</v>
      </c>
      <c r="X234" s="2" t="str">
        <f t="shared" si="10"/>
        <v>Normal</v>
      </c>
    </row>
    <row r="235" spans="1:24" ht="14.25" customHeight="1" x14ac:dyDescent="0.5">
      <c r="A235" s="2" t="s">
        <v>851</v>
      </c>
      <c r="B235" s="2" t="s">
        <v>852</v>
      </c>
      <c r="C235" s="2" t="str">
        <f t="shared" si="0"/>
        <v>Mike Johnson</v>
      </c>
      <c r="D235" s="2" t="s">
        <v>25</v>
      </c>
      <c r="E235" s="2" t="str">
        <f t="shared" si="1"/>
        <v>chris@company.com</v>
      </c>
      <c r="F235" s="2" t="s">
        <v>15</v>
      </c>
      <c r="G235" s="3">
        <v>43954</v>
      </c>
      <c r="H235" s="3" t="str">
        <f t="shared" si="2"/>
        <v>03-May-2020</v>
      </c>
      <c r="I235" s="10" t="s">
        <v>853</v>
      </c>
      <c r="J235" s="10">
        <f t="shared" si="3"/>
        <v>94189</v>
      </c>
      <c r="K235" s="11" t="s">
        <v>83</v>
      </c>
      <c r="L235" s="2" t="s">
        <v>121</v>
      </c>
      <c r="M235" s="2" t="str">
        <f t="shared" si="4"/>
        <v>On Leave</v>
      </c>
      <c r="N235" s="2" t="s">
        <v>19</v>
      </c>
      <c r="O235" s="2" t="str">
        <f t="shared" si="5"/>
        <v>Urgent Review</v>
      </c>
      <c r="P235" s="2" t="s">
        <v>66</v>
      </c>
      <c r="Q235" s="2" t="str">
        <f t="shared" si="6"/>
        <v>NR</v>
      </c>
      <c r="R235" s="2" t="e">
        <f t="array" aca="1" ref="R235" ca="1">_xludf.IFS(Q235="ET", "East", Q235="WT", "West", Q235="ST","South", Q235="NR", "North")</f>
        <v>#NAME?</v>
      </c>
      <c r="S235" s="2" t="s">
        <v>53</v>
      </c>
      <c r="T235" s="2" t="str">
        <f t="shared" si="7"/>
        <v>Delhi</v>
      </c>
      <c r="U235" s="12" t="s">
        <v>85</v>
      </c>
      <c r="V235" s="12">
        <f t="shared" si="8"/>
        <v>0.15</v>
      </c>
      <c r="W235" s="13">
        <f t="shared" si="9"/>
        <v>108317.34999999999</v>
      </c>
      <c r="X235" s="2" t="str">
        <f t="shared" si="10"/>
        <v>High</v>
      </c>
    </row>
    <row r="236" spans="1:24" ht="14.25" customHeight="1" x14ac:dyDescent="0.5">
      <c r="A236" s="2" t="s">
        <v>854</v>
      </c>
      <c r="B236" s="2" t="s">
        <v>584</v>
      </c>
      <c r="C236" s="2" t="str">
        <f t="shared" si="0"/>
        <v>Sam Clark</v>
      </c>
      <c r="D236" s="2" t="s">
        <v>105</v>
      </c>
      <c r="E236" s="2" t="str">
        <f t="shared" si="1"/>
        <v>sam@company.com</v>
      </c>
      <c r="F236" s="2" t="s">
        <v>69</v>
      </c>
      <c r="G236" s="3">
        <v>43831</v>
      </c>
      <c r="H236" s="3" t="str">
        <f t="shared" si="2"/>
        <v>01-Jan-2020</v>
      </c>
      <c r="I236" s="10" t="s">
        <v>855</v>
      </c>
      <c r="J236" s="10">
        <f t="shared" si="3"/>
        <v>88511</v>
      </c>
      <c r="K236" s="11" t="s">
        <v>17</v>
      </c>
      <c r="L236" s="2" t="s">
        <v>45</v>
      </c>
      <c r="M236" s="2" t="str">
        <f t="shared" si="4"/>
        <v>Active</v>
      </c>
      <c r="N236" s="2" t="s">
        <v>77</v>
      </c>
      <c r="O236" s="2" t="str">
        <f t="shared" si="5"/>
        <v>All Clear</v>
      </c>
      <c r="P236" s="2" t="s">
        <v>856</v>
      </c>
      <c r="Q236" s="2" t="str">
        <f t="shared" si="6"/>
        <v>NR</v>
      </c>
      <c r="R236" s="2" t="e">
        <f t="array" aca="1" ref="R236" ca="1">_xludf.IFS(Q236="ET", "East", Q236="WT", "West", Q236="ST","South", Q236="NR", "North")</f>
        <v>#NAME?</v>
      </c>
      <c r="S236" s="2" t="s">
        <v>60</v>
      </c>
      <c r="T236" s="2" t="str">
        <f t="shared" si="7"/>
        <v>Toronto</v>
      </c>
      <c r="U236" s="12" t="s">
        <v>22</v>
      </c>
      <c r="V236" s="12">
        <f t="shared" si="8"/>
        <v>0.2</v>
      </c>
      <c r="W236" s="13">
        <f t="shared" si="9"/>
        <v>106213.2</v>
      </c>
      <c r="X236" s="2" t="str">
        <f t="shared" si="10"/>
        <v>High</v>
      </c>
    </row>
    <row r="237" spans="1:24" ht="14.25" customHeight="1" x14ac:dyDescent="0.5">
      <c r="A237" s="2" t="s">
        <v>857</v>
      </c>
      <c r="B237" s="2" t="s">
        <v>13</v>
      </c>
      <c r="C237" s="2" t="str">
        <f t="shared" si="0"/>
        <v>Sarah Taylor</v>
      </c>
      <c r="D237" s="2" t="s">
        <v>99</v>
      </c>
      <c r="E237" s="2" t="str">
        <f t="shared" si="1"/>
        <v>daniel@company.com</v>
      </c>
      <c r="F237" s="2" t="s">
        <v>50</v>
      </c>
      <c r="G237" s="3">
        <v>44798</v>
      </c>
      <c r="H237" s="3" t="str">
        <f t="shared" si="2"/>
        <v>25-Aug-2022</v>
      </c>
      <c r="I237" s="10" t="s">
        <v>858</v>
      </c>
      <c r="J237" s="10">
        <f t="shared" si="3"/>
        <v>48605</v>
      </c>
      <c r="K237" s="11" t="s">
        <v>44</v>
      </c>
      <c r="L237" s="2" t="s">
        <v>45</v>
      </c>
      <c r="M237" s="2" t="str">
        <f t="shared" si="4"/>
        <v>Active</v>
      </c>
      <c r="N237" s="2" t="s">
        <v>77</v>
      </c>
      <c r="O237" s="2" t="str">
        <f t="shared" si="5"/>
        <v>All Clear</v>
      </c>
      <c r="P237" s="2" t="s">
        <v>859</v>
      </c>
      <c r="Q237" s="2" t="str">
        <f t="shared" si="6"/>
        <v>WT</v>
      </c>
      <c r="R237" s="2" t="e">
        <f t="array" aca="1" ref="R237" ca="1">_xludf.IFS(Q237="ET", "East", Q237="WT", "West", Q237="ST","South", Q237="NR", "North")</f>
        <v>#NAME?</v>
      </c>
      <c r="S237" s="2" t="s">
        <v>96</v>
      </c>
      <c r="T237" s="2" t="str">
        <f t="shared" si="7"/>
        <v>Cairo</v>
      </c>
      <c r="U237" s="12" t="s">
        <v>22</v>
      </c>
      <c r="V237" s="12">
        <f t="shared" si="8"/>
        <v>0.2</v>
      </c>
      <c r="W237" s="13">
        <f t="shared" si="9"/>
        <v>58326</v>
      </c>
      <c r="X237" s="2" t="str">
        <f t="shared" si="10"/>
        <v>Normal</v>
      </c>
    </row>
    <row r="238" spans="1:24" ht="14.25" customHeight="1" x14ac:dyDescent="0.5">
      <c r="A238" s="2" t="s">
        <v>860</v>
      </c>
      <c r="B238" s="2" t="s">
        <v>145</v>
      </c>
      <c r="C238" s="2" t="str">
        <f t="shared" si="0"/>
        <v>Mike Davis</v>
      </c>
      <c r="D238" s="2" t="s">
        <v>235</v>
      </c>
      <c r="E238" s="2" t="str">
        <f t="shared" si="1"/>
        <v>jane@company.com</v>
      </c>
      <c r="F238" s="2" t="s">
        <v>75</v>
      </c>
      <c r="G238" s="3">
        <v>44685</v>
      </c>
      <c r="H238" s="3" t="str">
        <f t="shared" si="2"/>
        <v>04-May-2022</v>
      </c>
      <c r="I238" s="10" t="s">
        <v>861</v>
      </c>
      <c r="J238" s="10">
        <f t="shared" si="3"/>
        <v>41381</v>
      </c>
      <c r="K238" s="11" t="s">
        <v>83</v>
      </c>
      <c r="L238" s="2" t="s">
        <v>27</v>
      </c>
      <c r="M238" s="2" t="str">
        <f t="shared" si="4"/>
        <v>On Leave</v>
      </c>
      <c r="N238" s="2" t="s">
        <v>107</v>
      </c>
      <c r="O238" s="2" t="str">
        <f t="shared" si="5"/>
        <v>All Clear</v>
      </c>
      <c r="P238" s="2" t="s">
        <v>862</v>
      </c>
      <c r="Q238" s="2" t="str">
        <f t="shared" si="6"/>
        <v>ET</v>
      </c>
      <c r="R238" s="2" t="e">
        <f t="array" aca="1" ref="R238" ca="1">_xludf.IFS(Q238="ET", "East", Q238="WT", "West", Q238="ST","South", Q238="NR", "North")</f>
        <v>#NAME?</v>
      </c>
      <c r="S238" s="2" t="s">
        <v>53</v>
      </c>
      <c r="T238" s="2" t="str">
        <f t="shared" si="7"/>
        <v>Delhi</v>
      </c>
      <c r="U238" s="12" t="s">
        <v>85</v>
      </c>
      <c r="V238" s="12">
        <f t="shared" si="8"/>
        <v>0.15</v>
      </c>
      <c r="W238" s="13">
        <f t="shared" si="9"/>
        <v>47588.149999999994</v>
      </c>
      <c r="X238" s="2" t="str">
        <f t="shared" si="10"/>
        <v>Normal</v>
      </c>
    </row>
    <row r="239" spans="1:24" ht="14.25" customHeight="1" x14ac:dyDescent="0.5">
      <c r="A239" s="2" t="s">
        <v>863</v>
      </c>
      <c r="B239" s="2" t="s">
        <v>73</v>
      </c>
      <c r="C239" s="2" t="str">
        <f t="shared" si="0"/>
        <v>Jane Moore</v>
      </c>
      <c r="D239" s="2" t="s">
        <v>125</v>
      </c>
      <c r="E239" s="2" t="str">
        <f t="shared" si="1"/>
        <v>sarah@company.com</v>
      </c>
      <c r="F239" s="2" t="s">
        <v>100</v>
      </c>
      <c r="G239" s="3">
        <v>44470</v>
      </c>
      <c r="H239" s="3" t="str">
        <f t="shared" si="2"/>
        <v>01-Oct-2021</v>
      </c>
      <c r="I239" s="10" t="s">
        <v>864</v>
      </c>
      <c r="J239" s="10">
        <f t="shared" si="3"/>
        <v>106634</v>
      </c>
      <c r="K239" s="11" t="s">
        <v>17</v>
      </c>
      <c r="L239" s="2" t="s">
        <v>18</v>
      </c>
      <c r="M239" s="2" t="str">
        <f t="shared" si="4"/>
        <v>Active</v>
      </c>
      <c r="N239" s="2" t="s">
        <v>77</v>
      </c>
      <c r="O239" s="2" t="str">
        <f t="shared" si="5"/>
        <v>All Clear</v>
      </c>
      <c r="P239" s="2" t="s">
        <v>865</v>
      </c>
      <c r="Q239" s="2" t="str">
        <f t="shared" si="6"/>
        <v>ET</v>
      </c>
      <c r="R239" s="2" t="e">
        <f t="array" aca="1" ref="R239" ca="1">_xludf.IFS(Q239="ET", "East", Q239="WT", "West", Q239="ST","South", Q239="NR", "North")</f>
        <v>#NAME?</v>
      </c>
      <c r="S239" s="2" t="s">
        <v>47</v>
      </c>
      <c r="T239" s="2" t="str">
        <f t="shared" si="7"/>
        <v>Lagos</v>
      </c>
      <c r="U239" s="12" t="s">
        <v>85</v>
      </c>
      <c r="V239" s="12">
        <f t="shared" si="8"/>
        <v>0.15</v>
      </c>
      <c r="W239" s="13">
        <f t="shared" si="9"/>
        <v>122629.09999999999</v>
      </c>
      <c r="X239" s="2" t="str">
        <f t="shared" si="10"/>
        <v>High</v>
      </c>
    </row>
    <row r="240" spans="1:24" ht="14.25" customHeight="1" x14ac:dyDescent="0.5">
      <c r="A240" s="2" t="s">
        <v>866</v>
      </c>
      <c r="B240" s="2" t="s">
        <v>336</v>
      </c>
      <c r="C240" s="2" t="str">
        <f t="shared" si="0"/>
        <v>Alex Clark</v>
      </c>
      <c r="D240" s="2" t="s">
        <v>25</v>
      </c>
      <c r="E240" s="2" t="str">
        <f t="shared" si="1"/>
        <v>chris@company.com</v>
      </c>
      <c r="F240" s="2" t="s">
        <v>15</v>
      </c>
      <c r="G240" s="3">
        <v>44021</v>
      </c>
      <c r="H240" s="3" t="str">
        <f t="shared" si="2"/>
        <v>09-Jul-2020</v>
      </c>
      <c r="I240" s="10" t="s">
        <v>867</v>
      </c>
      <c r="J240" s="10">
        <f t="shared" si="3"/>
        <v>59810</v>
      </c>
      <c r="K240" s="11" t="s">
        <v>36</v>
      </c>
      <c r="L240" s="2" t="s">
        <v>45</v>
      </c>
      <c r="M240" s="2" t="str">
        <f t="shared" si="4"/>
        <v>Active</v>
      </c>
      <c r="N240" s="2" t="s">
        <v>28</v>
      </c>
      <c r="O240" s="2" t="str">
        <f t="shared" si="5"/>
        <v>Pending Docs</v>
      </c>
      <c r="P240" s="2" t="s">
        <v>868</v>
      </c>
      <c r="Q240" s="2" t="str">
        <f t="shared" si="6"/>
        <v>ST</v>
      </c>
      <c r="R240" s="2" t="e">
        <f t="array" aca="1" ref="R240" ca="1">_xludf.IFS(Q240="ET", "East", Q240="WT", "West", Q240="ST","South", Q240="NR", "North")</f>
        <v>#NAME?</v>
      </c>
      <c r="S240" s="2" t="s">
        <v>38</v>
      </c>
      <c r="T240" s="2" t="str">
        <f t="shared" si="7"/>
        <v>London</v>
      </c>
      <c r="U240" s="12" t="s">
        <v>30</v>
      </c>
      <c r="V240" s="12">
        <f t="shared" si="8"/>
        <v>0.1</v>
      </c>
      <c r="W240" s="13">
        <f t="shared" si="9"/>
        <v>65791</v>
      </c>
      <c r="X240" s="2" t="str">
        <f t="shared" si="10"/>
        <v>Normal</v>
      </c>
    </row>
    <row r="241" spans="1:24" ht="14.25" customHeight="1" x14ac:dyDescent="0.5">
      <c r="A241" s="2" t="s">
        <v>869</v>
      </c>
      <c r="B241" s="2" t="s">
        <v>870</v>
      </c>
      <c r="C241" s="2" t="str">
        <f t="shared" si="0"/>
        <v>Emily Clark</v>
      </c>
      <c r="D241" s="2" t="s">
        <v>99</v>
      </c>
      <c r="E241" s="2" t="str">
        <f t="shared" si="1"/>
        <v>daniel@company.com</v>
      </c>
      <c r="F241" s="2" t="s">
        <v>15</v>
      </c>
      <c r="G241" s="3">
        <v>44346</v>
      </c>
      <c r="H241" s="3" t="str">
        <f t="shared" si="2"/>
        <v>30-May-2021</v>
      </c>
      <c r="I241" s="10" t="s">
        <v>871</v>
      </c>
      <c r="J241" s="10">
        <f t="shared" si="3"/>
        <v>64322</v>
      </c>
      <c r="K241" s="11" t="s">
        <v>83</v>
      </c>
      <c r="L241" s="2" t="s">
        <v>45</v>
      </c>
      <c r="M241" s="2" t="str">
        <f t="shared" si="4"/>
        <v>Active</v>
      </c>
      <c r="N241" s="2" t="s">
        <v>19</v>
      </c>
      <c r="O241" s="2" t="str">
        <f t="shared" si="5"/>
        <v>Urgent Review</v>
      </c>
      <c r="P241" s="2" t="s">
        <v>872</v>
      </c>
      <c r="Q241" s="2" t="str">
        <f t="shared" si="6"/>
        <v>ET</v>
      </c>
      <c r="R241" s="2" t="e">
        <f t="array" aca="1" ref="R241" ca="1">_xludf.IFS(Q241="ET", "East", Q241="WT", "West", Q241="ST","South", Q241="NR", "North")</f>
        <v>#NAME?</v>
      </c>
      <c r="S241" s="2" t="s">
        <v>60</v>
      </c>
      <c r="T241" s="2" t="str">
        <f t="shared" si="7"/>
        <v>Toronto</v>
      </c>
      <c r="U241" s="12" t="s">
        <v>85</v>
      </c>
      <c r="V241" s="12">
        <f t="shared" si="8"/>
        <v>0.15</v>
      </c>
      <c r="W241" s="13">
        <f t="shared" si="9"/>
        <v>73970.299999999988</v>
      </c>
      <c r="X241" s="2" t="str">
        <f t="shared" si="10"/>
        <v>Normal</v>
      </c>
    </row>
    <row r="242" spans="1:24" ht="14.25" customHeight="1" x14ac:dyDescent="0.5">
      <c r="A242" s="2" t="s">
        <v>873</v>
      </c>
      <c r="B242" s="2" t="s">
        <v>685</v>
      </c>
      <c r="C242" s="2" t="str">
        <f t="shared" si="0"/>
        <v>Alex Lewis</v>
      </c>
      <c r="D242" s="2" t="s">
        <v>99</v>
      </c>
      <c r="E242" s="2" t="str">
        <f t="shared" si="1"/>
        <v>daniel@company.com</v>
      </c>
      <c r="F242" s="2" t="s">
        <v>75</v>
      </c>
      <c r="G242" s="3">
        <v>44272</v>
      </c>
      <c r="H242" s="3" t="str">
        <f t="shared" si="2"/>
        <v>17-Mar-2021</v>
      </c>
      <c r="I242" s="10" t="s">
        <v>874</v>
      </c>
      <c r="J242" s="10">
        <f t="shared" si="3"/>
        <v>81869</v>
      </c>
      <c r="K242" s="11" t="s">
        <v>83</v>
      </c>
      <c r="L242" s="2" t="s">
        <v>18</v>
      </c>
      <c r="M242" s="2" t="str">
        <f t="shared" si="4"/>
        <v>Active</v>
      </c>
      <c r="N242" s="2" t="s">
        <v>65</v>
      </c>
      <c r="O242" s="2" t="str">
        <f t="shared" si="5"/>
        <v>Follow Up</v>
      </c>
      <c r="P242" s="2" t="s">
        <v>875</v>
      </c>
      <c r="Q242" s="2" t="str">
        <f t="shared" si="6"/>
        <v>ET</v>
      </c>
      <c r="R242" s="2" t="e">
        <f t="array" aca="1" ref="R242" ca="1">_xludf.IFS(Q242="ET", "East", Q242="WT", "West", Q242="ST","South", Q242="NR", "North")</f>
        <v>#NAME?</v>
      </c>
      <c r="S242" s="2" t="s">
        <v>159</v>
      </c>
      <c r="T242" s="2" t="str">
        <f t="shared" si="7"/>
        <v>Berlin</v>
      </c>
      <c r="U242" s="12" t="s">
        <v>22</v>
      </c>
      <c r="V242" s="12">
        <f t="shared" si="8"/>
        <v>0.2</v>
      </c>
      <c r="W242" s="13">
        <f t="shared" si="9"/>
        <v>98242.8</v>
      </c>
      <c r="X242" s="2" t="str">
        <f t="shared" si="10"/>
        <v>Normal</v>
      </c>
    </row>
    <row r="243" spans="1:24" ht="14.25" customHeight="1" x14ac:dyDescent="0.5">
      <c r="A243" s="2" t="s">
        <v>876</v>
      </c>
      <c r="B243" s="2" t="s">
        <v>870</v>
      </c>
      <c r="C243" s="2" t="str">
        <f t="shared" si="0"/>
        <v>Emily Clark</v>
      </c>
      <c r="D243" s="2" t="s">
        <v>49</v>
      </c>
      <c r="E243" s="2" t="str">
        <f t="shared" si="1"/>
        <v>emily@company.com</v>
      </c>
      <c r="F243" s="2" t="s">
        <v>34</v>
      </c>
      <c r="G243" s="3">
        <v>43973</v>
      </c>
      <c r="H243" s="3" t="str">
        <f t="shared" si="2"/>
        <v>22-May-2020</v>
      </c>
      <c r="I243" s="10" t="s">
        <v>877</v>
      </c>
      <c r="J243" s="10">
        <f t="shared" si="3"/>
        <v>72955</v>
      </c>
      <c r="K243" s="11" t="s">
        <v>17</v>
      </c>
      <c r="L243" s="2" t="s">
        <v>27</v>
      </c>
      <c r="M243" s="2" t="str">
        <f t="shared" si="4"/>
        <v>On Leave</v>
      </c>
      <c r="N243" s="2" t="s">
        <v>77</v>
      </c>
      <c r="O243" s="2" t="str">
        <f t="shared" si="5"/>
        <v>All Clear</v>
      </c>
      <c r="P243" s="2" t="s">
        <v>878</v>
      </c>
      <c r="Q243" s="2" t="str">
        <f t="shared" si="6"/>
        <v>NR</v>
      </c>
      <c r="R243" s="2" t="e">
        <f t="array" aca="1" ref="R243" ca="1">_xludf.IFS(Q243="ET", "East", Q243="WT", "West", Q243="ST","South", Q243="NR", "North")</f>
        <v>#NAME?</v>
      </c>
      <c r="S243" s="2" t="s">
        <v>96</v>
      </c>
      <c r="T243" s="2" t="str">
        <f t="shared" si="7"/>
        <v>Cairo</v>
      </c>
      <c r="U243" s="12" t="s">
        <v>39</v>
      </c>
      <c r="V243" s="12">
        <f t="shared" si="8"/>
        <v>0.05</v>
      </c>
      <c r="W243" s="13">
        <f t="shared" si="9"/>
        <v>76602.75</v>
      </c>
      <c r="X243" s="2" t="str">
        <f t="shared" si="10"/>
        <v>Normal</v>
      </c>
    </row>
    <row r="244" spans="1:24" ht="14.25" customHeight="1" x14ac:dyDescent="0.5">
      <c r="A244" s="2" t="s">
        <v>879</v>
      </c>
      <c r="B244" s="2" t="s">
        <v>62</v>
      </c>
      <c r="C244" s="2" t="str">
        <f t="shared" si="0"/>
        <v>Chris Brown</v>
      </c>
      <c r="D244" s="2" t="s">
        <v>25</v>
      </c>
      <c r="E244" s="2" t="str">
        <f t="shared" si="1"/>
        <v>chris@company.com</v>
      </c>
      <c r="F244" s="2" t="s">
        <v>69</v>
      </c>
      <c r="G244" s="3">
        <v>45045</v>
      </c>
      <c r="H244" s="3" t="str">
        <f t="shared" si="2"/>
        <v>29-Apr-2023</v>
      </c>
      <c r="I244" s="10" t="s">
        <v>880</v>
      </c>
      <c r="J244" s="10">
        <f t="shared" si="3"/>
        <v>101388</v>
      </c>
      <c r="K244" s="11" t="s">
        <v>44</v>
      </c>
      <c r="L244" s="2" t="s">
        <v>64</v>
      </c>
      <c r="M244" s="2" t="str">
        <f t="shared" si="4"/>
        <v>Terminated</v>
      </c>
      <c r="N244" s="2" t="s">
        <v>19</v>
      </c>
      <c r="O244" s="2" t="str">
        <f t="shared" si="5"/>
        <v>Urgent Review</v>
      </c>
      <c r="P244" s="2" t="s">
        <v>881</v>
      </c>
      <c r="Q244" s="2" t="str">
        <f t="shared" si="6"/>
        <v>ST</v>
      </c>
      <c r="R244" s="2" t="e">
        <f t="array" aca="1" ref="R244" ca="1">_xludf.IFS(Q244="ET", "East", Q244="WT", "West", Q244="ST","South", Q244="NR", "North")</f>
        <v>#NAME?</v>
      </c>
      <c r="S244" s="2" t="s">
        <v>96</v>
      </c>
      <c r="T244" s="2" t="str">
        <f t="shared" si="7"/>
        <v>Cairo</v>
      </c>
      <c r="U244" s="12" t="s">
        <v>22</v>
      </c>
      <c r="V244" s="12">
        <f t="shared" si="8"/>
        <v>0.2</v>
      </c>
      <c r="W244" s="13">
        <f t="shared" si="9"/>
        <v>121665.59999999999</v>
      </c>
      <c r="X244" s="2" t="str">
        <f t="shared" si="10"/>
        <v>High</v>
      </c>
    </row>
    <row r="245" spans="1:24" ht="14.25" customHeight="1" x14ac:dyDescent="0.5">
      <c r="A245" s="2" t="s">
        <v>882</v>
      </c>
      <c r="B245" s="2" t="s">
        <v>268</v>
      </c>
      <c r="C245" s="2" t="str">
        <f t="shared" si="0"/>
        <v>John Brown</v>
      </c>
      <c r="D245" s="2" t="s">
        <v>14</v>
      </c>
      <c r="E245" s="2" t="str">
        <f t="shared" si="1"/>
        <v>john@company.com</v>
      </c>
      <c r="F245" s="2" t="s">
        <v>75</v>
      </c>
      <c r="G245" s="3">
        <v>44363</v>
      </c>
      <c r="H245" s="3" t="str">
        <f t="shared" si="2"/>
        <v>16-Jun-2021</v>
      </c>
      <c r="I245" s="10" t="s">
        <v>883</v>
      </c>
      <c r="J245" s="10">
        <f t="shared" si="3"/>
        <v>50207</v>
      </c>
      <c r="K245" s="11" t="s">
        <v>83</v>
      </c>
      <c r="L245" s="2" t="s">
        <v>121</v>
      </c>
      <c r="M245" s="2" t="str">
        <f t="shared" si="4"/>
        <v>On Leave</v>
      </c>
      <c r="N245" s="2" t="s">
        <v>77</v>
      </c>
      <c r="O245" s="2" t="str">
        <f t="shared" si="5"/>
        <v>All Clear</v>
      </c>
      <c r="P245" s="2" t="s">
        <v>884</v>
      </c>
      <c r="Q245" s="2" t="str">
        <f t="shared" si="6"/>
        <v>ET</v>
      </c>
      <c r="R245" s="2" t="e">
        <f t="array" aca="1" ref="R245" ca="1">_xludf.IFS(Q245="ET", "East", Q245="WT", "West", Q245="ST","South", Q245="NR", "North")</f>
        <v>#NAME?</v>
      </c>
      <c r="S245" s="2" t="s">
        <v>159</v>
      </c>
      <c r="T245" s="2" t="str">
        <f t="shared" si="7"/>
        <v>Berlin</v>
      </c>
      <c r="U245" s="12" t="s">
        <v>30</v>
      </c>
      <c r="V245" s="12">
        <f t="shared" si="8"/>
        <v>0.1</v>
      </c>
      <c r="W245" s="13">
        <f t="shared" si="9"/>
        <v>55227.700000000004</v>
      </c>
      <c r="X245" s="2" t="str">
        <f t="shared" si="10"/>
        <v>Normal</v>
      </c>
    </row>
    <row r="246" spans="1:24" ht="14.25" customHeight="1" x14ac:dyDescent="0.5">
      <c r="A246" s="2" t="s">
        <v>885</v>
      </c>
      <c r="B246" s="2" t="s">
        <v>161</v>
      </c>
      <c r="C246" s="2" t="str">
        <f t="shared" si="0"/>
        <v>Alex Johnson</v>
      </c>
      <c r="D246" s="2" t="s">
        <v>74</v>
      </c>
      <c r="E246" s="2" t="str">
        <f t="shared" si="1"/>
        <v>mike@company.com</v>
      </c>
      <c r="F246" s="2" t="s">
        <v>15</v>
      </c>
      <c r="G246" s="3">
        <v>44057</v>
      </c>
      <c r="H246" s="3" t="str">
        <f t="shared" si="2"/>
        <v>14-Aug-2020</v>
      </c>
      <c r="I246" s="10" t="s">
        <v>886</v>
      </c>
      <c r="J246" s="10">
        <f t="shared" si="3"/>
        <v>107628</v>
      </c>
      <c r="K246" s="11" t="s">
        <v>36</v>
      </c>
      <c r="L246" s="2" t="s">
        <v>64</v>
      </c>
      <c r="M246" s="2" t="str">
        <f t="shared" si="4"/>
        <v>Terminated</v>
      </c>
      <c r="N246" s="2" t="s">
        <v>65</v>
      </c>
      <c r="O246" s="2" t="str">
        <f t="shared" si="5"/>
        <v>Follow Up</v>
      </c>
      <c r="P246" s="2" t="s">
        <v>887</v>
      </c>
      <c r="Q246" s="2" t="str">
        <f t="shared" si="6"/>
        <v>WT</v>
      </c>
      <c r="R246" s="2" t="e">
        <f t="array" aca="1" ref="R246" ca="1">_xludf.IFS(Q246="ET", "East", Q246="WT", "West", Q246="ST","South", Q246="NR", "North")</f>
        <v>#NAME?</v>
      </c>
      <c r="S246" s="2" t="s">
        <v>53</v>
      </c>
      <c r="T246" s="2" t="str">
        <f t="shared" si="7"/>
        <v>Delhi</v>
      </c>
      <c r="U246" s="12" t="s">
        <v>22</v>
      </c>
      <c r="V246" s="12">
        <f t="shared" si="8"/>
        <v>0.2</v>
      </c>
      <c r="W246" s="13">
        <f t="shared" si="9"/>
        <v>129153.59999999999</v>
      </c>
      <c r="X246" s="2" t="str">
        <f t="shared" si="10"/>
        <v>High</v>
      </c>
    </row>
    <row r="247" spans="1:24" ht="14.25" customHeight="1" x14ac:dyDescent="0.5">
      <c r="A247" s="2" t="s">
        <v>888</v>
      </c>
      <c r="B247" s="2" t="s">
        <v>889</v>
      </c>
      <c r="C247" s="2" t="str">
        <f t="shared" si="0"/>
        <v>John Wilson</v>
      </c>
      <c r="D247" s="2" t="s">
        <v>33</v>
      </c>
      <c r="E247" s="2" t="str">
        <f t="shared" si="1"/>
        <v>alex@company.com</v>
      </c>
      <c r="F247" s="2" t="s">
        <v>42</v>
      </c>
      <c r="G247" s="3">
        <v>45167</v>
      </c>
      <c r="H247" s="3" t="str">
        <f t="shared" si="2"/>
        <v>29-Aug-2023</v>
      </c>
      <c r="I247" s="10" t="s">
        <v>890</v>
      </c>
      <c r="J247" s="10">
        <f t="shared" si="3"/>
        <v>68220</v>
      </c>
      <c r="K247" s="11" t="s">
        <v>83</v>
      </c>
      <c r="L247" s="2" t="s">
        <v>45</v>
      </c>
      <c r="M247" s="2" t="str">
        <f t="shared" si="4"/>
        <v>Active</v>
      </c>
      <c r="O247" s="2" t="str">
        <f t="shared" si="5"/>
        <v>No Notes</v>
      </c>
      <c r="P247" s="2" t="s">
        <v>891</v>
      </c>
      <c r="Q247" s="2" t="str">
        <f t="shared" si="6"/>
        <v>ET</v>
      </c>
      <c r="R247" s="2" t="e">
        <f t="array" aca="1" ref="R247" ca="1">_xludf.IFS(Q247="ET", "East", Q247="WT", "West", Q247="ST","South", Q247="NR", "North")</f>
        <v>#NAME?</v>
      </c>
      <c r="S247" s="2" t="s">
        <v>60</v>
      </c>
      <c r="T247" s="2" t="str">
        <f t="shared" si="7"/>
        <v>Toronto</v>
      </c>
      <c r="U247" s="12" t="s">
        <v>39</v>
      </c>
      <c r="V247" s="12">
        <f t="shared" si="8"/>
        <v>0.05</v>
      </c>
      <c r="W247" s="13">
        <f t="shared" si="9"/>
        <v>71631</v>
      </c>
      <c r="X247" s="2" t="str">
        <f t="shared" si="10"/>
        <v>Normal</v>
      </c>
    </row>
    <row r="248" spans="1:24" ht="14.25" customHeight="1" x14ac:dyDescent="0.5">
      <c r="A248" s="2" t="s">
        <v>892</v>
      </c>
      <c r="B248" s="2" t="s">
        <v>453</v>
      </c>
      <c r="C248" s="2" t="str">
        <f t="shared" si="0"/>
        <v>Chris Wilson</v>
      </c>
      <c r="D248" s="2" t="s">
        <v>33</v>
      </c>
      <c r="E248" s="2" t="str">
        <f t="shared" si="1"/>
        <v>alex@company.com</v>
      </c>
      <c r="F248" s="2" t="s">
        <v>100</v>
      </c>
      <c r="G248" s="3">
        <v>44779</v>
      </c>
      <c r="H248" s="3" t="str">
        <f t="shared" si="2"/>
        <v>06-Aug-2022</v>
      </c>
      <c r="I248" s="10" t="s">
        <v>893</v>
      </c>
      <c r="J248" s="10">
        <f t="shared" si="3"/>
        <v>114085</v>
      </c>
      <c r="K248" s="11" t="s">
        <v>36</v>
      </c>
      <c r="L248" s="2" t="s">
        <v>18</v>
      </c>
      <c r="M248" s="2" t="str">
        <f t="shared" si="4"/>
        <v>Active</v>
      </c>
      <c r="N248" s="2" t="s">
        <v>65</v>
      </c>
      <c r="O248" s="2" t="str">
        <f t="shared" si="5"/>
        <v>Follow Up</v>
      </c>
      <c r="P248" s="2" t="s">
        <v>894</v>
      </c>
      <c r="Q248" s="2" t="str">
        <f t="shared" si="6"/>
        <v>NR</v>
      </c>
      <c r="R248" s="2" t="e">
        <f t="array" aca="1" ref="R248" ca="1">_xludf.IFS(Q248="ET", "East", Q248="WT", "West", Q248="ST","South", Q248="NR", "North")</f>
        <v>#NAME?</v>
      </c>
      <c r="S248" s="2" t="s">
        <v>96</v>
      </c>
      <c r="T248" s="2" t="str">
        <f t="shared" si="7"/>
        <v>Cairo</v>
      </c>
      <c r="U248" s="12" t="s">
        <v>85</v>
      </c>
      <c r="V248" s="12">
        <f t="shared" si="8"/>
        <v>0.15</v>
      </c>
      <c r="W248" s="13">
        <f t="shared" si="9"/>
        <v>131197.75</v>
      </c>
      <c r="X248" s="2" t="str">
        <f t="shared" si="10"/>
        <v>High</v>
      </c>
    </row>
    <row r="249" spans="1:24" ht="14.25" customHeight="1" x14ac:dyDescent="0.5">
      <c r="A249" s="2" t="s">
        <v>895</v>
      </c>
      <c r="B249" s="2" t="s">
        <v>378</v>
      </c>
      <c r="C249" s="2" t="str">
        <f t="shared" si="0"/>
        <v>Emily Smith</v>
      </c>
      <c r="D249" s="2" t="s">
        <v>105</v>
      </c>
      <c r="E249" s="2" t="str">
        <f t="shared" si="1"/>
        <v>sam@company.com</v>
      </c>
      <c r="F249" s="2" t="s">
        <v>75</v>
      </c>
      <c r="G249" s="3">
        <v>45156</v>
      </c>
      <c r="H249" s="3" t="str">
        <f t="shared" si="2"/>
        <v>18-Aug-2023</v>
      </c>
      <c r="I249" s="10" t="s">
        <v>896</v>
      </c>
      <c r="J249" s="10">
        <f t="shared" si="3"/>
        <v>62031</v>
      </c>
      <c r="K249" s="11" t="s">
        <v>57</v>
      </c>
      <c r="L249" s="2" t="s">
        <v>45</v>
      </c>
      <c r="M249" s="2" t="str">
        <f t="shared" si="4"/>
        <v>Active</v>
      </c>
      <c r="N249" s="2" t="s">
        <v>65</v>
      </c>
      <c r="O249" s="2" t="str">
        <f t="shared" si="5"/>
        <v>Follow Up</v>
      </c>
      <c r="P249" s="2" t="s">
        <v>897</v>
      </c>
      <c r="Q249" s="2" t="str">
        <f t="shared" si="6"/>
        <v>WT</v>
      </c>
      <c r="R249" s="2" t="e">
        <f t="array" aca="1" ref="R249" ca="1">_xludf.IFS(Q249="ET", "East", Q249="WT", "West", Q249="ST","South", Q249="NR", "North")</f>
        <v>#NAME?</v>
      </c>
      <c r="S249" s="2" t="s">
        <v>38</v>
      </c>
      <c r="T249" s="2" t="str">
        <f t="shared" si="7"/>
        <v>London</v>
      </c>
      <c r="U249" s="12" t="s">
        <v>39</v>
      </c>
      <c r="V249" s="12">
        <f t="shared" si="8"/>
        <v>0.05</v>
      </c>
      <c r="W249" s="13">
        <f t="shared" si="9"/>
        <v>65132.55</v>
      </c>
      <c r="X249" s="2" t="str">
        <f t="shared" si="10"/>
        <v>Normal</v>
      </c>
    </row>
    <row r="250" spans="1:24" ht="14.25" customHeight="1" x14ac:dyDescent="0.5">
      <c r="A250" s="2" t="s">
        <v>898</v>
      </c>
      <c r="B250" s="2" t="s">
        <v>253</v>
      </c>
      <c r="C250" s="2" t="str">
        <f t="shared" si="0"/>
        <v>Sarah Wilson</v>
      </c>
      <c r="D250" s="2" t="s">
        <v>105</v>
      </c>
      <c r="E250" s="2" t="str">
        <f t="shared" si="1"/>
        <v>sam@company.com</v>
      </c>
      <c r="F250" s="2" t="s">
        <v>34</v>
      </c>
      <c r="G250" s="3">
        <v>44290</v>
      </c>
      <c r="H250" s="3" t="str">
        <f t="shared" si="2"/>
        <v>04-Apr-2021</v>
      </c>
      <c r="I250" s="10" t="s">
        <v>899</v>
      </c>
      <c r="J250" s="10">
        <f t="shared" si="3"/>
        <v>110721</v>
      </c>
      <c r="K250" s="11" t="s">
        <v>57</v>
      </c>
      <c r="L250" s="2" t="s">
        <v>89</v>
      </c>
      <c r="M250" s="2" t="str">
        <f t="shared" si="4"/>
        <v>Active</v>
      </c>
      <c r="N250" s="2" t="s">
        <v>65</v>
      </c>
      <c r="O250" s="2" t="str">
        <f t="shared" si="5"/>
        <v>Follow Up</v>
      </c>
      <c r="P250" s="2" t="s">
        <v>900</v>
      </c>
      <c r="Q250" s="2" t="str">
        <f t="shared" si="6"/>
        <v>NR</v>
      </c>
      <c r="R250" s="2" t="e">
        <f t="array" aca="1" ref="R250" ca="1">_xludf.IFS(Q250="ET", "East", Q250="WT", "West", Q250="ST","South", Q250="NR", "North")</f>
        <v>#NAME?</v>
      </c>
      <c r="S250" s="2" t="s">
        <v>60</v>
      </c>
      <c r="T250" s="2" t="str">
        <f t="shared" si="7"/>
        <v>Toronto</v>
      </c>
      <c r="U250" s="12" t="s">
        <v>85</v>
      </c>
      <c r="V250" s="12">
        <f t="shared" si="8"/>
        <v>0.15</v>
      </c>
      <c r="W250" s="13">
        <f t="shared" si="9"/>
        <v>127329.15</v>
      </c>
      <c r="X250" s="2" t="str">
        <f t="shared" si="10"/>
        <v>High</v>
      </c>
    </row>
    <row r="251" spans="1:24" ht="14.25" customHeight="1" x14ac:dyDescent="0.5">
      <c r="A251" s="2" t="s">
        <v>901</v>
      </c>
      <c r="B251" s="2" t="s">
        <v>115</v>
      </c>
      <c r="C251" s="2" t="str">
        <f t="shared" si="0"/>
        <v>Katie Brown</v>
      </c>
      <c r="D251" s="2" t="s">
        <v>33</v>
      </c>
      <c r="E251" s="2" t="str">
        <f t="shared" si="1"/>
        <v>alex@company.com</v>
      </c>
      <c r="F251" s="2" t="s">
        <v>15</v>
      </c>
      <c r="G251" s="3">
        <v>45255</v>
      </c>
      <c r="H251" s="3" t="str">
        <f t="shared" si="2"/>
        <v>25-Nov-2023</v>
      </c>
      <c r="I251" s="10" t="s">
        <v>902</v>
      </c>
      <c r="J251" s="10">
        <f t="shared" si="3"/>
        <v>111312</v>
      </c>
      <c r="K251" s="11" t="s">
        <v>36</v>
      </c>
      <c r="L251" s="2" t="s">
        <v>58</v>
      </c>
      <c r="M251" s="2" t="str">
        <f t="shared" si="4"/>
        <v>Terminated</v>
      </c>
      <c r="N251" s="2" t="s">
        <v>77</v>
      </c>
      <c r="O251" s="2" t="str">
        <f t="shared" si="5"/>
        <v>All Clear</v>
      </c>
      <c r="P251" s="2" t="s">
        <v>903</v>
      </c>
      <c r="Q251" s="2" t="str">
        <f t="shared" si="6"/>
        <v>ET</v>
      </c>
      <c r="R251" s="2" t="e">
        <f t="array" aca="1" ref="R251" ca="1">_xludf.IFS(Q251="ET", "East", Q251="WT", "West", Q251="ST","South", Q251="NR", "North")</f>
        <v>#NAME?</v>
      </c>
      <c r="S251" s="2" t="s">
        <v>60</v>
      </c>
      <c r="T251" s="2" t="str">
        <f t="shared" si="7"/>
        <v>Toronto</v>
      </c>
      <c r="U251" s="12" t="s">
        <v>85</v>
      </c>
      <c r="V251" s="12">
        <f t="shared" si="8"/>
        <v>0.15</v>
      </c>
      <c r="W251" s="13">
        <f t="shared" si="9"/>
        <v>128008.79999999999</v>
      </c>
      <c r="X251" s="2" t="str">
        <f t="shared" si="10"/>
        <v>High</v>
      </c>
    </row>
    <row r="252" spans="1:24" ht="14.25" customHeight="1" x14ac:dyDescent="0.5">
      <c r="A252" s="2" t="s">
        <v>904</v>
      </c>
      <c r="B252" s="2" t="s">
        <v>98</v>
      </c>
      <c r="C252" s="2" t="str">
        <f t="shared" si="0"/>
        <v>Katie Smith</v>
      </c>
      <c r="D252" s="2" t="s">
        <v>14</v>
      </c>
      <c r="E252" s="2" t="str">
        <f t="shared" si="1"/>
        <v>john@company.com</v>
      </c>
      <c r="F252" s="2" t="s">
        <v>69</v>
      </c>
      <c r="G252" s="3">
        <v>44381</v>
      </c>
      <c r="H252" s="3" t="str">
        <f t="shared" si="2"/>
        <v>04-Jul-2021</v>
      </c>
      <c r="I252" s="10" t="s">
        <v>905</v>
      </c>
      <c r="J252" s="10">
        <f t="shared" si="3"/>
        <v>99766</v>
      </c>
      <c r="K252" s="11" t="s">
        <v>44</v>
      </c>
      <c r="L252" s="2" t="s">
        <v>64</v>
      </c>
      <c r="M252" s="2" t="str">
        <f t="shared" si="4"/>
        <v>Terminated</v>
      </c>
      <c r="N252" s="2" t="s">
        <v>107</v>
      </c>
      <c r="O252" s="2" t="str">
        <f t="shared" si="5"/>
        <v>All Clear</v>
      </c>
      <c r="P252" s="2" t="s">
        <v>906</v>
      </c>
      <c r="Q252" s="2" t="str">
        <f t="shared" si="6"/>
        <v>WT</v>
      </c>
      <c r="R252" s="2" t="e">
        <f t="array" aca="1" ref="R252" ca="1">_xludf.IFS(Q252="ET", "East", Q252="WT", "West", Q252="ST","South", Q252="NR", "North")</f>
        <v>#NAME?</v>
      </c>
      <c r="S252" s="2" t="s">
        <v>47</v>
      </c>
      <c r="T252" s="2" t="str">
        <f t="shared" si="7"/>
        <v>Lagos</v>
      </c>
      <c r="U252" s="12" t="s">
        <v>22</v>
      </c>
      <c r="V252" s="12">
        <f t="shared" si="8"/>
        <v>0.2</v>
      </c>
      <c r="W252" s="13">
        <f t="shared" si="9"/>
        <v>119719.2</v>
      </c>
      <c r="X252" s="2" t="str">
        <f t="shared" si="10"/>
        <v>High</v>
      </c>
    </row>
    <row r="253" spans="1:24" ht="14.25" customHeight="1" x14ac:dyDescent="0.5">
      <c r="A253" s="2" t="s">
        <v>907</v>
      </c>
      <c r="B253" s="2" t="s">
        <v>293</v>
      </c>
      <c r="C253" s="2" t="str">
        <f t="shared" si="0"/>
        <v>John Taylor</v>
      </c>
      <c r="D253" s="2" t="s">
        <v>235</v>
      </c>
      <c r="E253" s="2" t="str">
        <f t="shared" si="1"/>
        <v>jane@company.com</v>
      </c>
      <c r="F253" s="2" t="s">
        <v>15</v>
      </c>
      <c r="G253" s="3">
        <v>44223</v>
      </c>
      <c r="H253" s="3" t="str">
        <f t="shared" si="2"/>
        <v>27-Jan-2021</v>
      </c>
      <c r="I253" s="10" t="s">
        <v>908</v>
      </c>
      <c r="J253" s="10">
        <f t="shared" si="3"/>
        <v>52449</v>
      </c>
      <c r="K253" s="11" t="s">
        <v>83</v>
      </c>
      <c r="L253" s="2" t="s">
        <v>89</v>
      </c>
      <c r="M253" s="2" t="str">
        <f t="shared" si="4"/>
        <v>Active</v>
      </c>
      <c r="N253" s="2" t="s">
        <v>65</v>
      </c>
      <c r="O253" s="2" t="str">
        <f t="shared" si="5"/>
        <v>Follow Up</v>
      </c>
      <c r="P253" s="2" t="s">
        <v>909</v>
      </c>
      <c r="Q253" s="2" t="str">
        <f t="shared" si="6"/>
        <v>ST</v>
      </c>
      <c r="R253" s="2" t="e">
        <f t="array" aca="1" ref="R253" ca="1">_xludf.IFS(Q253="ET", "East", Q253="WT", "West", Q253="ST","South", Q253="NR", "North")</f>
        <v>#NAME?</v>
      </c>
      <c r="S253" s="2" t="s">
        <v>96</v>
      </c>
      <c r="T253" s="2" t="str">
        <f t="shared" si="7"/>
        <v>Cairo</v>
      </c>
      <c r="U253" s="12" t="s">
        <v>22</v>
      </c>
      <c r="V253" s="12">
        <f t="shared" si="8"/>
        <v>0.2</v>
      </c>
      <c r="W253" s="13">
        <f t="shared" si="9"/>
        <v>62938.799999999996</v>
      </c>
      <c r="X253" s="2" t="str">
        <f t="shared" si="10"/>
        <v>Normal</v>
      </c>
    </row>
    <row r="254" spans="1:24" ht="14.25" customHeight="1" x14ac:dyDescent="0.5">
      <c r="A254" s="2" t="s">
        <v>910</v>
      </c>
      <c r="B254" s="2" t="s">
        <v>429</v>
      </c>
      <c r="C254" s="2" t="str">
        <f t="shared" si="0"/>
        <v>Katie Miller</v>
      </c>
      <c r="D254" s="2" t="s">
        <v>93</v>
      </c>
      <c r="E254" s="2" t="str">
        <f t="shared" si="1"/>
        <v>k@ie@company.com</v>
      </c>
      <c r="F254" s="2" t="s">
        <v>69</v>
      </c>
      <c r="G254" s="3">
        <v>44675</v>
      </c>
      <c r="H254" s="3" t="str">
        <f t="shared" si="2"/>
        <v>24-Apr-2022</v>
      </c>
      <c r="I254" s="10" t="s">
        <v>911</v>
      </c>
      <c r="J254" s="10">
        <f t="shared" si="3"/>
        <v>96699</v>
      </c>
      <c r="K254" s="11" t="s">
        <v>83</v>
      </c>
      <c r="L254" s="2" t="s">
        <v>112</v>
      </c>
      <c r="M254" s="2" t="str">
        <f t="shared" si="4"/>
        <v>On Leave</v>
      </c>
      <c r="N254" s="2" t="s">
        <v>28</v>
      </c>
      <c r="O254" s="2" t="str">
        <f t="shared" si="5"/>
        <v>Pending Docs</v>
      </c>
      <c r="P254" s="2" t="s">
        <v>912</v>
      </c>
      <c r="Q254" s="2" t="str">
        <f t="shared" si="6"/>
        <v>ST</v>
      </c>
      <c r="R254" s="2" t="e">
        <f t="array" aca="1" ref="R254" ca="1">_xludf.IFS(Q254="ET", "East", Q254="WT", "West", Q254="ST","South", Q254="NR", "North")</f>
        <v>#NAME?</v>
      </c>
      <c r="S254" s="2" t="s">
        <v>96</v>
      </c>
      <c r="T254" s="2" t="str">
        <f t="shared" si="7"/>
        <v>Cairo</v>
      </c>
      <c r="U254" s="12" t="s">
        <v>22</v>
      </c>
      <c r="V254" s="12">
        <f t="shared" si="8"/>
        <v>0.2</v>
      </c>
      <c r="W254" s="13">
        <f t="shared" si="9"/>
        <v>116038.8</v>
      </c>
      <c r="X254" s="2" t="str">
        <f t="shared" si="10"/>
        <v>High</v>
      </c>
    </row>
    <row r="255" spans="1:24" ht="14.25" customHeight="1" x14ac:dyDescent="0.5">
      <c r="A255" s="2" t="s">
        <v>913</v>
      </c>
      <c r="B255" s="2" t="s">
        <v>156</v>
      </c>
      <c r="C255" s="2" t="str">
        <f t="shared" si="0"/>
        <v>Sam Smith</v>
      </c>
      <c r="D255" s="2" t="s">
        <v>74</v>
      </c>
      <c r="E255" s="2" t="str">
        <f t="shared" si="1"/>
        <v>mike@company.com</v>
      </c>
      <c r="F255" s="2" t="s">
        <v>75</v>
      </c>
      <c r="G255" s="3">
        <v>45061</v>
      </c>
      <c r="H255" s="3" t="str">
        <f t="shared" si="2"/>
        <v>15-May-2023</v>
      </c>
      <c r="I255" s="10" t="s">
        <v>914</v>
      </c>
      <c r="J255" s="10">
        <f t="shared" si="3"/>
        <v>86092</v>
      </c>
      <c r="K255" s="11" t="s">
        <v>57</v>
      </c>
      <c r="L255" s="2" t="s">
        <v>58</v>
      </c>
      <c r="M255" s="2" t="str">
        <f t="shared" si="4"/>
        <v>Terminated</v>
      </c>
      <c r="N255" s="2" t="s">
        <v>28</v>
      </c>
      <c r="O255" s="2" t="str">
        <f t="shared" si="5"/>
        <v>Pending Docs</v>
      </c>
      <c r="P255" s="2" t="s">
        <v>915</v>
      </c>
      <c r="Q255" s="2" t="str">
        <f t="shared" si="6"/>
        <v>WT</v>
      </c>
      <c r="R255" s="2" t="e">
        <f t="array" aca="1" ref="R255" ca="1">_xludf.IFS(Q255="ET", "East", Q255="WT", "West", Q255="ST","South", Q255="NR", "North")</f>
        <v>#NAME?</v>
      </c>
      <c r="S255" s="2" t="s">
        <v>159</v>
      </c>
      <c r="T255" s="2" t="str">
        <f t="shared" si="7"/>
        <v>Berlin</v>
      </c>
      <c r="U255" s="12" t="s">
        <v>30</v>
      </c>
      <c r="V255" s="12">
        <f t="shared" si="8"/>
        <v>0.1</v>
      </c>
      <c r="W255" s="13">
        <f t="shared" si="9"/>
        <v>94701.200000000012</v>
      </c>
      <c r="X255" s="2" t="str">
        <f t="shared" si="10"/>
        <v>Normal</v>
      </c>
    </row>
    <row r="256" spans="1:24" ht="14.25" customHeight="1" x14ac:dyDescent="0.5">
      <c r="A256" s="2" t="s">
        <v>916</v>
      </c>
      <c r="B256" s="2" t="s">
        <v>336</v>
      </c>
      <c r="C256" s="2" t="str">
        <f t="shared" si="0"/>
        <v>Alex Clark</v>
      </c>
      <c r="D256" s="2" t="s">
        <v>235</v>
      </c>
      <c r="E256" s="2" t="str">
        <f t="shared" si="1"/>
        <v>jane@company.com</v>
      </c>
      <c r="F256" s="2" t="s">
        <v>69</v>
      </c>
      <c r="G256" s="3">
        <v>44040</v>
      </c>
      <c r="H256" s="3" t="str">
        <f t="shared" si="2"/>
        <v>28-Jul-2020</v>
      </c>
      <c r="I256" s="10" t="s">
        <v>917</v>
      </c>
      <c r="J256" s="10">
        <f t="shared" si="3"/>
        <v>103671</v>
      </c>
      <c r="K256" s="11" t="s">
        <v>36</v>
      </c>
      <c r="L256" s="2" t="s">
        <v>45</v>
      </c>
      <c r="M256" s="2" t="str">
        <f t="shared" si="4"/>
        <v>Active</v>
      </c>
      <c r="N256" s="2" t="s">
        <v>19</v>
      </c>
      <c r="O256" s="2" t="str">
        <f t="shared" si="5"/>
        <v>Urgent Review</v>
      </c>
      <c r="P256" s="2" t="s">
        <v>918</v>
      </c>
      <c r="Q256" s="2" t="str">
        <f t="shared" si="6"/>
        <v>WT</v>
      </c>
      <c r="R256" s="2" t="e">
        <f t="array" aca="1" ref="R256" ca="1">_xludf.IFS(Q256="ET", "East", Q256="WT", "West", Q256="ST","South", Q256="NR", "North")</f>
        <v>#NAME?</v>
      </c>
      <c r="S256" s="2" t="s">
        <v>47</v>
      </c>
      <c r="T256" s="2" t="str">
        <f t="shared" si="7"/>
        <v>Lagos</v>
      </c>
      <c r="U256" s="12" t="s">
        <v>22</v>
      </c>
      <c r="V256" s="12">
        <f t="shared" si="8"/>
        <v>0.2</v>
      </c>
      <c r="W256" s="13">
        <f t="shared" si="9"/>
        <v>124405.2</v>
      </c>
      <c r="X256" s="2" t="str">
        <f t="shared" si="10"/>
        <v>High</v>
      </c>
    </row>
    <row r="257" spans="1:24" ht="14.25" customHeight="1" x14ac:dyDescent="0.5">
      <c r="A257" s="2" t="s">
        <v>919</v>
      </c>
      <c r="B257" s="2" t="s">
        <v>584</v>
      </c>
      <c r="C257" s="2" t="str">
        <f t="shared" ref="C257:C501" si="11">TRIM(B257)</f>
        <v>Sam Clark</v>
      </c>
      <c r="D257" s="2" t="s">
        <v>49</v>
      </c>
      <c r="E257" s="2" t="str">
        <f t="shared" ref="E257:E501" si="12">SUBSTITUTE(SUBSTITUTE(D257,"at","@")," ","")</f>
        <v>emily@company.com</v>
      </c>
      <c r="F257" s="2" t="s">
        <v>50</v>
      </c>
      <c r="G257" s="3">
        <v>44969</v>
      </c>
      <c r="H257" s="3" t="str">
        <f t="shared" ref="H257:H501" si="13">TEXT(G257,"dd-mmm-yyyy")</f>
        <v>12-Feb-2023</v>
      </c>
      <c r="I257" s="10" t="s">
        <v>920</v>
      </c>
      <c r="J257" s="10">
        <f t="shared" ref="J257:J501" si="14">VALUE(I257)</f>
        <v>50350</v>
      </c>
      <c r="K257" s="11" t="s">
        <v>83</v>
      </c>
      <c r="L257" s="2" t="s">
        <v>27</v>
      </c>
      <c r="M257" s="2" t="str">
        <f t="shared" ref="M257:M501" si="15">TRIM(PROPER(SUBSTITUTE(SUBSTITUTE(SUBSTITUTE(L257,"actve","Active"),"Termnated","terminated"),"onleave","On Leave")))</f>
        <v>On Leave</v>
      </c>
      <c r="N257" s="2" t="s">
        <v>107</v>
      </c>
      <c r="O257" s="2" t="str">
        <f t="shared" ref="O257:O501" si="16">TRIM(PROPER(IF(ISBLANK(N257),"No Notes", N257)))</f>
        <v>All Clear</v>
      </c>
      <c r="P257" s="2" t="s">
        <v>921</v>
      </c>
      <c r="Q257" s="2" t="str">
        <f t="shared" ref="Q257:Q501" si="17">LEFT(P257,FIND("-",P257)-1)</f>
        <v>NR</v>
      </c>
      <c r="R257" s="2" t="e">
        <f t="array" aca="1" ref="R257" ca="1">_xludf.IFS(Q257="ET", "East", Q257="WT", "West", Q257="ST","South", Q257="NR", "North")</f>
        <v>#NAME?</v>
      </c>
      <c r="S257" s="2" t="s">
        <v>53</v>
      </c>
      <c r="T257" s="2" t="str">
        <f t="shared" ref="T257:T501" si="18">TRIM(PROPER(S257))</f>
        <v>Delhi</v>
      </c>
      <c r="U257" s="12" t="s">
        <v>30</v>
      </c>
      <c r="V257" s="12">
        <f t="shared" ref="V257:V501" si="19">VALUE(U257)</f>
        <v>0.1</v>
      </c>
      <c r="W257" s="13">
        <f t="shared" ref="W257:W501" si="20">J257*(1+V257)</f>
        <v>55385.000000000007</v>
      </c>
      <c r="X257" s="2" t="str">
        <f t="shared" ref="X257:X501" si="21">IF(W257&gt;100000,"High", "Normal")</f>
        <v>Normal</v>
      </c>
    </row>
    <row r="258" spans="1:24" ht="14.25" customHeight="1" x14ac:dyDescent="0.5">
      <c r="A258" s="2" t="s">
        <v>922</v>
      </c>
      <c r="B258" s="2" t="s">
        <v>13</v>
      </c>
      <c r="C258" s="2" t="str">
        <f t="shared" si="11"/>
        <v>Sarah Taylor</v>
      </c>
      <c r="D258" s="2" t="s">
        <v>93</v>
      </c>
      <c r="E258" s="2" t="str">
        <f t="shared" si="12"/>
        <v>k@ie@company.com</v>
      </c>
      <c r="F258" s="2" t="s">
        <v>50</v>
      </c>
      <c r="G258" s="3">
        <v>44476</v>
      </c>
      <c r="H258" s="3" t="str">
        <f t="shared" si="13"/>
        <v>07-Oct-2021</v>
      </c>
      <c r="I258" s="10" t="s">
        <v>923</v>
      </c>
      <c r="J258" s="10">
        <f t="shared" si="14"/>
        <v>108487</v>
      </c>
      <c r="K258" s="11" t="s">
        <v>83</v>
      </c>
      <c r="L258" s="2" t="s">
        <v>64</v>
      </c>
      <c r="M258" s="2" t="str">
        <f t="shared" si="15"/>
        <v>Terminated</v>
      </c>
      <c r="N258" s="2" t="s">
        <v>19</v>
      </c>
      <c r="O258" s="2" t="str">
        <f t="shared" si="16"/>
        <v>Urgent Review</v>
      </c>
      <c r="P258" s="2" t="s">
        <v>924</v>
      </c>
      <c r="Q258" s="2" t="str">
        <f t="shared" si="17"/>
        <v>WT</v>
      </c>
      <c r="R258" s="2" t="e">
        <f t="array" aca="1" ref="R258" ca="1">_xludf.IFS(Q258="ET", "East", Q258="WT", "West", Q258="ST","South", Q258="NR", "North")</f>
        <v>#NAME?</v>
      </c>
      <c r="S258" s="2" t="s">
        <v>21</v>
      </c>
      <c r="T258" s="2" t="str">
        <f t="shared" si="18"/>
        <v>Sao Paulo</v>
      </c>
      <c r="U258" s="12" t="s">
        <v>22</v>
      </c>
      <c r="V258" s="12">
        <f t="shared" si="19"/>
        <v>0.2</v>
      </c>
      <c r="W258" s="13">
        <f t="shared" si="20"/>
        <v>130184.4</v>
      </c>
      <c r="X258" s="2" t="str">
        <f t="shared" si="21"/>
        <v>High</v>
      </c>
    </row>
    <row r="259" spans="1:24" ht="14.25" customHeight="1" x14ac:dyDescent="0.5">
      <c r="A259" s="2" t="s">
        <v>925</v>
      </c>
      <c r="B259" s="2" t="s">
        <v>720</v>
      </c>
      <c r="C259" s="2" t="str">
        <f t="shared" si="11"/>
        <v>Sam Lewis</v>
      </c>
      <c r="D259" s="2" t="s">
        <v>93</v>
      </c>
      <c r="E259" s="2" t="str">
        <f t="shared" si="12"/>
        <v>k@ie@company.com</v>
      </c>
      <c r="F259" s="2" t="s">
        <v>50</v>
      </c>
      <c r="G259" s="3">
        <v>45105</v>
      </c>
      <c r="H259" s="3" t="str">
        <f t="shared" si="13"/>
        <v>28-Jun-2023</v>
      </c>
      <c r="I259" s="10" t="s">
        <v>926</v>
      </c>
      <c r="J259" s="10">
        <f t="shared" si="14"/>
        <v>57622</v>
      </c>
      <c r="K259" s="11" t="s">
        <v>44</v>
      </c>
      <c r="L259" s="2" t="s">
        <v>112</v>
      </c>
      <c r="M259" s="2" t="str">
        <f t="shared" si="15"/>
        <v>On Leave</v>
      </c>
      <c r="N259" s="2" t="s">
        <v>28</v>
      </c>
      <c r="O259" s="2" t="str">
        <f t="shared" si="16"/>
        <v>Pending Docs</v>
      </c>
      <c r="P259" s="2" t="s">
        <v>927</v>
      </c>
      <c r="Q259" s="2" t="str">
        <f t="shared" si="17"/>
        <v>NR</v>
      </c>
      <c r="R259" s="2" t="e">
        <f t="array" aca="1" ref="R259" ca="1">_xludf.IFS(Q259="ET", "East", Q259="WT", "West", Q259="ST","South", Q259="NR", "North")</f>
        <v>#NAME?</v>
      </c>
      <c r="S259" s="2" t="s">
        <v>53</v>
      </c>
      <c r="T259" s="2" t="str">
        <f t="shared" si="18"/>
        <v>Delhi</v>
      </c>
      <c r="U259" s="12" t="s">
        <v>85</v>
      </c>
      <c r="V259" s="12">
        <f t="shared" si="19"/>
        <v>0.15</v>
      </c>
      <c r="W259" s="13">
        <f t="shared" si="20"/>
        <v>66265.299999999988</v>
      </c>
      <c r="X259" s="2" t="str">
        <f t="shared" si="21"/>
        <v>Normal</v>
      </c>
    </row>
    <row r="260" spans="1:24" ht="14.25" customHeight="1" x14ac:dyDescent="0.5">
      <c r="A260" s="2" t="s">
        <v>928</v>
      </c>
      <c r="B260" s="2" t="s">
        <v>482</v>
      </c>
      <c r="C260" s="2" t="str">
        <f t="shared" si="11"/>
        <v>Emily Davis</v>
      </c>
      <c r="D260" s="2" t="s">
        <v>25</v>
      </c>
      <c r="E260" s="2" t="str">
        <f t="shared" si="12"/>
        <v>chris@company.com</v>
      </c>
      <c r="F260" s="2" t="s">
        <v>34</v>
      </c>
      <c r="G260" s="3">
        <v>44049</v>
      </c>
      <c r="H260" s="3" t="str">
        <f t="shared" si="13"/>
        <v>06-Aug-2020</v>
      </c>
      <c r="I260" s="10" t="s">
        <v>929</v>
      </c>
      <c r="J260" s="10">
        <f t="shared" si="14"/>
        <v>110263</v>
      </c>
      <c r="K260" s="11" t="s">
        <v>17</v>
      </c>
      <c r="L260" s="2" t="s">
        <v>58</v>
      </c>
      <c r="M260" s="2" t="str">
        <f t="shared" si="15"/>
        <v>Terminated</v>
      </c>
      <c r="N260" s="2" t="s">
        <v>28</v>
      </c>
      <c r="O260" s="2" t="str">
        <f t="shared" si="16"/>
        <v>Pending Docs</v>
      </c>
      <c r="P260" s="2" t="s">
        <v>930</v>
      </c>
      <c r="Q260" s="2" t="str">
        <f t="shared" si="17"/>
        <v>ET</v>
      </c>
      <c r="R260" s="2" t="e">
        <f t="array" aca="1" ref="R260" ca="1">_xludf.IFS(Q260="ET", "East", Q260="WT", "West", Q260="ST","South", Q260="NR", "North")</f>
        <v>#NAME?</v>
      </c>
      <c r="S260" s="2" t="s">
        <v>53</v>
      </c>
      <c r="T260" s="2" t="str">
        <f t="shared" si="18"/>
        <v>Delhi</v>
      </c>
      <c r="U260" s="12" t="s">
        <v>30</v>
      </c>
      <c r="V260" s="12">
        <f t="shared" si="19"/>
        <v>0.1</v>
      </c>
      <c r="W260" s="13">
        <f t="shared" si="20"/>
        <v>121289.3</v>
      </c>
      <c r="X260" s="2" t="str">
        <f t="shared" si="21"/>
        <v>High</v>
      </c>
    </row>
    <row r="261" spans="1:24" ht="14.25" customHeight="1" x14ac:dyDescent="0.5">
      <c r="A261" s="2" t="s">
        <v>931</v>
      </c>
      <c r="B261" s="2" t="s">
        <v>584</v>
      </c>
      <c r="C261" s="2" t="str">
        <f t="shared" si="11"/>
        <v>Sam Clark</v>
      </c>
      <c r="D261" s="2" t="s">
        <v>14</v>
      </c>
      <c r="E261" s="2" t="str">
        <f t="shared" si="12"/>
        <v>john@company.com</v>
      </c>
      <c r="F261" s="2" t="s">
        <v>34</v>
      </c>
      <c r="G261" s="3">
        <v>44237</v>
      </c>
      <c r="H261" s="3" t="str">
        <f t="shared" si="13"/>
        <v>10-Feb-2021</v>
      </c>
      <c r="I261" s="10" t="s">
        <v>932</v>
      </c>
      <c r="J261" s="10">
        <f t="shared" si="14"/>
        <v>93117</v>
      </c>
      <c r="K261" s="11" t="s">
        <v>57</v>
      </c>
      <c r="L261" s="2" t="s">
        <v>64</v>
      </c>
      <c r="M261" s="2" t="str">
        <f t="shared" si="15"/>
        <v>Terminated</v>
      </c>
      <c r="O261" s="2" t="str">
        <f t="shared" si="16"/>
        <v>No Notes</v>
      </c>
      <c r="P261" s="2" t="s">
        <v>933</v>
      </c>
      <c r="Q261" s="2" t="str">
        <f t="shared" si="17"/>
        <v>NR</v>
      </c>
      <c r="R261" s="2" t="e">
        <f t="array" aca="1" ref="R261" ca="1">_xludf.IFS(Q261="ET", "East", Q261="WT", "West", Q261="ST","South", Q261="NR", "North")</f>
        <v>#NAME?</v>
      </c>
      <c r="S261" s="2" t="s">
        <v>47</v>
      </c>
      <c r="T261" s="2" t="str">
        <f t="shared" si="18"/>
        <v>Lagos</v>
      </c>
      <c r="U261" s="12" t="s">
        <v>39</v>
      </c>
      <c r="V261" s="12">
        <f t="shared" si="19"/>
        <v>0.05</v>
      </c>
      <c r="W261" s="13">
        <f t="shared" si="20"/>
        <v>97772.85</v>
      </c>
      <c r="X261" s="2" t="str">
        <f t="shared" si="21"/>
        <v>Normal</v>
      </c>
    </row>
    <row r="262" spans="1:24" ht="14.25" customHeight="1" x14ac:dyDescent="0.5">
      <c r="A262" s="2" t="s">
        <v>934</v>
      </c>
      <c r="B262" s="2" t="s">
        <v>297</v>
      </c>
      <c r="C262" s="2" t="str">
        <f t="shared" si="11"/>
        <v>Alex Davis</v>
      </c>
      <c r="D262" s="2" t="s">
        <v>14</v>
      </c>
      <c r="E262" s="2" t="str">
        <f t="shared" si="12"/>
        <v>john@company.com</v>
      </c>
      <c r="F262" s="2" t="s">
        <v>42</v>
      </c>
      <c r="G262" s="3">
        <v>45297</v>
      </c>
      <c r="H262" s="3" t="str">
        <f t="shared" si="13"/>
        <v>06-Jan-2024</v>
      </c>
      <c r="I262" s="10" t="s">
        <v>935</v>
      </c>
      <c r="J262" s="10">
        <f t="shared" si="14"/>
        <v>98394</v>
      </c>
      <c r="K262" s="11" t="s">
        <v>57</v>
      </c>
      <c r="L262" s="2" t="s">
        <v>18</v>
      </c>
      <c r="M262" s="2" t="str">
        <f t="shared" si="15"/>
        <v>Active</v>
      </c>
      <c r="N262" s="2" t="s">
        <v>65</v>
      </c>
      <c r="O262" s="2" t="str">
        <f t="shared" si="16"/>
        <v>Follow Up</v>
      </c>
      <c r="P262" s="2" t="s">
        <v>936</v>
      </c>
      <c r="Q262" s="2" t="str">
        <f t="shared" si="17"/>
        <v>WT</v>
      </c>
      <c r="R262" s="2" t="e">
        <f t="array" aca="1" ref="R262" ca="1">_xludf.IFS(Q262="ET", "East", Q262="WT", "West", Q262="ST","South", Q262="NR", "North")</f>
        <v>#NAME?</v>
      </c>
      <c r="S262" s="2" t="s">
        <v>96</v>
      </c>
      <c r="T262" s="2" t="str">
        <f t="shared" si="18"/>
        <v>Cairo</v>
      </c>
      <c r="U262" s="12" t="s">
        <v>30</v>
      </c>
      <c r="V262" s="12">
        <f t="shared" si="19"/>
        <v>0.1</v>
      </c>
      <c r="W262" s="13">
        <f t="shared" si="20"/>
        <v>108233.40000000001</v>
      </c>
      <c r="X262" s="2" t="str">
        <f t="shared" si="21"/>
        <v>High</v>
      </c>
    </row>
    <row r="263" spans="1:24" ht="14.25" customHeight="1" x14ac:dyDescent="0.5">
      <c r="A263" s="2" t="s">
        <v>937</v>
      </c>
      <c r="B263" s="2" t="s">
        <v>297</v>
      </c>
      <c r="C263" s="2" t="str">
        <f t="shared" si="11"/>
        <v>Alex Davis</v>
      </c>
      <c r="D263" s="2" t="s">
        <v>93</v>
      </c>
      <c r="E263" s="2" t="str">
        <f t="shared" si="12"/>
        <v>k@ie@company.com</v>
      </c>
      <c r="F263" s="2" t="s">
        <v>34</v>
      </c>
      <c r="G263" s="3">
        <v>45208</v>
      </c>
      <c r="H263" s="3" t="str">
        <f t="shared" si="13"/>
        <v>09-Oct-2023</v>
      </c>
      <c r="I263" s="10" t="s">
        <v>938</v>
      </c>
      <c r="J263" s="10">
        <f t="shared" si="14"/>
        <v>63782</v>
      </c>
      <c r="K263" s="11" t="s">
        <v>17</v>
      </c>
      <c r="L263" s="2" t="s">
        <v>27</v>
      </c>
      <c r="M263" s="2" t="str">
        <f t="shared" si="15"/>
        <v>On Leave</v>
      </c>
      <c r="N263" s="2" t="s">
        <v>28</v>
      </c>
      <c r="O263" s="2" t="str">
        <f t="shared" si="16"/>
        <v>Pending Docs</v>
      </c>
      <c r="P263" s="2" t="s">
        <v>939</v>
      </c>
      <c r="Q263" s="2" t="str">
        <f t="shared" si="17"/>
        <v>WT</v>
      </c>
      <c r="R263" s="2" t="e">
        <f t="array" aca="1" ref="R263" ca="1">_xludf.IFS(Q263="ET", "East", Q263="WT", "West", Q263="ST","South", Q263="NR", "North")</f>
        <v>#NAME?</v>
      </c>
      <c r="S263" s="2" t="s">
        <v>60</v>
      </c>
      <c r="T263" s="2" t="str">
        <f t="shared" si="18"/>
        <v>Toronto</v>
      </c>
      <c r="U263" s="12" t="s">
        <v>30</v>
      </c>
      <c r="V263" s="12">
        <f t="shared" si="19"/>
        <v>0.1</v>
      </c>
      <c r="W263" s="13">
        <f t="shared" si="20"/>
        <v>70160.200000000012</v>
      </c>
      <c r="X263" s="2" t="str">
        <f t="shared" si="21"/>
        <v>Normal</v>
      </c>
    </row>
    <row r="264" spans="1:24" ht="14.25" customHeight="1" x14ac:dyDescent="0.5">
      <c r="A264" s="2" t="s">
        <v>940</v>
      </c>
      <c r="B264" s="2" t="s">
        <v>191</v>
      </c>
      <c r="C264" s="2" t="str">
        <f t="shared" si="11"/>
        <v>Sarah Clark</v>
      </c>
      <c r="D264" s="2" t="s">
        <v>25</v>
      </c>
      <c r="E264" s="2" t="str">
        <f t="shared" si="12"/>
        <v>chris@company.com</v>
      </c>
      <c r="F264" s="2" t="s">
        <v>75</v>
      </c>
      <c r="G264" s="3">
        <v>44718</v>
      </c>
      <c r="H264" s="3" t="str">
        <f t="shared" si="13"/>
        <v>06-Jun-2022</v>
      </c>
      <c r="I264" s="10" t="s">
        <v>941</v>
      </c>
      <c r="J264" s="10">
        <f t="shared" si="14"/>
        <v>68454</v>
      </c>
      <c r="K264" s="11" t="s">
        <v>83</v>
      </c>
      <c r="L264" s="2" t="s">
        <v>58</v>
      </c>
      <c r="M264" s="2" t="str">
        <f t="shared" si="15"/>
        <v>Terminated</v>
      </c>
      <c r="N264" s="2" t="s">
        <v>77</v>
      </c>
      <c r="O264" s="2" t="str">
        <f t="shared" si="16"/>
        <v>All Clear</v>
      </c>
      <c r="P264" s="2" t="s">
        <v>942</v>
      </c>
      <c r="Q264" s="2" t="str">
        <f t="shared" si="17"/>
        <v>ET</v>
      </c>
      <c r="R264" s="2" t="e">
        <f t="array" aca="1" ref="R264" ca="1">_xludf.IFS(Q264="ET", "East", Q264="WT", "West", Q264="ST","South", Q264="NR", "North")</f>
        <v>#NAME?</v>
      </c>
      <c r="S264" s="2" t="s">
        <v>47</v>
      </c>
      <c r="T264" s="2" t="str">
        <f t="shared" si="18"/>
        <v>Lagos</v>
      </c>
      <c r="U264" s="12" t="s">
        <v>39</v>
      </c>
      <c r="V264" s="12">
        <f t="shared" si="19"/>
        <v>0.05</v>
      </c>
      <c r="W264" s="13">
        <f t="shared" si="20"/>
        <v>71876.7</v>
      </c>
      <c r="X264" s="2" t="str">
        <f t="shared" si="21"/>
        <v>Normal</v>
      </c>
    </row>
    <row r="265" spans="1:24" ht="14.25" customHeight="1" x14ac:dyDescent="0.5">
      <c r="A265" s="2" t="s">
        <v>943</v>
      </c>
      <c r="B265" s="2" t="s">
        <v>124</v>
      </c>
      <c r="C265" s="2" t="str">
        <f t="shared" si="11"/>
        <v>Sarah Davis</v>
      </c>
      <c r="D265" s="2" t="s">
        <v>74</v>
      </c>
      <c r="E265" s="2" t="str">
        <f t="shared" si="12"/>
        <v>mike@company.com</v>
      </c>
      <c r="F265" s="2" t="s">
        <v>15</v>
      </c>
      <c r="G265" s="3">
        <v>44388</v>
      </c>
      <c r="H265" s="3" t="str">
        <f t="shared" si="13"/>
        <v>11-Jul-2021</v>
      </c>
      <c r="I265" s="10" t="s">
        <v>944</v>
      </c>
      <c r="J265" s="10">
        <f t="shared" si="14"/>
        <v>107904</v>
      </c>
      <c r="K265" s="11" t="s">
        <v>44</v>
      </c>
      <c r="L265" s="2" t="s">
        <v>18</v>
      </c>
      <c r="M265" s="2" t="str">
        <f t="shared" si="15"/>
        <v>Active</v>
      </c>
      <c r="N265" s="2" t="s">
        <v>77</v>
      </c>
      <c r="O265" s="2" t="str">
        <f t="shared" si="16"/>
        <v>All Clear</v>
      </c>
      <c r="P265" s="2" t="s">
        <v>945</v>
      </c>
      <c r="Q265" s="2" t="str">
        <f t="shared" si="17"/>
        <v>WT</v>
      </c>
      <c r="R265" s="2" t="e">
        <f t="array" aca="1" ref="R265" ca="1">_xludf.IFS(Q265="ET", "East", Q265="WT", "West", Q265="ST","South", Q265="NR", "North")</f>
        <v>#NAME?</v>
      </c>
      <c r="S265" s="2" t="s">
        <v>159</v>
      </c>
      <c r="T265" s="2" t="str">
        <f t="shared" si="18"/>
        <v>Berlin</v>
      </c>
      <c r="U265" s="12" t="s">
        <v>30</v>
      </c>
      <c r="V265" s="12">
        <f t="shared" si="19"/>
        <v>0.1</v>
      </c>
      <c r="W265" s="13">
        <f t="shared" si="20"/>
        <v>118694.40000000001</v>
      </c>
      <c r="X265" s="2" t="str">
        <f t="shared" si="21"/>
        <v>High</v>
      </c>
    </row>
    <row r="266" spans="1:24" ht="14.25" customHeight="1" x14ac:dyDescent="0.5">
      <c r="A266" s="2" t="s">
        <v>946</v>
      </c>
      <c r="B266" s="2" t="s">
        <v>286</v>
      </c>
      <c r="C266" s="2" t="str">
        <f t="shared" si="11"/>
        <v>Mike Lewis</v>
      </c>
      <c r="D266" s="2" t="s">
        <v>93</v>
      </c>
      <c r="E266" s="2" t="str">
        <f t="shared" si="12"/>
        <v>k@ie@company.com</v>
      </c>
      <c r="F266" s="2" t="s">
        <v>15</v>
      </c>
      <c r="G266" s="3">
        <v>44380</v>
      </c>
      <c r="H266" s="3" t="str">
        <f t="shared" si="13"/>
        <v>03-Jul-2021</v>
      </c>
      <c r="I266" s="10" t="s">
        <v>947</v>
      </c>
      <c r="J266" s="10">
        <f t="shared" si="14"/>
        <v>55592</v>
      </c>
      <c r="K266" s="11" t="s">
        <v>44</v>
      </c>
      <c r="L266" s="2" t="s">
        <v>89</v>
      </c>
      <c r="M266" s="2" t="str">
        <f t="shared" si="15"/>
        <v>Active</v>
      </c>
      <c r="N266" s="2" t="s">
        <v>19</v>
      </c>
      <c r="O266" s="2" t="str">
        <f t="shared" si="16"/>
        <v>Urgent Review</v>
      </c>
      <c r="P266" s="2" t="s">
        <v>948</v>
      </c>
      <c r="Q266" s="2" t="str">
        <f t="shared" si="17"/>
        <v>WT</v>
      </c>
      <c r="R266" s="2" t="e">
        <f t="array" aca="1" ref="R266" ca="1">_xludf.IFS(Q266="ET", "East", Q266="WT", "West", Q266="ST","South", Q266="NR", "North")</f>
        <v>#NAME?</v>
      </c>
      <c r="S266" s="2" t="s">
        <v>47</v>
      </c>
      <c r="T266" s="2" t="str">
        <f t="shared" si="18"/>
        <v>Lagos</v>
      </c>
      <c r="U266" s="12" t="s">
        <v>85</v>
      </c>
      <c r="V266" s="12">
        <f t="shared" si="19"/>
        <v>0.15</v>
      </c>
      <c r="W266" s="13">
        <f t="shared" si="20"/>
        <v>63930.799999999996</v>
      </c>
      <c r="X266" s="2" t="str">
        <f t="shared" si="21"/>
        <v>Normal</v>
      </c>
    </row>
    <row r="267" spans="1:24" ht="14.25" customHeight="1" x14ac:dyDescent="0.5">
      <c r="A267" s="2" t="s">
        <v>949</v>
      </c>
      <c r="B267" s="2" t="s">
        <v>32</v>
      </c>
      <c r="C267" s="2" t="str">
        <f t="shared" si="11"/>
        <v>Sarah Lewis</v>
      </c>
      <c r="D267" s="2" t="s">
        <v>125</v>
      </c>
      <c r="E267" s="2" t="str">
        <f t="shared" si="12"/>
        <v>sarah@company.com</v>
      </c>
      <c r="F267" s="2" t="s">
        <v>42</v>
      </c>
      <c r="G267" s="3">
        <v>43972</v>
      </c>
      <c r="H267" s="3" t="str">
        <f t="shared" si="13"/>
        <v>21-May-2020</v>
      </c>
      <c r="I267" s="10" t="s">
        <v>950</v>
      </c>
      <c r="J267" s="10">
        <f t="shared" si="14"/>
        <v>62173</v>
      </c>
      <c r="K267" s="11" t="s">
        <v>57</v>
      </c>
      <c r="L267" s="2" t="s">
        <v>45</v>
      </c>
      <c r="M267" s="2" t="str">
        <f t="shared" si="15"/>
        <v>Active</v>
      </c>
      <c r="N267" s="2" t="s">
        <v>19</v>
      </c>
      <c r="O267" s="2" t="str">
        <f t="shared" si="16"/>
        <v>Urgent Review</v>
      </c>
      <c r="P267" s="2" t="s">
        <v>951</v>
      </c>
      <c r="Q267" s="2" t="str">
        <f t="shared" si="17"/>
        <v>ST</v>
      </c>
      <c r="R267" s="2" t="e">
        <f t="array" aca="1" ref="R267" ca="1">_xludf.IFS(Q267="ET", "East", Q267="WT", "West", Q267="ST","South", Q267="NR", "North")</f>
        <v>#NAME?</v>
      </c>
      <c r="S267" s="2" t="s">
        <v>159</v>
      </c>
      <c r="T267" s="2" t="str">
        <f t="shared" si="18"/>
        <v>Berlin</v>
      </c>
      <c r="U267" s="12" t="s">
        <v>22</v>
      </c>
      <c r="V267" s="12">
        <f t="shared" si="19"/>
        <v>0.2</v>
      </c>
      <c r="W267" s="13">
        <f t="shared" si="20"/>
        <v>74607.599999999991</v>
      </c>
      <c r="X267" s="2" t="str">
        <f t="shared" si="21"/>
        <v>Normal</v>
      </c>
    </row>
    <row r="268" spans="1:24" ht="14.25" customHeight="1" x14ac:dyDescent="0.5">
      <c r="A268" s="2" t="s">
        <v>952</v>
      </c>
      <c r="B268" s="2" t="s">
        <v>119</v>
      </c>
      <c r="C268" s="2" t="str">
        <f t="shared" si="11"/>
        <v>Emily Brown</v>
      </c>
      <c r="D268" s="2" t="s">
        <v>105</v>
      </c>
      <c r="E268" s="2" t="str">
        <f t="shared" si="12"/>
        <v>sam@company.com</v>
      </c>
      <c r="F268" s="2" t="s">
        <v>34</v>
      </c>
      <c r="G268" s="3">
        <v>44442</v>
      </c>
      <c r="H268" s="3" t="str">
        <f t="shared" si="13"/>
        <v>03-Sep-2021</v>
      </c>
      <c r="I268" s="10" t="s">
        <v>953</v>
      </c>
      <c r="J268" s="10">
        <f t="shared" si="14"/>
        <v>73204</v>
      </c>
      <c r="K268" s="11" t="s">
        <v>44</v>
      </c>
      <c r="L268" s="2" t="s">
        <v>18</v>
      </c>
      <c r="M268" s="2" t="str">
        <f t="shared" si="15"/>
        <v>Active</v>
      </c>
      <c r="N268" s="2" t="s">
        <v>65</v>
      </c>
      <c r="O268" s="2" t="str">
        <f t="shared" si="16"/>
        <v>Follow Up</v>
      </c>
      <c r="P268" s="2" t="s">
        <v>954</v>
      </c>
      <c r="Q268" s="2" t="str">
        <f t="shared" si="17"/>
        <v>ST</v>
      </c>
      <c r="R268" s="2" t="e">
        <f t="array" aca="1" ref="R268" ca="1">_xludf.IFS(Q268="ET", "East", Q268="WT", "West", Q268="ST","South", Q268="NR", "North")</f>
        <v>#NAME?</v>
      </c>
      <c r="S268" s="2" t="s">
        <v>53</v>
      </c>
      <c r="T268" s="2" t="str">
        <f t="shared" si="18"/>
        <v>Delhi</v>
      </c>
      <c r="U268" s="12" t="s">
        <v>39</v>
      </c>
      <c r="V268" s="12">
        <f t="shared" si="19"/>
        <v>0.05</v>
      </c>
      <c r="W268" s="13">
        <f t="shared" si="20"/>
        <v>76864.2</v>
      </c>
      <c r="X268" s="2" t="str">
        <f t="shared" si="21"/>
        <v>Normal</v>
      </c>
    </row>
    <row r="269" spans="1:24" ht="14.25" customHeight="1" x14ac:dyDescent="0.5">
      <c r="A269" s="2" t="s">
        <v>955</v>
      </c>
      <c r="B269" s="2" t="s">
        <v>371</v>
      </c>
      <c r="C269" s="2" t="str">
        <f t="shared" si="11"/>
        <v>Sarah Johnson</v>
      </c>
      <c r="D269" s="2" t="s">
        <v>105</v>
      </c>
      <c r="E269" s="2" t="str">
        <f t="shared" si="12"/>
        <v>sam@company.com</v>
      </c>
      <c r="F269" s="2" t="s">
        <v>69</v>
      </c>
      <c r="G269" s="3">
        <v>44331</v>
      </c>
      <c r="H269" s="3" t="str">
        <f t="shared" si="13"/>
        <v>15-May-2021</v>
      </c>
      <c r="I269" s="10" t="s">
        <v>956</v>
      </c>
      <c r="J269" s="10">
        <f t="shared" si="14"/>
        <v>75596</v>
      </c>
      <c r="K269" s="11" t="s">
        <v>17</v>
      </c>
      <c r="L269" s="2" t="s">
        <v>58</v>
      </c>
      <c r="M269" s="2" t="str">
        <f t="shared" si="15"/>
        <v>Terminated</v>
      </c>
      <c r="N269" s="2" t="s">
        <v>65</v>
      </c>
      <c r="O269" s="2" t="str">
        <f t="shared" si="16"/>
        <v>Follow Up</v>
      </c>
      <c r="P269" s="2" t="s">
        <v>957</v>
      </c>
      <c r="Q269" s="2" t="str">
        <f t="shared" si="17"/>
        <v>ET</v>
      </c>
      <c r="R269" s="2" t="e">
        <f t="array" aca="1" ref="R269" ca="1">_xludf.IFS(Q269="ET", "East", Q269="WT", "West", Q269="ST","South", Q269="NR", "North")</f>
        <v>#NAME?</v>
      </c>
      <c r="S269" s="2" t="s">
        <v>21</v>
      </c>
      <c r="T269" s="2" t="str">
        <f t="shared" si="18"/>
        <v>Sao Paulo</v>
      </c>
      <c r="U269" s="12" t="s">
        <v>22</v>
      </c>
      <c r="V269" s="12">
        <f t="shared" si="19"/>
        <v>0.2</v>
      </c>
      <c r="W269" s="13">
        <f t="shared" si="20"/>
        <v>90715.199999999997</v>
      </c>
      <c r="X269" s="2" t="str">
        <f t="shared" si="21"/>
        <v>Normal</v>
      </c>
    </row>
    <row r="270" spans="1:24" ht="14.25" customHeight="1" x14ac:dyDescent="0.5">
      <c r="A270" s="2" t="s">
        <v>958</v>
      </c>
      <c r="B270" s="2" t="s">
        <v>608</v>
      </c>
      <c r="C270" s="2" t="str">
        <f t="shared" si="11"/>
        <v>Katie Lewis</v>
      </c>
      <c r="D270" s="2" t="s">
        <v>235</v>
      </c>
      <c r="E270" s="2" t="str">
        <f t="shared" si="12"/>
        <v>jane@company.com</v>
      </c>
      <c r="F270" s="2" t="s">
        <v>42</v>
      </c>
      <c r="G270" s="3">
        <v>44670</v>
      </c>
      <c r="H270" s="3" t="str">
        <f t="shared" si="13"/>
        <v>19-Apr-2022</v>
      </c>
      <c r="I270" s="10" t="s">
        <v>959</v>
      </c>
      <c r="J270" s="10">
        <f t="shared" si="14"/>
        <v>74324</v>
      </c>
      <c r="K270" s="11" t="s">
        <v>83</v>
      </c>
      <c r="L270" s="2" t="s">
        <v>121</v>
      </c>
      <c r="M270" s="2" t="str">
        <f t="shared" si="15"/>
        <v>On Leave</v>
      </c>
      <c r="O270" s="2" t="str">
        <f t="shared" si="16"/>
        <v>No Notes</v>
      </c>
      <c r="P270" s="2" t="s">
        <v>960</v>
      </c>
      <c r="Q270" s="2" t="str">
        <f t="shared" si="17"/>
        <v>NR</v>
      </c>
      <c r="R270" s="2" t="e">
        <f t="array" aca="1" ref="R270" ca="1">_xludf.IFS(Q270="ET", "East", Q270="WT", "West", Q270="ST","South", Q270="NR", "North")</f>
        <v>#NAME?</v>
      </c>
      <c r="S270" s="2" t="s">
        <v>47</v>
      </c>
      <c r="T270" s="2" t="str">
        <f t="shared" si="18"/>
        <v>Lagos</v>
      </c>
      <c r="U270" s="12" t="s">
        <v>85</v>
      </c>
      <c r="V270" s="12">
        <f t="shared" si="19"/>
        <v>0.15</v>
      </c>
      <c r="W270" s="13">
        <f t="shared" si="20"/>
        <v>85472.599999999991</v>
      </c>
      <c r="X270" s="2" t="str">
        <f t="shared" si="21"/>
        <v>Normal</v>
      </c>
    </row>
    <row r="271" spans="1:24" ht="14.25" customHeight="1" x14ac:dyDescent="0.5">
      <c r="A271" s="2" t="s">
        <v>961</v>
      </c>
      <c r="B271" s="2" t="s">
        <v>740</v>
      </c>
      <c r="C271" s="2" t="str">
        <f t="shared" si="11"/>
        <v>Mike Smith</v>
      </c>
      <c r="D271" s="2" t="s">
        <v>49</v>
      </c>
      <c r="E271" s="2" t="str">
        <f t="shared" si="12"/>
        <v>emily@company.com</v>
      </c>
      <c r="F271" s="2" t="s">
        <v>69</v>
      </c>
      <c r="G271" s="3">
        <v>44532</v>
      </c>
      <c r="H271" s="3" t="str">
        <f t="shared" si="13"/>
        <v>02-Dec-2021</v>
      </c>
      <c r="I271" s="10" t="s">
        <v>962</v>
      </c>
      <c r="J271" s="10">
        <f t="shared" si="14"/>
        <v>101202</v>
      </c>
      <c r="K271" s="11" t="s">
        <v>17</v>
      </c>
      <c r="L271" s="2" t="s">
        <v>58</v>
      </c>
      <c r="M271" s="2" t="str">
        <f t="shared" si="15"/>
        <v>Terminated</v>
      </c>
      <c r="N271" s="2" t="s">
        <v>107</v>
      </c>
      <c r="O271" s="2" t="str">
        <f t="shared" si="16"/>
        <v>All Clear</v>
      </c>
      <c r="P271" s="2" t="s">
        <v>963</v>
      </c>
      <c r="Q271" s="2" t="str">
        <f t="shared" si="17"/>
        <v>ST</v>
      </c>
      <c r="R271" s="2" t="e">
        <f t="array" aca="1" ref="R271" ca="1">_xludf.IFS(Q271="ET", "East", Q271="WT", "West", Q271="ST","South", Q271="NR", "North")</f>
        <v>#NAME?</v>
      </c>
      <c r="S271" s="2" t="s">
        <v>159</v>
      </c>
      <c r="T271" s="2" t="str">
        <f t="shared" si="18"/>
        <v>Berlin</v>
      </c>
      <c r="U271" s="12" t="s">
        <v>39</v>
      </c>
      <c r="V271" s="12">
        <f t="shared" si="19"/>
        <v>0.05</v>
      </c>
      <c r="W271" s="13">
        <f t="shared" si="20"/>
        <v>106262.1</v>
      </c>
      <c r="X271" s="2" t="str">
        <f t="shared" si="21"/>
        <v>High</v>
      </c>
    </row>
    <row r="272" spans="1:24" ht="14.25" customHeight="1" x14ac:dyDescent="0.5">
      <c r="A272" s="2" t="s">
        <v>964</v>
      </c>
      <c r="B272" s="2" t="s">
        <v>405</v>
      </c>
      <c r="C272" s="2" t="str">
        <f t="shared" si="11"/>
        <v>Daniel Wilson</v>
      </c>
      <c r="D272" s="2" t="s">
        <v>105</v>
      </c>
      <c r="E272" s="2" t="str">
        <f t="shared" si="12"/>
        <v>sam@company.com</v>
      </c>
      <c r="F272" s="2" t="s">
        <v>69</v>
      </c>
      <c r="G272" s="3">
        <v>44426</v>
      </c>
      <c r="H272" s="3" t="str">
        <f t="shared" si="13"/>
        <v>18-Aug-2021</v>
      </c>
      <c r="I272" s="10" t="s">
        <v>965</v>
      </c>
      <c r="J272" s="10">
        <f t="shared" si="14"/>
        <v>70750</v>
      </c>
      <c r="K272" s="11" t="s">
        <v>36</v>
      </c>
      <c r="L272" s="2" t="s">
        <v>121</v>
      </c>
      <c r="M272" s="2" t="str">
        <f t="shared" si="15"/>
        <v>On Leave</v>
      </c>
      <c r="N272" s="2" t="s">
        <v>19</v>
      </c>
      <c r="O272" s="2" t="str">
        <f t="shared" si="16"/>
        <v>Urgent Review</v>
      </c>
      <c r="P272" s="2" t="s">
        <v>966</v>
      </c>
      <c r="Q272" s="2" t="str">
        <f t="shared" si="17"/>
        <v>NR</v>
      </c>
      <c r="R272" s="2" t="e">
        <f t="array" aca="1" ref="R272" ca="1">_xludf.IFS(Q272="ET", "East", Q272="WT", "West", Q272="ST","South", Q272="NR", "North")</f>
        <v>#NAME?</v>
      </c>
      <c r="S272" s="2" t="s">
        <v>47</v>
      </c>
      <c r="T272" s="2" t="str">
        <f t="shared" si="18"/>
        <v>Lagos</v>
      </c>
      <c r="U272" s="12" t="s">
        <v>22</v>
      </c>
      <c r="V272" s="12">
        <f t="shared" si="19"/>
        <v>0.2</v>
      </c>
      <c r="W272" s="13">
        <f t="shared" si="20"/>
        <v>84900</v>
      </c>
      <c r="X272" s="2" t="str">
        <f t="shared" si="21"/>
        <v>Normal</v>
      </c>
    </row>
    <row r="273" spans="1:24" ht="14.25" customHeight="1" x14ac:dyDescent="0.5">
      <c r="A273" s="2" t="s">
        <v>967</v>
      </c>
      <c r="B273" s="2" t="s">
        <v>202</v>
      </c>
      <c r="C273" s="2" t="str">
        <f t="shared" si="11"/>
        <v>Chris Lewis</v>
      </c>
      <c r="D273" s="2" t="s">
        <v>99</v>
      </c>
      <c r="E273" s="2" t="str">
        <f t="shared" si="12"/>
        <v>daniel@company.com</v>
      </c>
      <c r="F273" s="2" t="s">
        <v>100</v>
      </c>
      <c r="G273" s="3">
        <v>44111</v>
      </c>
      <c r="H273" s="3" t="str">
        <f t="shared" si="13"/>
        <v>07-Oct-2020</v>
      </c>
      <c r="I273" s="10" t="s">
        <v>968</v>
      </c>
      <c r="J273" s="10">
        <f t="shared" si="14"/>
        <v>116112</v>
      </c>
      <c r="K273" s="11" t="s">
        <v>57</v>
      </c>
      <c r="L273" s="2" t="s">
        <v>89</v>
      </c>
      <c r="M273" s="2" t="str">
        <f t="shared" si="15"/>
        <v>Active</v>
      </c>
      <c r="N273" s="2" t="s">
        <v>65</v>
      </c>
      <c r="O273" s="2" t="str">
        <f t="shared" si="16"/>
        <v>Follow Up</v>
      </c>
      <c r="P273" s="2" t="s">
        <v>969</v>
      </c>
      <c r="Q273" s="2" t="str">
        <f t="shared" si="17"/>
        <v>WT</v>
      </c>
      <c r="R273" s="2" t="e">
        <f t="array" aca="1" ref="R273" ca="1">_xludf.IFS(Q273="ET", "East", Q273="WT", "West", Q273="ST","South", Q273="NR", "North")</f>
        <v>#NAME?</v>
      </c>
      <c r="S273" s="2" t="s">
        <v>21</v>
      </c>
      <c r="T273" s="2" t="str">
        <f t="shared" si="18"/>
        <v>Sao Paulo</v>
      </c>
      <c r="U273" s="12" t="s">
        <v>22</v>
      </c>
      <c r="V273" s="12">
        <f t="shared" si="19"/>
        <v>0.2</v>
      </c>
      <c r="W273" s="13">
        <f t="shared" si="20"/>
        <v>139334.39999999999</v>
      </c>
      <c r="X273" s="2" t="str">
        <f t="shared" si="21"/>
        <v>High</v>
      </c>
    </row>
    <row r="274" spans="1:24" ht="14.25" customHeight="1" x14ac:dyDescent="0.5">
      <c r="A274" s="2" t="s">
        <v>970</v>
      </c>
      <c r="B274" s="2" t="s">
        <v>137</v>
      </c>
      <c r="C274" s="2" t="str">
        <f t="shared" si="11"/>
        <v>Katie Johnson</v>
      </c>
      <c r="D274" s="2" t="s">
        <v>235</v>
      </c>
      <c r="E274" s="2" t="str">
        <f t="shared" si="12"/>
        <v>jane@company.com</v>
      </c>
      <c r="F274" s="2" t="s">
        <v>15</v>
      </c>
      <c r="G274" s="3">
        <v>44254</v>
      </c>
      <c r="H274" s="3" t="str">
        <f t="shared" si="13"/>
        <v>27-Feb-2021</v>
      </c>
      <c r="I274" s="10" t="s">
        <v>971</v>
      </c>
      <c r="J274" s="10">
        <f t="shared" si="14"/>
        <v>56566</v>
      </c>
      <c r="K274" s="11" t="s">
        <v>44</v>
      </c>
      <c r="L274" s="2" t="s">
        <v>45</v>
      </c>
      <c r="M274" s="2" t="str">
        <f t="shared" si="15"/>
        <v>Active</v>
      </c>
      <c r="N274" s="2" t="s">
        <v>19</v>
      </c>
      <c r="O274" s="2" t="str">
        <f t="shared" si="16"/>
        <v>Urgent Review</v>
      </c>
      <c r="P274" s="2" t="s">
        <v>972</v>
      </c>
      <c r="Q274" s="2" t="str">
        <f t="shared" si="17"/>
        <v>ST</v>
      </c>
      <c r="R274" s="2" t="e">
        <f t="array" aca="1" ref="R274" ca="1">_xludf.IFS(Q274="ET", "East", Q274="WT", "West", Q274="ST","South", Q274="NR", "North")</f>
        <v>#NAME?</v>
      </c>
      <c r="S274" s="2" t="s">
        <v>53</v>
      </c>
      <c r="T274" s="2" t="str">
        <f t="shared" si="18"/>
        <v>Delhi</v>
      </c>
      <c r="U274" s="12" t="s">
        <v>85</v>
      </c>
      <c r="V274" s="12">
        <f t="shared" si="19"/>
        <v>0.15</v>
      </c>
      <c r="W274" s="13">
        <f t="shared" si="20"/>
        <v>65050.899999999994</v>
      </c>
      <c r="X274" s="2" t="str">
        <f t="shared" si="21"/>
        <v>Normal</v>
      </c>
    </row>
    <row r="275" spans="1:24" ht="14.25" customHeight="1" x14ac:dyDescent="0.5">
      <c r="A275" s="2" t="s">
        <v>973</v>
      </c>
      <c r="B275" s="2" t="s">
        <v>852</v>
      </c>
      <c r="C275" s="2" t="str">
        <f t="shared" si="11"/>
        <v>Mike Johnson</v>
      </c>
      <c r="D275" s="2" t="s">
        <v>105</v>
      </c>
      <c r="E275" s="2" t="str">
        <f t="shared" si="12"/>
        <v>sam@company.com</v>
      </c>
      <c r="F275" s="2" t="s">
        <v>50</v>
      </c>
      <c r="G275" s="3">
        <v>44686</v>
      </c>
      <c r="H275" s="3" t="str">
        <f t="shared" si="13"/>
        <v>05-May-2022</v>
      </c>
      <c r="I275" s="10" t="s">
        <v>974</v>
      </c>
      <c r="J275" s="10">
        <f t="shared" si="14"/>
        <v>47190</v>
      </c>
      <c r="K275" s="11" t="s">
        <v>36</v>
      </c>
      <c r="L275" s="2" t="s">
        <v>121</v>
      </c>
      <c r="M275" s="2" t="str">
        <f t="shared" si="15"/>
        <v>On Leave</v>
      </c>
      <c r="N275" s="2" t="s">
        <v>65</v>
      </c>
      <c r="O275" s="2" t="str">
        <f t="shared" si="16"/>
        <v>Follow Up</v>
      </c>
      <c r="P275" s="2" t="s">
        <v>975</v>
      </c>
      <c r="Q275" s="2" t="str">
        <f t="shared" si="17"/>
        <v>ET</v>
      </c>
      <c r="R275" s="2" t="e">
        <f t="array" aca="1" ref="R275" ca="1">_xludf.IFS(Q275="ET", "East", Q275="WT", "West", Q275="ST","South", Q275="NR", "North")</f>
        <v>#NAME?</v>
      </c>
      <c r="S275" s="2" t="s">
        <v>47</v>
      </c>
      <c r="T275" s="2" t="str">
        <f t="shared" si="18"/>
        <v>Lagos</v>
      </c>
      <c r="U275" s="12" t="s">
        <v>22</v>
      </c>
      <c r="V275" s="12">
        <f t="shared" si="19"/>
        <v>0.2</v>
      </c>
      <c r="W275" s="13">
        <f t="shared" si="20"/>
        <v>56628</v>
      </c>
      <c r="X275" s="2" t="str">
        <f t="shared" si="21"/>
        <v>Normal</v>
      </c>
    </row>
    <row r="276" spans="1:24" ht="14.25" customHeight="1" x14ac:dyDescent="0.5">
      <c r="A276" s="2" t="s">
        <v>976</v>
      </c>
      <c r="B276" s="2" t="s">
        <v>482</v>
      </c>
      <c r="C276" s="2" t="str">
        <f t="shared" si="11"/>
        <v>Emily Davis</v>
      </c>
      <c r="D276" s="2" t="s">
        <v>49</v>
      </c>
      <c r="E276" s="2" t="str">
        <f t="shared" si="12"/>
        <v>emily@company.com</v>
      </c>
      <c r="F276" s="2" t="s">
        <v>34</v>
      </c>
      <c r="G276" s="3">
        <v>44100</v>
      </c>
      <c r="H276" s="3" t="str">
        <f t="shared" si="13"/>
        <v>26-Sep-2020</v>
      </c>
      <c r="I276" s="10" t="s">
        <v>977</v>
      </c>
      <c r="J276" s="10">
        <f t="shared" si="14"/>
        <v>78333</v>
      </c>
      <c r="K276" s="11" t="s">
        <v>44</v>
      </c>
      <c r="L276" s="2" t="s">
        <v>121</v>
      </c>
      <c r="M276" s="2" t="str">
        <f t="shared" si="15"/>
        <v>On Leave</v>
      </c>
      <c r="N276" s="2" t="s">
        <v>28</v>
      </c>
      <c r="O276" s="2" t="str">
        <f t="shared" si="16"/>
        <v>Pending Docs</v>
      </c>
      <c r="P276" s="2" t="s">
        <v>978</v>
      </c>
      <c r="Q276" s="2" t="str">
        <f t="shared" si="17"/>
        <v>ET</v>
      </c>
      <c r="R276" s="2" t="e">
        <f t="array" aca="1" ref="R276" ca="1">_xludf.IFS(Q276="ET", "East", Q276="WT", "West", Q276="ST","South", Q276="NR", "North")</f>
        <v>#NAME?</v>
      </c>
      <c r="S276" s="2" t="s">
        <v>38</v>
      </c>
      <c r="T276" s="2" t="str">
        <f t="shared" si="18"/>
        <v>London</v>
      </c>
      <c r="U276" s="12" t="s">
        <v>85</v>
      </c>
      <c r="V276" s="12">
        <f t="shared" si="19"/>
        <v>0.15</v>
      </c>
      <c r="W276" s="13">
        <f t="shared" si="20"/>
        <v>90082.95</v>
      </c>
      <c r="X276" s="2" t="str">
        <f t="shared" si="21"/>
        <v>Normal</v>
      </c>
    </row>
    <row r="277" spans="1:24" ht="14.25" customHeight="1" x14ac:dyDescent="0.5">
      <c r="A277" s="2" t="s">
        <v>979</v>
      </c>
      <c r="B277" s="2" t="s">
        <v>264</v>
      </c>
      <c r="C277" s="2" t="str">
        <f t="shared" si="11"/>
        <v>Daniel Brown</v>
      </c>
      <c r="D277" s="2" t="s">
        <v>14</v>
      </c>
      <c r="E277" s="2" t="str">
        <f t="shared" si="12"/>
        <v>john@company.com</v>
      </c>
      <c r="F277" s="2" t="s">
        <v>69</v>
      </c>
      <c r="G277" s="3">
        <v>43984</v>
      </c>
      <c r="H277" s="3" t="str">
        <f t="shared" si="13"/>
        <v>02-Jun-2020</v>
      </c>
      <c r="I277" s="10" t="s">
        <v>980</v>
      </c>
      <c r="J277" s="10">
        <f t="shared" si="14"/>
        <v>41589</v>
      </c>
      <c r="K277" s="11" t="s">
        <v>83</v>
      </c>
      <c r="L277" s="2" t="s">
        <v>18</v>
      </c>
      <c r="M277" s="2" t="str">
        <f t="shared" si="15"/>
        <v>Active</v>
      </c>
      <c r="N277" s="2" t="s">
        <v>19</v>
      </c>
      <c r="O277" s="2" t="str">
        <f t="shared" si="16"/>
        <v>Urgent Review</v>
      </c>
      <c r="P277" s="2" t="s">
        <v>981</v>
      </c>
      <c r="Q277" s="2" t="str">
        <f t="shared" si="17"/>
        <v>ET</v>
      </c>
      <c r="R277" s="2" t="e">
        <f t="array" aca="1" ref="R277" ca="1">_xludf.IFS(Q277="ET", "East", Q277="WT", "West", Q277="ST","South", Q277="NR", "North")</f>
        <v>#NAME?</v>
      </c>
      <c r="S277" s="2" t="s">
        <v>159</v>
      </c>
      <c r="T277" s="2" t="str">
        <f t="shared" si="18"/>
        <v>Berlin</v>
      </c>
      <c r="U277" s="12" t="s">
        <v>30</v>
      </c>
      <c r="V277" s="12">
        <f t="shared" si="19"/>
        <v>0.1</v>
      </c>
      <c r="W277" s="13">
        <f t="shared" si="20"/>
        <v>45747.9</v>
      </c>
      <c r="X277" s="2" t="str">
        <f t="shared" si="21"/>
        <v>Normal</v>
      </c>
    </row>
    <row r="278" spans="1:24" ht="14.25" customHeight="1" x14ac:dyDescent="0.5">
      <c r="A278" s="2" t="s">
        <v>982</v>
      </c>
      <c r="B278" s="2" t="s">
        <v>217</v>
      </c>
      <c r="C278" s="2" t="str">
        <f t="shared" si="11"/>
        <v>Chris Smith</v>
      </c>
      <c r="D278" s="2" t="s">
        <v>14</v>
      </c>
      <c r="E278" s="2" t="str">
        <f t="shared" si="12"/>
        <v>john@company.com</v>
      </c>
      <c r="F278" s="2" t="s">
        <v>100</v>
      </c>
      <c r="G278" s="3">
        <v>44444</v>
      </c>
      <c r="H278" s="3" t="str">
        <f t="shared" si="13"/>
        <v>05-Sep-2021</v>
      </c>
      <c r="I278" s="10" t="s">
        <v>983</v>
      </c>
      <c r="J278" s="10">
        <f t="shared" si="14"/>
        <v>65235</v>
      </c>
      <c r="K278" s="11" t="s">
        <v>83</v>
      </c>
      <c r="L278" s="2" t="s">
        <v>18</v>
      </c>
      <c r="M278" s="2" t="str">
        <f t="shared" si="15"/>
        <v>Active</v>
      </c>
      <c r="N278" s="2" t="s">
        <v>28</v>
      </c>
      <c r="O278" s="2" t="str">
        <f t="shared" si="16"/>
        <v>Pending Docs</v>
      </c>
      <c r="P278" s="2" t="s">
        <v>984</v>
      </c>
      <c r="Q278" s="2" t="str">
        <f t="shared" si="17"/>
        <v>ST</v>
      </c>
      <c r="R278" s="2" t="e">
        <f t="array" aca="1" ref="R278" ca="1">_xludf.IFS(Q278="ET", "East", Q278="WT", "West", Q278="ST","South", Q278="NR", "North")</f>
        <v>#NAME?</v>
      </c>
      <c r="S278" s="2" t="s">
        <v>21</v>
      </c>
      <c r="T278" s="2" t="str">
        <f t="shared" si="18"/>
        <v>Sao Paulo</v>
      </c>
      <c r="U278" s="12" t="s">
        <v>85</v>
      </c>
      <c r="V278" s="12">
        <f t="shared" si="19"/>
        <v>0.15</v>
      </c>
      <c r="W278" s="13">
        <f t="shared" si="20"/>
        <v>75020.25</v>
      </c>
      <c r="X278" s="2" t="str">
        <f t="shared" si="21"/>
        <v>Normal</v>
      </c>
    </row>
    <row r="279" spans="1:24" ht="14.25" customHeight="1" x14ac:dyDescent="0.5">
      <c r="A279" s="2" t="s">
        <v>985</v>
      </c>
      <c r="B279" s="2" t="s">
        <v>319</v>
      </c>
      <c r="C279" s="2" t="str">
        <f t="shared" si="11"/>
        <v>Daniel Taylor</v>
      </c>
      <c r="D279" s="2" t="s">
        <v>74</v>
      </c>
      <c r="E279" s="2" t="str">
        <f t="shared" si="12"/>
        <v>mike@company.com</v>
      </c>
      <c r="F279" s="2" t="s">
        <v>15</v>
      </c>
      <c r="G279" s="3">
        <v>44492</v>
      </c>
      <c r="H279" s="3" t="str">
        <f t="shared" si="13"/>
        <v>23-Oct-2021</v>
      </c>
      <c r="I279" s="10" t="s">
        <v>986</v>
      </c>
      <c r="J279" s="10">
        <f t="shared" si="14"/>
        <v>40159</v>
      </c>
      <c r="K279" s="11" t="s">
        <v>83</v>
      </c>
      <c r="L279" s="2" t="s">
        <v>45</v>
      </c>
      <c r="M279" s="2" t="str">
        <f t="shared" si="15"/>
        <v>Active</v>
      </c>
      <c r="N279" s="2" t="s">
        <v>19</v>
      </c>
      <c r="O279" s="2" t="str">
        <f t="shared" si="16"/>
        <v>Urgent Review</v>
      </c>
      <c r="P279" s="2" t="s">
        <v>987</v>
      </c>
      <c r="Q279" s="2" t="str">
        <f t="shared" si="17"/>
        <v>NR</v>
      </c>
      <c r="R279" s="2" t="e">
        <f t="array" aca="1" ref="R279" ca="1">_xludf.IFS(Q279="ET", "East", Q279="WT", "West", Q279="ST","South", Q279="NR", "North")</f>
        <v>#NAME?</v>
      </c>
      <c r="S279" s="2" t="s">
        <v>159</v>
      </c>
      <c r="T279" s="2" t="str">
        <f t="shared" si="18"/>
        <v>Berlin</v>
      </c>
      <c r="U279" s="12" t="s">
        <v>30</v>
      </c>
      <c r="V279" s="12">
        <f t="shared" si="19"/>
        <v>0.1</v>
      </c>
      <c r="W279" s="13">
        <f t="shared" si="20"/>
        <v>44174.9</v>
      </c>
      <c r="X279" s="2" t="str">
        <f t="shared" si="21"/>
        <v>Normal</v>
      </c>
    </row>
    <row r="280" spans="1:24" ht="14.25" customHeight="1" x14ac:dyDescent="0.5">
      <c r="A280" s="2" t="s">
        <v>988</v>
      </c>
      <c r="B280" s="2" t="s">
        <v>889</v>
      </c>
      <c r="C280" s="2" t="str">
        <f t="shared" si="11"/>
        <v>John Wilson</v>
      </c>
      <c r="D280" s="2" t="s">
        <v>93</v>
      </c>
      <c r="E280" s="2" t="str">
        <f t="shared" si="12"/>
        <v>k@ie@company.com</v>
      </c>
      <c r="F280" s="2" t="s">
        <v>50</v>
      </c>
      <c r="G280" s="3">
        <v>43913</v>
      </c>
      <c r="H280" s="3" t="str">
        <f t="shared" si="13"/>
        <v>23-Mar-2020</v>
      </c>
      <c r="I280" s="10" t="s">
        <v>989</v>
      </c>
      <c r="J280" s="10">
        <f t="shared" si="14"/>
        <v>52145</v>
      </c>
      <c r="K280" s="11" t="s">
        <v>44</v>
      </c>
      <c r="L280" s="2" t="s">
        <v>18</v>
      </c>
      <c r="M280" s="2" t="str">
        <f t="shared" si="15"/>
        <v>Active</v>
      </c>
      <c r="N280" s="2" t="s">
        <v>107</v>
      </c>
      <c r="O280" s="2" t="str">
        <f t="shared" si="16"/>
        <v>All Clear</v>
      </c>
      <c r="P280" s="2" t="s">
        <v>990</v>
      </c>
      <c r="Q280" s="2" t="str">
        <f t="shared" si="17"/>
        <v>WT</v>
      </c>
      <c r="R280" s="2" t="e">
        <f t="array" aca="1" ref="R280" ca="1">_xludf.IFS(Q280="ET", "East", Q280="WT", "West", Q280="ST","South", Q280="NR", "North")</f>
        <v>#NAME?</v>
      </c>
      <c r="S280" s="2" t="s">
        <v>159</v>
      </c>
      <c r="T280" s="2" t="str">
        <f t="shared" si="18"/>
        <v>Berlin</v>
      </c>
      <c r="U280" s="12" t="s">
        <v>39</v>
      </c>
      <c r="V280" s="12">
        <f t="shared" si="19"/>
        <v>0.05</v>
      </c>
      <c r="W280" s="13">
        <f t="shared" si="20"/>
        <v>54752.25</v>
      </c>
      <c r="X280" s="2" t="str">
        <f t="shared" si="21"/>
        <v>Normal</v>
      </c>
    </row>
    <row r="281" spans="1:24" ht="14.25" customHeight="1" x14ac:dyDescent="0.5">
      <c r="A281" s="2" t="s">
        <v>991</v>
      </c>
      <c r="B281" s="2" t="s">
        <v>360</v>
      </c>
      <c r="C281" s="2" t="str">
        <f t="shared" si="11"/>
        <v>Katie Taylor</v>
      </c>
      <c r="D281" s="2" t="s">
        <v>125</v>
      </c>
      <c r="E281" s="2" t="str">
        <f t="shared" si="12"/>
        <v>sarah@company.com</v>
      </c>
      <c r="F281" s="2" t="s">
        <v>69</v>
      </c>
      <c r="G281" s="3">
        <v>44777</v>
      </c>
      <c r="H281" s="3" t="str">
        <f t="shared" si="13"/>
        <v>04-Aug-2022</v>
      </c>
      <c r="I281" s="10" t="s">
        <v>992</v>
      </c>
      <c r="J281" s="10">
        <f t="shared" si="14"/>
        <v>71921</v>
      </c>
      <c r="K281" s="11" t="s">
        <v>36</v>
      </c>
      <c r="L281" s="2" t="s">
        <v>64</v>
      </c>
      <c r="M281" s="2" t="str">
        <f t="shared" si="15"/>
        <v>Terminated</v>
      </c>
      <c r="O281" s="2" t="str">
        <f t="shared" si="16"/>
        <v>No Notes</v>
      </c>
      <c r="P281" s="2" t="s">
        <v>993</v>
      </c>
      <c r="Q281" s="2" t="str">
        <f t="shared" si="17"/>
        <v>NR</v>
      </c>
      <c r="R281" s="2" t="e">
        <f t="array" aca="1" ref="R281" ca="1">_xludf.IFS(Q281="ET", "East", Q281="WT", "West", Q281="ST","South", Q281="NR", "North")</f>
        <v>#NAME?</v>
      </c>
      <c r="S281" s="2" t="s">
        <v>79</v>
      </c>
      <c r="T281" s="2" t="str">
        <f t="shared" si="18"/>
        <v>New York</v>
      </c>
      <c r="U281" s="12" t="s">
        <v>22</v>
      </c>
      <c r="V281" s="12">
        <f t="shared" si="19"/>
        <v>0.2</v>
      </c>
      <c r="W281" s="13">
        <f t="shared" si="20"/>
        <v>86305.2</v>
      </c>
      <c r="X281" s="2" t="str">
        <f t="shared" si="21"/>
        <v>Normal</v>
      </c>
    </row>
    <row r="282" spans="1:24" ht="14.25" customHeight="1" x14ac:dyDescent="0.5">
      <c r="A282" s="2" t="s">
        <v>994</v>
      </c>
      <c r="B282" s="2" t="s">
        <v>177</v>
      </c>
      <c r="C282" s="2" t="str">
        <f t="shared" si="11"/>
        <v>Alex Miller</v>
      </c>
      <c r="D282" s="2" t="s">
        <v>14</v>
      </c>
      <c r="E282" s="2" t="str">
        <f t="shared" si="12"/>
        <v>john@company.com</v>
      </c>
      <c r="F282" s="2" t="s">
        <v>69</v>
      </c>
      <c r="G282" s="3">
        <v>44729</v>
      </c>
      <c r="H282" s="3" t="str">
        <f t="shared" si="13"/>
        <v>17-Jun-2022</v>
      </c>
      <c r="I282" s="10" t="s">
        <v>995</v>
      </c>
      <c r="J282" s="10">
        <f t="shared" si="14"/>
        <v>56237</v>
      </c>
      <c r="K282" s="11" t="s">
        <v>83</v>
      </c>
      <c r="L282" s="2" t="s">
        <v>45</v>
      </c>
      <c r="M282" s="2" t="str">
        <f t="shared" si="15"/>
        <v>Active</v>
      </c>
      <c r="N282" s="2" t="s">
        <v>77</v>
      </c>
      <c r="O282" s="2" t="str">
        <f t="shared" si="16"/>
        <v>All Clear</v>
      </c>
      <c r="P282" s="2" t="s">
        <v>996</v>
      </c>
      <c r="Q282" s="2" t="str">
        <f t="shared" si="17"/>
        <v>NR</v>
      </c>
      <c r="R282" s="2" t="e">
        <f t="array" aca="1" ref="R282" ca="1">_xludf.IFS(Q282="ET", "East", Q282="WT", "West", Q282="ST","South", Q282="NR", "North")</f>
        <v>#NAME?</v>
      </c>
      <c r="S282" s="2" t="s">
        <v>21</v>
      </c>
      <c r="T282" s="2" t="str">
        <f t="shared" si="18"/>
        <v>Sao Paulo</v>
      </c>
      <c r="U282" s="12" t="s">
        <v>85</v>
      </c>
      <c r="V282" s="12">
        <f t="shared" si="19"/>
        <v>0.15</v>
      </c>
      <c r="W282" s="13">
        <f t="shared" si="20"/>
        <v>64672.549999999996</v>
      </c>
      <c r="X282" s="2" t="str">
        <f t="shared" si="21"/>
        <v>Normal</v>
      </c>
    </row>
    <row r="283" spans="1:24" ht="14.25" customHeight="1" x14ac:dyDescent="0.5">
      <c r="A283" s="2" t="s">
        <v>997</v>
      </c>
      <c r="B283" s="2" t="s">
        <v>308</v>
      </c>
      <c r="C283" s="2" t="str">
        <f t="shared" si="11"/>
        <v>Sam Miller</v>
      </c>
      <c r="D283" s="2" t="s">
        <v>25</v>
      </c>
      <c r="E283" s="2" t="str">
        <f t="shared" si="12"/>
        <v>chris@company.com</v>
      </c>
      <c r="F283" s="2" t="s">
        <v>42</v>
      </c>
      <c r="G283" s="3">
        <v>45280</v>
      </c>
      <c r="H283" s="3" t="str">
        <f t="shared" si="13"/>
        <v>20-Dec-2023</v>
      </c>
      <c r="I283" s="10" t="s">
        <v>998</v>
      </c>
      <c r="J283" s="10">
        <f t="shared" si="14"/>
        <v>48244</v>
      </c>
      <c r="K283" s="11" t="s">
        <v>36</v>
      </c>
      <c r="L283" s="2" t="s">
        <v>27</v>
      </c>
      <c r="M283" s="2" t="str">
        <f t="shared" si="15"/>
        <v>On Leave</v>
      </c>
      <c r="N283" s="2" t="s">
        <v>77</v>
      </c>
      <c r="O283" s="2" t="str">
        <f t="shared" si="16"/>
        <v>All Clear</v>
      </c>
      <c r="P283" s="2" t="s">
        <v>999</v>
      </c>
      <c r="Q283" s="2" t="str">
        <f t="shared" si="17"/>
        <v>WT</v>
      </c>
      <c r="R283" s="2" t="e">
        <f t="array" aca="1" ref="R283" ca="1">_xludf.IFS(Q283="ET", "East", Q283="WT", "West", Q283="ST","South", Q283="NR", "North")</f>
        <v>#NAME?</v>
      </c>
      <c r="S283" s="2" t="s">
        <v>47</v>
      </c>
      <c r="T283" s="2" t="str">
        <f t="shared" si="18"/>
        <v>Lagos</v>
      </c>
      <c r="U283" s="12" t="s">
        <v>85</v>
      </c>
      <c r="V283" s="12">
        <f t="shared" si="19"/>
        <v>0.15</v>
      </c>
      <c r="W283" s="13">
        <f t="shared" si="20"/>
        <v>55480.6</v>
      </c>
      <c r="X283" s="2" t="str">
        <f t="shared" si="21"/>
        <v>Normal</v>
      </c>
    </row>
    <row r="284" spans="1:24" ht="14.25" customHeight="1" x14ac:dyDescent="0.5">
      <c r="A284" s="2" t="s">
        <v>1000</v>
      </c>
      <c r="B284" s="2" t="s">
        <v>32</v>
      </c>
      <c r="C284" s="2" t="str">
        <f t="shared" si="11"/>
        <v>Sarah Lewis</v>
      </c>
      <c r="D284" s="2" t="s">
        <v>105</v>
      </c>
      <c r="E284" s="2" t="str">
        <f t="shared" si="12"/>
        <v>sam@company.com</v>
      </c>
      <c r="F284" s="2" t="s">
        <v>42</v>
      </c>
      <c r="G284" s="3">
        <v>45129</v>
      </c>
      <c r="H284" s="3" t="str">
        <f t="shared" si="13"/>
        <v>22-Jul-2023</v>
      </c>
      <c r="I284" s="10" t="s">
        <v>1001</v>
      </c>
      <c r="J284" s="10">
        <f t="shared" si="14"/>
        <v>54743</v>
      </c>
      <c r="K284" s="11" t="s">
        <v>44</v>
      </c>
      <c r="L284" s="2" t="s">
        <v>121</v>
      </c>
      <c r="M284" s="2" t="str">
        <f t="shared" si="15"/>
        <v>On Leave</v>
      </c>
      <c r="N284" s="2" t="s">
        <v>77</v>
      </c>
      <c r="O284" s="2" t="str">
        <f t="shared" si="16"/>
        <v>All Clear</v>
      </c>
      <c r="P284" s="2" t="s">
        <v>1002</v>
      </c>
      <c r="Q284" s="2" t="str">
        <f t="shared" si="17"/>
        <v>WT</v>
      </c>
      <c r="R284" s="2" t="e">
        <f t="array" aca="1" ref="R284" ca="1">_xludf.IFS(Q284="ET", "East", Q284="WT", "West", Q284="ST","South", Q284="NR", "North")</f>
        <v>#NAME?</v>
      </c>
      <c r="S284" s="2" t="s">
        <v>159</v>
      </c>
      <c r="T284" s="2" t="str">
        <f t="shared" si="18"/>
        <v>Berlin</v>
      </c>
      <c r="U284" s="12" t="s">
        <v>22</v>
      </c>
      <c r="V284" s="12">
        <f t="shared" si="19"/>
        <v>0.2</v>
      </c>
      <c r="W284" s="13">
        <f t="shared" si="20"/>
        <v>65691.599999999991</v>
      </c>
      <c r="X284" s="2" t="str">
        <f t="shared" si="21"/>
        <v>Normal</v>
      </c>
    </row>
    <row r="285" spans="1:24" ht="14.25" customHeight="1" x14ac:dyDescent="0.5">
      <c r="A285" s="2" t="s">
        <v>1003</v>
      </c>
      <c r="B285" s="2" t="s">
        <v>104</v>
      </c>
      <c r="C285" s="2" t="str">
        <f t="shared" si="11"/>
        <v>Mike Brown</v>
      </c>
      <c r="D285" s="2" t="s">
        <v>25</v>
      </c>
      <c r="E285" s="2" t="str">
        <f t="shared" si="12"/>
        <v>chris@company.com</v>
      </c>
      <c r="F285" s="2" t="s">
        <v>15</v>
      </c>
      <c r="G285" s="3">
        <v>44114</v>
      </c>
      <c r="H285" s="3" t="str">
        <f t="shared" si="13"/>
        <v>10-Oct-2020</v>
      </c>
      <c r="I285" s="10" t="s">
        <v>1004</v>
      </c>
      <c r="J285" s="10">
        <f t="shared" si="14"/>
        <v>86101</v>
      </c>
      <c r="K285" s="11" t="s">
        <v>36</v>
      </c>
      <c r="L285" s="2" t="s">
        <v>58</v>
      </c>
      <c r="M285" s="2" t="str">
        <f t="shared" si="15"/>
        <v>Terminated</v>
      </c>
      <c r="N285" s="2" t="s">
        <v>28</v>
      </c>
      <c r="O285" s="2" t="str">
        <f t="shared" si="16"/>
        <v>Pending Docs</v>
      </c>
      <c r="P285" s="2" t="s">
        <v>1005</v>
      </c>
      <c r="Q285" s="2" t="str">
        <f t="shared" si="17"/>
        <v>ST</v>
      </c>
      <c r="R285" s="2" t="e">
        <f t="array" aca="1" ref="R285" ca="1">_xludf.IFS(Q285="ET", "East", Q285="WT", "West", Q285="ST","South", Q285="NR", "North")</f>
        <v>#NAME?</v>
      </c>
      <c r="S285" s="2" t="s">
        <v>96</v>
      </c>
      <c r="T285" s="2" t="str">
        <f t="shared" si="18"/>
        <v>Cairo</v>
      </c>
      <c r="U285" s="12" t="s">
        <v>22</v>
      </c>
      <c r="V285" s="12">
        <f t="shared" si="19"/>
        <v>0.2</v>
      </c>
      <c r="W285" s="13">
        <f t="shared" si="20"/>
        <v>103321.2</v>
      </c>
      <c r="X285" s="2" t="str">
        <f t="shared" si="21"/>
        <v>High</v>
      </c>
    </row>
    <row r="286" spans="1:24" ht="14.25" customHeight="1" x14ac:dyDescent="0.5">
      <c r="A286" s="2" t="s">
        <v>1006</v>
      </c>
      <c r="B286" s="2" t="s">
        <v>1007</v>
      </c>
      <c r="C286" s="2" t="str">
        <f t="shared" si="11"/>
        <v>Sarah Brown</v>
      </c>
      <c r="D286" s="2" t="s">
        <v>49</v>
      </c>
      <c r="E286" s="2" t="str">
        <f t="shared" si="12"/>
        <v>emily@company.com</v>
      </c>
      <c r="F286" s="2" t="s">
        <v>50</v>
      </c>
      <c r="G286" s="3">
        <v>44810</v>
      </c>
      <c r="H286" s="3" t="str">
        <f t="shared" si="13"/>
        <v>06-Sep-2022</v>
      </c>
      <c r="I286" s="10" t="s">
        <v>1008</v>
      </c>
      <c r="J286" s="10">
        <f t="shared" si="14"/>
        <v>96378</v>
      </c>
      <c r="K286" s="11" t="s">
        <v>44</v>
      </c>
      <c r="L286" s="2" t="s">
        <v>27</v>
      </c>
      <c r="M286" s="2" t="str">
        <f t="shared" si="15"/>
        <v>On Leave</v>
      </c>
      <c r="N286" s="2" t="s">
        <v>65</v>
      </c>
      <c r="O286" s="2" t="str">
        <f t="shared" si="16"/>
        <v>Follow Up</v>
      </c>
      <c r="P286" s="2" t="s">
        <v>1009</v>
      </c>
      <c r="Q286" s="2" t="str">
        <f t="shared" si="17"/>
        <v>ST</v>
      </c>
      <c r="R286" s="2" t="e">
        <f t="array" aca="1" ref="R286" ca="1">_xludf.IFS(Q286="ET", "East", Q286="WT", "West", Q286="ST","South", Q286="NR", "North")</f>
        <v>#NAME?</v>
      </c>
      <c r="S286" s="2" t="s">
        <v>79</v>
      </c>
      <c r="T286" s="2" t="str">
        <f t="shared" si="18"/>
        <v>New York</v>
      </c>
      <c r="U286" s="12" t="s">
        <v>39</v>
      </c>
      <c r="V286" s="12">
        <f t="shared" si="19"/>
        <v>0.05</v>
      </c>
      <c r="W286" s="13">
        <f t="shared" si="20"/>
        <v>101196.90000000001</v>
      </c>
      <c r="X286" s="2" t="str">
        <f t="shared" si="21"/>
        <v>High</v>
      </c>
    </row>
    <row r="287" spans="1:24" ht="14.25" customHeight="1" x14ac:dyDescent="0.5">
      <c r="A287" s="2" t="s">
        <v>1010</v>
      </c>
      <c r="B287" s="2" t="s">
        <v>181</v>
      </c>
      <c r="C287" s="2" t="str">
        <f t="shared" si="11"/>
        <v>Jane Lewis</v>
      </c>
      <c r="D287" s="2" t="s">
        <v>14</v>
      </c>
      <c r="E287" s="2" t="str">
        <f t="shared" si="12"/>
        <v>john@company.com</v>
      </c>
      <c r="F287" s="2" t="s">
        <v>69</v>
      </c>
      <c r="G287" s="3">
        <v>44003</v>
      </c>
      <c r="H287" s="3" t="str">
        <f t="shared" si="13"/>
        <v>21-Jun-2020</v>
      </c>
      <c r="I287" s="10" t="s">
        <v>1011</v>
      </c>
      <c r="J287" s="10">
        <f t="shared" si="14"/>
        <v>111126</v>
      </c>
      <c r="K287" s="11" t="s">
        <v>44</v>
      </c>
      <c r="L287" s="2" t="s">
        <v>121</v>
      </c>
      <c r="M287" s="2" t="str">
        <f t="shared" si="15"/>
        <v>On Leave</v>
      </c>
      <c r="N287" s="2" t="s">
        <v>77</v>
      </c>
      <c r="O287" s="2" t="str">
        <f t="shared" si="16"/>
        <v>All Clear</v>
      </c>
      <c r="P287" s="2" t="s">
        <v>1012</v>
      </c>
      <c r="Q287" s="2" t="str">
        <f t="shared" si="17"/>
        <v>ST</v>
      </c>
      <c r="R287" s="2" t="e">
        <f t="array" aca="1" ref="R287" ca="1">_xludf.IFS(Q287="ET", "East", Q287="WT", "West", Q287="ST","South", Q287="NR", "North")</f>
        <v>#NAME?</v>
      </c>
      <c r="S287" s="2" t="s">
        <v>38</v>
      </c>
      <c r="T287" s="2" t="str">
        <f t="shared" si="18"/>
        <v>London</v>
      </c>
      <c r="U287" s="12" t="s">
        <v>39</v>
      </c>
      <c r="V287" s="12">
        <f t="shared" si="19"/>
        <v>0.05</v>
      </c>
      <c r="W287" s="13">
        <f t="shared" si="20"/>
        <v>116682.3</v>
      </c>
      <c r="X287" s="2" t="str">
        <f t="shared" si="21"/>
        <v>High</v>
      </c>
    </row>
    <row r="288" spans="1:24" ht="14.25" customHeight="1" x14ac:dyDescent="0.5">
      <c r="A288" s="2" t="s">
        <v>1013</v>
      </c>
      <c r="B288" s="2" t="s">
        <v>55</v>
      </c>
      <c r="C288" s="2" t="str">
        <f t="shared" si="11"/>
        <v>Alex Moore</v>
      </c>
      <c r="D288" s="2" t="s">
        <v>125</v>
      </c>
      <c r="E288" s="2" t="str">
        <f t="shared" si="12"/>
        <v>sarah@company.com</v>
      </c>
      <c r="F288" s="2" t="s">
        <v>15</v>
      </c>
      <c r="G288" s="3">
        <v>45181</v>
      </c>
      <c r="H288" s="3" t="str">
        <f t="shared" si="13"/>
        <v>12-Sep-2023</v>
      </c>
      <c r="I288" s="10" t="s">
        <v>1014</v>
      </c>
      <c r="J288" s="10">
        <f t="shared" si="14"/>
        <v>96071</v>
      </c>
      <c r="K288" s="11" t="s">
        <v>57</v>
      </c>
      <c r="L288" s="2" t="s">
        <v>64</v>
      </c>
      <c r="M288" s="2" t="str">
        <f t="shared" si="15"/>
        <v>Terminated</v>
      </c>
      <c r="N288" s="2" t="s">
        <v>107</v>
      </c>
      <c r="O288" s="2" t="str">
        <f t="shared" si="16"/>
        <v>All Clear</v>
      </c>
      <c r="P288" s="2" t="s">
        <v>1015</v>
      </c>
      <c r="Q288" s="2" t="str">
        <f t="shared" si="17"/>
        <v>ST</v>
      </c>
      <c r="R288" s="2" t="e">
        <f t="array" aca="1" ref="R288" ca="1">_xludf.IFS(Q288="ET", "East", Q288="WT", "West", Q288="ST","South", Q288="NR", "North")</f>
        <v>#NAME?</v>
      </c>
      <c r="S288" s="2" t="s">
        <v>159</v>
      </c>
      <c r="T288" s="2" t="str">
        <f t="shared" si="18"/>
        <v>Berlin</v>
      </c>
      <c r="U288" s="12" t="s">
        <v>85</v>
      </c>
      <c r="V288" s="12">
        <f t="shared" si="19"/>
        <v>0.15</v>
      </c>
      <c r="W288" s="13">
        <f t="shared" si="20"/>
        <v>110481.65</v>
      </c>
      <c r="X288" s="2" t="str">
        <f t="shared" si="21"/>
        <v>High</v>
      </c>
    </row>
    <row r="289" spans="1:24" ht="14.25" customHeight="1" x14ac:dyDescent="0.5">
      <c r="A289" s="2" t="s">
        <v>1016</v>
      </c>
      <c r="B289" s="2" t="s">
        <v>129</v>
      </c>
      <c r="C289" s="2" t="str">
        <f t="shared" si="11"/>
        <v>Katie Wilson</v>
      </c>
      <c r="D289" s="2" t="s">
        <v>49</v>
      </c>
      <c r="E289" s="2" t="str">
        <f t="shared" si="12"/>
        <v>emily@company.com</v>
      </c>
      <c r="F289" s="2" t="s">
        <v>15</v>
      </c>
      <c r="G289" s="3">
        <v>44917</v>
      </c>
      <c r="H289" s="3" t="str">
        <f t="shared" si="13"/>
        <v>22-Dec-2022</v>
      </c>
      <c r="I289" s="10" t="s">
        <v>1017</v>
      </c>
      <c r="J289" s="10">
        <f t="shared" si="14"/>
        <v>111121</v>
      </c>
      <c r="K289" s="11" t="s">
        <v>44</v>
      </c>
      <c r="L289" s="2" t="s">
        <v>121</v>
      </c>
      <c r="M289" s="2" t="str">
        <f t="shared" si="15"/>
        <v>On Leave</v>
      </c>
      <c r="N289" s="2" t="s">
        <v>77</v>
      </c>
      <c r="O289" s="2" t="str">
        <f t="shared" si="16"/>
        <v>All Clear</v>
      </c>
      <c r="P289" s="2" t="s">
        <v>1018</v>
      </c>
      <c r="Q289" s="2" t="str">
        <f t="shared" si="17"/>
        <v>ST</v>
      </c>
      <c r="R289" s="2" t="e">
        <f t="array" aca="1" ref="R289" ca="1">_xludf.IFS(Q289="ET", "East", Q289="WT", "West", Q289="ST","South", Q289="NR", "North")</f>
        <v>#NAME?</v>
      </c>
      <c r="S289" s="2" t="s">
        <v>53</v>
      </c>
      <c r="T289" s="2" t="str">
        <f t="shared" si="18"/>
        <v>Delhi</v>
      </c>
      <c r="U289" s="12" t="s">
        <v>39</v>
      </c>
      <c r="V289" s="12">
        <f t="shared" si="19"/>
        <v>0.05</v>
      </c>
      <c r="W289" s="13">
        <f t="shared" si="20"/>
        <v>116677.05</v>
      </c>
      <c r="X289" s="2" t="str">
        <f t="shared" si="21"/>
        <v>High</v>
      </c>
    </row>
    <row r="290" spans="1:24" ht="14.25" customHeight="1" x14ac:dyDescent="0.5">
      <c r="A290" s="2" t="s">
        <v>1019</v>
      </c>
      <c r="B290" s="2" t="s">
        <v>268</v>
      </c>
      <c r="C290" s="2" t="str">
        <f t="shared" si="11"/>
        <v>John Brown</v>
      </c>
      <c r="D290" s="2" t="s">
        <v>99</v>
      </c>
      <c r="E290" s="2" t="str">
        <f t="shared" si="12"/>
        <v>daniel@company.com</v>
      </c>
      <c r="F290" s="2" t="s">
        <v>75</v>
      </c>
      <c r="G290" s="3">
        <v>44927</v>
      </c>
      <c r="H290" s="3" t="str">
        <f t="shared" si="13"/>
        <v>01-Jan-2023</v>
      </c>
      <c r="I290" s="10" t="s">
        <v>1020</v>
      </c>
      <c r="J290" s="10">
        <f t="shared" si="14"/>
        <v>114763</v>
      </c>
      <c r="K290" s="11" t="s">
        <v>44</v>
      </c>
      <c r="L290" s="2" t="s">
        <v>121</v>
      </c>
      <c r="M290" s="2" t="str">
        <f t="shared" si="15"/>
        <v>On Leave</v>
      </c>
      <c r="N290" s="2" t="s">
        <v>19</v>
      </c>
      <c r="O290" s="2" t="str">
        <f t="shared" si="16"/>
        <v>Urgent Review</v>
      </c>
      <c r="P290" s="2" t="s">
        <v>1021</v>
      </c>
      <c r="Q290" s="2" t="str">
        <f t="shared" si="17"/>
        <v>WT</v>
      </c>
      <c r="R290" s="2" t="e">
        <f t="array" aca="1" ref="R290" ca="1">_xludf.IFS(Q290="ET", "East", Q290="WT", "West", Q290="ST","South", Q290="NR", "North")</f>
        <v>#NAME?</v>
      </c>
      <c r="S290" s="2" t="s">
        <v>159</v>
      </c>
      <c r="T290" s="2" t="str">
        <f t="shared" si="18"/>
        <v>Berlin</v>
      </c>
      <c r="U290" s="12" t="s">
        <v>30</v>
      </c>
      <c r="V290" s="12">
        <f t="shared" si="19"/>
        <v>0.1</v>
      </c>
      <c r="W290" s="13">
        <f t="shared" si="20"/>
        <v>126239.30000000002</v>
      </c>
      <c r="X290" s="2" t="str">
        <f t="shared" si="21"/>
        <v>High</v>
      </c>
    </row>
    <row r="291" spans="1:24" ht="14.25" customHeight="1" x14ac:dyDescent="0.5">
      <c r="A291" s="2" t="s">
        <v>1022</v>
      </c>
      <c r="B291" s="2" t="s">
        <v>98</v>
      </c>
      <c r="C291" s="2" t="str">
        <f t="shared" si="11"/>
        <v>Katie Smith</v>
      </c>
      <c r="D291" s="2" t="s">
        <v>99</v>
      </c>
      <c r="E291" s="2" t="str">
        <f t="shared" si="12"/>
        <v>daniel@company.com</v>
      </c>
      <c r="F291" s="2" t="s">
        <v>34</v>
      </c>
      <c r="G291" s="3">
        <v>44593</v>
      </c>
      <c r="H291" s="3" t="str">
        <f t="shared" si="13"/>
        <v>01-Feb-2022</v>
      </c>
      <c r="I291" s="10" t="s">
        <v>1023</v>
      </c>
      <c r="J291" s="10">
        <f t="shared" si="14"/>
        <v>52237</v>
      </c>
      <c r="K291" s="11" t="s">
        <v>17</v>
      </c>
      <c r="L291" s="2" t="s">
        <v>121</v>
      </c>
      <c r="M291" s="2" t="str">
        <f t="shared" si="15"/>
        <v>On Leave</v>
      </c>
      <c r="N291" s="2" t="s">
        <v>28</v>
      </c>
      <c r="O291" s="2" t="str">
        <f t="shared" si="16"/>
        <v>Pending Docs</v>
      </c>
      <c r="P291" s="2" t="s">
        <v>1024</v>
      </c>
      <c r="Q291" s="2" t="str">
        <f t="shared" si="17"/>
        <v>NR</v>
      </c>
      <c r="R291" s="2" t="e">
        <f t="array" aca="1" ref="R291" ca="1">_xludf.IFS(Q291="ET", "East", Q291="WT", "West", Q291="ST","South", Q291="NR", "North")</f>
        <v>#NAME?</v>
      </c>
      <c r="S291" s="2" t="s">
        <v>79</v>
      </c>
      <c r="T291" s="2" t="str">
        <f t="shared" si="18"/>
        <v>New York</v>
      </c>
      <c r="U291" s="12" t="s">
        <v>39</v>
      </c>
      <c r="V291" s="12">
        <f t="shared" si="19"/>
        <v>0.05</v>
      </c>
      <c r="W291" s="13">
        <f t="shared" si="20"/>
        <v>54848.850000000006</v>
      </c>
      <c r="X291" s="2" t="str">
        <f t="shared" si="21"/>
        <v>Normal</v>
      </c>
    </row>
    <row r="292" spans="1:24" ht="14.25" customHeight="1" x14ac:dyDescent="0.5">
      <c r="A292" s="2" t="s">
        <v>1025</v>
      </c>
      <c r="B292" s="2" t="s">
        <v>245</v>
      </c>
      <c r="C292" s="2" t="str">
        <f t="shared" si="11"/>
        <v>Katie Moore</v>
      </c>
      <c r="D292" s="2" t="s">
        <v>25</v>
      </c>
      <c r="E292" s="2" t="str">
        <f t="shared" si="12"/>
        <v>chris@company.com</v>
      </c>
      <c r="F292" s="2" t="s">
        <v>42</v>
      </c>
      <c r="G292" s="3">
        <v>45229</v>
      </c>
      <c r="H292" s="3" t="str">
        <f t="shared" si="13"/>
        <v>30-Oct-2023</v>
      </c>
      <c r="I292" s="10" t="s">
        <v>1026</v>
      </c>
      <c r="J292" s="10">
        <f t="shared" si="14"/>
        <v>55649</v>
      </c>
      <c r="K292" s="11" t="s">
        <v>83</v>
      </c>
      <c r="L292" s="2" t="s">
        <v>89</v>
      </c>
      <c r="M292" s="2" t="str">
        <f t="shared" si="15"/>
        <v>Active</v>
      </c>
      <c r="N292" s="2" t="s">
        <v>19</v>
      </c>
      <c r="O292" s="2" t="str">
        <f t="shared" si="16"/>
        <v>Urgent Review</v>
      </c>
      <c r="P292" s="2" t="s">
        <v>1027</v>
      </c>
      <c r="Q292" s="2" t="str">
        <f t="shared" si="17"/>
        <v>ST</v>
      </c>
      <c r="R292" s="2" t="e">
        <f t="array" aca="1" ref="R292" ca="1">_xludf.IFS(Q292="ET", "East", Q292="WT", "West", Q292="ST","South", Q292="NR", "North")</f>
        <v>#NAME?</v>
      </c>
      <c r="S292" s="2" t="s">
        <v>47</v>
      </c>
      <c r="T292" s="2" t="str">
        <f t="shared" si="18"/>
        <v>Lagos</v>
      </c>
      <c r="U292" s="12" t="s">
        <v>39</v>
      </c>
      <c r="V292" s="12">
        <f t="shared" si="19"/>
        <v>0.05</v>
      </c>
      <c r="W292" s="13">
        <f t="shared" si="20"/>
        <v>58431.450000000004</v>
      </c>
      <c r="X292" s="2" t="str">
        <f t="shared" si="21"/>
        <v>Normal</v>
      </c>
    </row>
    <row r="293" spans="1:24" ht="14.25" customHeight="1" x14ac:dyDescent="0.5">
      <c r="A293" s="2" t="s">
        <v>1028</v>
      </c>
      <c r="B293" s="2" t="s">
        <v>1029</v>
      </c>
      <c r="C293" s="2" t="str">
        <f t="shared" si="11"/>
        <v>John Miller</v>
      </c>
      <c r="D293" s="2" t="s">
        <v>93</v>
      </c>
      <c r="E293" s="2" t="str">
        <f t="shared" si="12"/>
        <v>k@ie@company.com</v>
      </c>
      <c r="F293" s="2" t="s">
        <v>50</v>
      </c>
      <c r="G293" s="3">
        <v>44463</v>
      </c>
      <c r="H293" s="3" t="str">
        <f t="shared" si="13"/>
        <v>24-Sep-2021</v>
      </c>
      <c r="I293" s="10" t="s">
        <v>1030</v>
      </c>
      <c r="J293" s="10">
        <f t="shared" si="14"/>
        <v>77713</v>
      </c>
      <c r="K293" s="11" t="s">
        <v>57</v>
      </c>
      <c r="L293" s="2" t="s">
        <v>64</v>
      </c>
      <c r="M293" s="2" t="str">
        <f t="shared" si="15"/>
        <v>Terminated</v>
      </c>
      <c r="N293" s="2" t="s">
        <v>19</v>
      </c>
      <c r="O293" s="2" t="str">
        <f t="shared" si="16"/>
        <v>Urgent Review</v>
      </c>
      <c r="P293" s="2" t="s">
        <v>1031</v>
      </c>
      <c r="Q293" s="2" t="str">
        <f t="shared" si="17"/>
        <v>ST</v>
      </c>
      <c r="R293" s="2" t="e">
        <f t="array" aca="1" ref="R293" ca="1">_xludf.IFS(Q293="ET", "East", Q293="WT", "West", Q293="ST","South", Q293="NR", "North")</f>
        <v>#NAME?</v>
      </c>
      <c r="S293" s="2" t="s">
        <v>96</v>
      </c>
      <c r="T293" s="2" t="str">
        <f t="shared" si="18"/>
        <v>Cairo</v>
      </c>
      <c r="U293" s="12" t="s">
        <v>85</v>
      </c>
      <c r="V293" s="12">
        <f t="shared" si="19"/>
        <v>0.15</v>
      </c>
      <c r="W293" s="13">
        <f t="shared" si="20"/>
        <v>89369.95</v>
      </c>
      <c r="X293" s="2" t="str">
        <f t="shared" si="21"/>
        <v>Normal</v>
      </c>
    </row>
    <row r="294" spans="1:24" ht="14.25" customHeight="1" x14ac:dyDescent="0.5">
      <c r="A294" s="2" t="s">
        <v>1032</v>
      </c>
      <c r="B294" s="2" t="s">
        <v>580</v>
      </c>
      <c r="C294" s="2" t="str">
        <f t="shared" si="11"/>
        <v>Emily Miller</v>
      </c>
      <c r="D294" s="2" t="s">
        <v>235</v>
      </c>
      <c r="E294" s="2" t="str">
        <f t="shared" si="12"/>
        <v>jane@company.com</v>
      </c>
      <c r="F294" s="2" t="s">
        <v>69</v>
      </c>
      <c r="G294" s="3">
        <v>44617</v>
      </c>
      <c r="H294" s="3" t="str">
        <f t="shared" si="13"/>
        <v>25-Feb-2022</v>
      </c>
      <c r="I294" s="10" t="s">
        <v>1033</v>
      </c>
      <c r="J294" s="10">
        <f t="shared" si="14"/>
        <v>113463</v>
      </c>
      <c r="K294" s="11" t="s">
        <v>57</v>
      </c>
      <c r="L294" s="2" t="s">
        <v>112</v>
      </c>
      <c r="M294" s="2" t="str">
        <f t="shared" si="15"/>
        <v>On Leave</v>
      </c>
      <c r="N294" s="2" t="s">
        <v>19</v>
      </c>
      <c r="O294" s="2" t="str">
        <f t="shared" si="16"/>
        <v>Urgent Review</v>
      </c>
      <c r="P294" s="2" t="s">
        <v>1034</v>
      </c>
      <c r="Q294" s="2" t="str">
        <f t="shared" si="17"/>
        <v>NR</v>
      </c>
      <c r="R294" s="2" t="e">
        <f t="array" aca="1" ref="R294" ca="1">_xludf.IFS(Q294="ET", "East", Q294="WT", "West", Q294="ST","South", Q294="NR", "North")</f>
        <v>#NAME?</v>
      </c>
      <c r="S294" s="2" t="s">
        <v>53</v>
      </c>
      <c r="T294" s="2" t="str">
        <f t="shared" si="18"/>
        <v>Delhi</v>
      </c>
      <c r="U294" s="12" t="s">
        <v>30</v>
      </c>
      <c r="V294" s="12">
        <f t="shared" si="19"/>
        <v>0.1</v>
      </c>
      <c r="W294" s="13">
        <f t="shared" si="20"/>
        <v>124809.3</v>
      </c>
      <c r="X294" s="2" t="str">
        <f t="shared" si="21"/>
        <v>High</v>
      </c>
    </row>
    <row r="295" spans="1:24" ht="14.25" customHeight="1" x14ac:dyDescent="0.5">
      <c r="A295" s="2" t="s">
        <v>1035</v>
      </c>
      <c r="B295" s="2" t="s">
        <v>145</v>
      </c>
      <c r="C295" s="2" t="str">
        <f t="shared" si="11"/>
        <v>Mike Davis</v>
      </c>
      <c r="D295" s="2" t="s">
        <v>93</v>
      </c>
      <c r="E295" s="2" t="str">
        <f t="shared" si="12"/>
        <v>k@ie@company.com</v>
      </c>
      <c r="F295" s="2" t="s">
        <v>15</v>
      </c>
      <c r="G295" s="3">
        <v>44773</v>
      </c>
      <c r="H295" s="3" t="str">
        <f t="shared" si="13"/>
        <v>31-Jul-2022</v>
      </c>
      <c r="I295" s="10" t="s">
        <v>1036</v>
      </c>
      <c r="J295" s="10">
        <f t="shared" si="14"/>
        <v>85409</v>
      </c>
      <c r="K295" s="11" t="s">
        <v>57</v>
      </c>
      <c r="L295" s="2" t="s">
        <v>112</v>
      </c>
      <c r="M295" s="2" t="str">
        <f t="shared" si="15"/>
        <v>On Leave</v>
      </c>
      <c r="O295" s="2" t="str">
        <f t="shared" si="16"/>
        <v>No Notes</v>
      </c>
      <c r="P295" s="2" t="s">
        <v>1037</v>
      </c>
      <c r="Q295" s="2" t="str">
        <f t="shared" si="17"/>
        <v>ST</v>
      </c>
      <c r="R295" s="2" t="e">
        <f t="array" aca="1" ref="R295" ca="1">_xludf.IFS(Q295="ET", "East", Q295="WT", "West", Q295="ST","South", Q295="NR", "North")</f>
        <v>#NAME?</v>
      </c>
      <c r="S295" s="2" t="s">
        <v>38</v>
      </c>
      <c r="T295" s="2" t="str">
        <f t="shared" si="18"/>
        <v>London</v>
      </c>
      <c r="U295" s="12" t="s">
        <v>39</v>
      </c>
      <c r="V295" s="12">
        <f t="shared" si="19"/>
        <v>0.05</v>
      </c>
      <c r="W295" s="13">
        <f t="shared" si="20"/>
        <v>89679.45</v>
      </c>
      <c r="X295" s="2" t="str">
        <f t="shared" si="21"/>
        <v>Normal</v>
      </c>
    </row>
    <row r="296" spans="1:24" ht="14.25" customHeight="1" x14ac:dyDescent="0.5">
      <c r="A296" s="2" t="s">
        <v>1038</v>
      </c>
      <c r="B296" s="2" t="s">
        <v>68</v>
      </c>
      <c r="C296" s="2" t="str">
        <f t="shared" si="11"/>
        <v>Daniel Davis</v>
      </c>
      <c r="D296" s="2" t="s">
        <v>74</v>
      </c>
      <c r="E296" s="2" t="str">
        <f t="shared" si="12"/>
        <v>mike@company.com</v>
      </c>
      <c r="F296" s="2" t="s">
        <v>69</v>
      </c>
      <c r="G296" s="3">
        <v>44842</v>
      </c>
      <c r="H296" s="3" t="str">
        <f t="shared" si="13"/>
        <v>08-Oct-2022</v>
      </c>
      <c r="I296" s="10" t="s">
        <v>1039</v>
      </c>
      <c r="J296" s="10">
        <f t="shared" si="14"/>
        <v>88766</v>
      </c>
      <c r="K296" s="11" t="s">
        <v>17</v>
      </c>
      <c r="L296" s="2" t="s">
        <v>112</v>
      </c>
      <c r="M296" s="2" t="str">
        <f t="shared" si="15"/>
        <v>On Leave</v>
      </c>
      <c r="O296" s="2" t="str">
        <f t="shared" si="16"/>
        <v>No Notes</v>
      </c>
      <c r="P296" s="2" t="s">
        <v>1040</v>
      </c>
      <c r="Q296" s="2" t="str">
        <f t="shared" si="17"/>
        <v>NR</v>
      </c>
      <c r="R296" s="2" t="e">
        <f t="array" aca="1" ref="R296" ca="1">_xludf.IFS(Q296="ET", "East", Q296="WT", "West", Q296="ST","South", Q296="NR", "North")</f>
        <v>#NAME?</v>
      </c>
      <c r="S296" s="2" t="s">
        <v>53</v>
      </c>
      <c r="T296" s="2" t="str">
        <f t="shared" si="18"/>
        <v>Delhi</v>
      </c>
      <c r="U296" s="12" t="s">
        <v>30</v>
      </c>
      <c r="V296" s="12">
        <f t="shared" si="19"/>
        <v>0.1</v>
      </c>
      <c r="W296" s="13">
        <f t="shared" si="20"/>
        <v>97642.6</v>
      </c>
      <c r="X296" s="2" t="str">
        <f t="shared" si="21"/>
        <v>Normal</v>
      </c>
    </row>
    <row r="297" spans="1:24" ht="14.25" customHeight="1" x14ac:dyDescent="0.5">
      <c r="A297" s="2" t="s">
        <v>1041</v>
      </c>
      <c r="B297" s="2" t="s">
        <v>418</v>
      </c>
      <c r="C297" s="2" t="str">
        <f t="shared" si="11"/>
        <v>Emily Taylor</v>
      </c>
      <c r="D297" s="2" t="s">
        <v>93</v>
      </c>
      <c r="E297" s="2" t="str">
        <f t="shared" si="12"/>
        <v>k@ie@company.com</v>
      </c>
      <c r="F297" s="2" t="s">
        <v>75</v>
      </c>
      <c r="G297" s="3">
        <v>44228</v>
      </c>
      <c r="H297" s="3" t="str">
        <f t="shared" si="13"/>
        <v>01-Feb-2021</v>
      </c>
      <c r="I297" s="10" t="s">
        <v>1042</v>
      </c>
      <c r="J297" s="10">
        <f t="shared" si="14"/>
        <v>86154</v>
      </c>
      <c r="K297" s="11" t="s">
        <v>44</v>
      </c>
      <c r="L297" s="2" t="s">
        <v>45</v>
      </c>
      <c r="M297" s="2" t="str">
        <f t="shared" si="15"/>
        <v>Active</v>
      </c>
      <c r="N297" s="2" t="s">
        <v>65</v>
      </c>
      <c r="O297" s="2" t="str">
        <f t="shared" si="16"/>
        <v>Follow Up</v>
      </c>
      <c r="P297" s="2" t="s">
        <v>1043</v>
      </c>
      <c r="Q297" s="2" t="str">
        <f t="shared" si="17"/>
        <v>NR</v>
      </c>
      <c r="R297" s="2" t="e">
        <f t="array" aca="1" ref="R297" ca="1">_xludf.IFS(Q297="ET", "East", Q297="WT", "West", Q297="ST","South", Q297="NR", "North")</f>
        <v>#NAME?</v>
      </c>
      <c r="S297" s="2" t="s">
        <v>159</v>
      </c>
      <c r="T297" s="2" t="str">
        <f t="shared" si="18"/>
        <v>Berlin</v>
      </c>
      <c r="U297" s="12" t="s">
        <v>30</v>
      </c>
      <c r="V297" s="12">
        <f t="shared" si="19"/>
        <v>0.1</v>
      </c>
      <c r="W297" s="13">
        <f t="shared" si="20"/>
        <v>94769.400000000009</v>
      </c>
      <c r="X297" s="2" t="str">
        <f t="shared" si="21"/>
        <v>Normal</v>
      </c>
    </row>
    <row r="298" spans="1:24" ht="14.25" customHeight="1" x14ac:dyDescent="0.5">
      <c r="A298" s="2" t="s">
        <v>1044</v>
      </c>
      <c r="B298" s="2" t="s">
        <v>492</v>
      </c>
      <c r="C298" s="2" t="str">
        <f t="shared" si="11"/>
        <v>Sam Brown</v>
      </c>
      <c r="D298" s="2" t="s">
        <v>74</v>
      </c>
      <c r="E298" s="2" t="str">
        <f t="shared" si="12"/>
        <v>mike@company.com</v>
      </c>
      <c r="F298" s="2" t="s">
        <v>50</v>
      </c>
      <c r="G298" s="3">
        <v>44974</v>
      </c>
      <c r="H298" s="3" t="str">
        <f t="shared" si="13"/>
        <v>17-Feb-2023</v>
      </c>
      <c r="I298" s="10" t="s">
        <v>1045</v>
      </c>
      <c r="J298" s="10">
        <f t="shared" si="14"/>
        <v>47016</v>
      </c>
      <c r="K298" s="11" t="s">
        <v>83</v>
      </c>
      <c r="L298" s="2" t="s">
        <v>18</v>
      </c>
      <c r="M298" s="2" t="str">
        <f t="shared" si="15"/>
        <v>Active</v>
      </c>
      <c r="N298" s="2" t="s">
        <v>28</v>
      </c>
      <c r="O298" s="2" t="str">
        <f t="shared" si="16"/>
        <v>Pending Docs</v>
      </c>
      <c r="P298" s="2" t="s">
        <v>1046</v>
      </c>
      <c r="Q298" s="2" t="str">
        <f t="shared" si="17"/>
        <v>WT</v>
      </c>
      <c r="R298" s="2" t="e">
        <f t="array" aca="1" ref="R298" ca="1">_xludf.IFS(Q298="ET", "East", Q298="WT", "West", Q298="ST","South", Q298="NR", "North")</f>
        <v>#NAME?</v>
      </c>
      <c r="S298" s="2" t="s">
        <v>47</v>
      </c>
      <c r="T298" s="2" t="str">
        <f t="shared" si="18"/>
        <v>Lagos</v>
      </c>
      <c r="U298" s="12" t="s">
        <v>30</v>
      </c>
      <c r="V298" s="12">
        <f t="shared" si="19"/>
        <v>0.1</v>
      </c>
      <c r="W298" s="13">
        <f t="shared" si="20"/>
        <v>51717.600000000006</v>
      </c>
      <c r="X298" s="2" t="str">
        <f t="shared" si="21"/>
        <v>Normal</v>
      </c>
    </row>
    <row r="299" spans="1:24" ht="14.25" customHeight="1" x14ac:dyDescent="0.5">
      <c r="A299" s="2" t="s">
        <v>1047</v>
      </c>
      <c r="B299" s="2" t="s">
        <v>336</v>
      </c>
      <c r="C299" s="2" t="str">
        <f t="shared" si="11"/>
        <v>Alex Clark</v>
      </c>
      <c r="D299" s="2" t="s">
        <v>74</v>
      </c>
      <c r="E299" s="2" t="str">
        <f t="shared" si="12"/>
        <v>mike@company.com</v>
      </c>
      <c r="F299" s="2" t="s">
        <v>15</v>
      </c>
      <c r="G299" s="3">
        <v>44764</v>
      </c>
      <c r="H299" s="3" t="str">
        <f t="shared" si="13"/>
        <v>22-Jul-2022</v>
      </c>
      <c r="I299" s="10" t="s">
        <v>1048</v>
      </c>
      <c r="J299" s="10">
        <f t="shared" si="14"/>
        <v>119563</v>
      </c>
      <c r="K299" s="11" t="s">
        <v>36</v>
      </c>
      <c r="L299" s="2" t="s">
        <v>64</v>
      </c>
      <c r="M299" s="2" t="str">
        <f t="shared" si="15"/>
        <v>Terminated</v>
      </c>
      <c r="N299" s="2" t="s">
        <v>107</v>
      </c>
      <c r="O299" s="2" t="str">
        <f t="shared" si="16"/>
        <v>All Clear</v>
      </c>
      <c r="P299" s="2" t="s">
        <v>1049</v>
      </c>
      <c r="Q299" s="2" t="str">
        <f t="shared" si="17"/>
        <v>ET</v>
      </c>
      <c r="R299" s="2" t="e">
        <f t="array" aca="1" ref="R299" ca="1">_xludf.IFS(Q299="ET", "East", Q299="WT", "West", Q299="ST","South", Q299="NR", "North")</f>
        <v>#NAME?</v>
      </c>
      <c r="S299" s="2" t="s">
        <v>21</v>
      </c>
      <c r="T299" s="2" t="str">
        <f t="shared" si="18"/>
        <v>Sao Paulo</v>
      </c>
      <c r="U299" s="12" t="s">
        <v>22</v>
      </c>
      <c r="V299" s="12">
        <f t="shared" si="19"/>
        <v>0.2</v>
      </c>
      <c r="W299" s="13">
        <f t="shared" si="20"/>
        <v>143475.6</v>
      </c>
      <c r="X299" s="2" t="str">
        <f t="shared" si="21"/>
        <v>High</v>
      </c>
    </row>
    <row r="300" spans="1:24" ht="14.25" customHeight="1" x14ac:dyDescent="0.5">
      <c r="A300" s="2" t="s">
        <v>1050</v>
      </c>
      <c r="B300" s="2" t="s">
        <v>646</v>
      </c>
      <c r="C300" s="2" t="str">
        <f t="shared" si="11"/>
        <v>Jane Clark</v>
      </c>
      <c r="D300" s="2" t="s">
        <v>125</v>
      </c>
      <c r="E300" s="2" t="str">
        <f t="shared" si="12"/>
        <v>sarah@company.com</v>
      </c>
      <c r="F300" s="2" t="s">
        <v>69</v>
      </c>
      <c r="G300" s="3">
        <v>45291</v>
      </c>
      <c r="H300" s="3" t="str">
        <f t="shared" si="13"/>
        <v>31-Dec-2023</v>
      </c>
      <c r="I300" s="10" t="s">
        <v>1051</v>
      </c>
      <c r="J300" s="10">
        <f t="shared" si="14"/>
        <v>88688</v>
      </c>
      <c r="K300" s="11" t="s">
        <v>44</v>
      </c>
      <c r="L300" s="2" t="s">
        <v>27</v>
      </c>
      <c r="M300" s="2" t="str">
        <f t="shared" si="15"/>
        <v>On Leave</v>
      </c>
      <c r="N300" s="2" t="s">
        <v>107</v>
      </c>
      <c r="O300" s="2" t="str">
        <f t="shared" si="16"/>
        <v>All Clear</v>
      </c>
      <c r="P300" s="2" t="s">
        <v>1052</v>
      </c>
      <c r="Q300" s="2" t="str">
        <f t="shared" si="17"/>
        <v>WT</v>
      </c>
      <c r="R300" s="2" t="e">
        <f t="array" aca="1" ref="R300" ca="1">_xludf.IFS(Q300="ET", "East", Q300="WT", "West", Q300="ST","South", Q300="NR", "North")</f>
        <v>#NAME?</v>
      </c>
      <c r="S300" s="2" t="s">
        <v>96</v>
      </c>
      <c r="T300" s="2" t="str">
        <f t="shared" si="18"/>
        <v>Cairo</v>
      </c>
      <c r="U300" s="12" t="s">
        <v>22</v>
      </c>
      <c r="V300" s="12">
        <f t="shared" si="19"/>
        <v>0.2</v>
      </c>
      <c r="W300" s="13">
        <f t="shared" si="20"/>
        <v>106425.59999999999</v>
      </c>
      <c r="X300" s="2" t="str">
        <f t="shared" si="21"/>
        <v>High</v>
      </c>
    </row>
    <row r="301" spans="1:24" ht="14.25" customHeight="1" x14ac:dyDescent="0.5">
      <c r="A301" s="2" t="s">
        <v>1053</v>
      </c>
      <c r="B301" s="2" t="s">
        <v>329</v>
      </c>
      <c r="C301" s="2" t="str">
        <f t="shared" si="11"/>
        <v>John Smith</v>
      </c>
      <c r="D301" s="2" t="s">
        <v>14</v>
      </c>
      <c r="E301" s="2" t="str">
        <f t="shared" si="12"/>
        <v>john@company.com</v>
      </c>
      <c r="F301" s="2" t="s">
        <v>42</v>
      </c>
      <c r="G301" s="3">
        <v>44506</v>
      </c>
      <c r="H301" s="3" t="str">
        <f t="shared" si="13"/>
        <v>06-Nov-2021</v>
      </c>
      <c r="I301" s="10" t="s">
        <v>1054</v>
      </c>
      <c r="J301" s="10">
        <f t="shared" si="14"/>
        <v>94238</v>
      </c>
      <c r="K301" s="11" t="s">
        <v>17</v>
      </c>
      <c r="L301" s="2" t="s">
        <v>89</v>
      </c>
      <c r="M301" s="2" t="str">
        <f t="shared" si="15"/>
        <v>Active</v>
      </c>
      <c r="N301" s="2" t="s">
        <v>107</v>
      </c>
      <c r="O301" s="2" t="str">
        <f t="shared" si="16"/>
        <v>All Clear</v>
      </c>
      <c r="P301" s="2" t="s">
        <v>1055</v>
      </c>
      <c r="Q301" s="2" t="str">
        <f t="shared" si="17"/>
        <v>ET</v>
      </c>
      <c r="R301" s="2" t="e">
        <f t="array" aca="1" ref="R301" ca="1">_xludf.IFS(Q301="ET", "East", Q301="WT", "West", Q301="ST","South", Q301="NR", "North")</f>
        <v>#NAME?</v>
      </c>
      <c r="S301" s="2" t="s">
        <v>21</v>
      </c>
      <c r="T301" s="2" t="str">
        <f t="shared" si="18"/>
        <v>Sao Paulo</v>
      </c>
      <c r="U301" s="12" t="s">
        <v>22</v>
      </c>
      <c r="V301" s="12">
        <f t="shared" si="19"/>
        <v>0.2</v>
      </c>
      <c r="W301" s="13">
        <f t="shared" si="20"/>
        <v>113085.59999999999</v>
      </c>
      <c r="X301" s="2" t="str">
        <f t="shared" si="21"/>
        <v>High</v>
      </c>
    </row>
    <row r="302" spans="1:24" ht="14.25" customHeight="1" x14ac:dyDescent="0.5">
      <c r="A302" s="2" t="s">
        <v>1056</v>
      </c>
      <c r="B302" s="2" t="s">
        <v>580</v>
      </c>
      <c r="C302" s="2" t="str">
        <f t="shared" si="11"/>
        <v>Emily Miller</v>
      </c>
      <c r="D302" s="2" t="s">
        <v>125</v>
      </c>
      <c r="E302" s="2" t="str">
        <f t="shared" si="12"/>
        <v>sarah@company.com</v>
      </c>
      <c r="F302" s="2" t="s">
        <v>34</v>
      </c>
      <c r="G302" s="3">
        <v>44766</v>
      </c>
      <c r="H302" s="3" t="str">
        <f t="shared" si="13"/>
        <v>24-Jul-2022</v>
      </c>
      <c r="I302" s="10" t="s">
        <v>1057</v>
      </c>
      <c r="J302" s="10">
        <f t="shared" si="14"/>
        <v>98608</v>
      </c>
      <c r="K302" s="11" t="s">
        <v>44</v>
      </c>
      <c r="L302" s="2" t="s">
        <v>27</v>
      </c>
      <c r="M302" s="2" t="str">
        <f t="shared" si="15"/>
        <v>On Leave</v>
      </c>
      <c r="N302" s="2" t="s">
        <v>19</v>
      </c>
      <c r="O302" s="2" t="str">
        <f t="shared" si="16"/>
        <v>Urgent Review</v>
      </c>
      <c r="P302" s="2" t="s">
        <v>1058</v>
      </c>
      <c r="Q302" s="2" t="str">
        <f t="shared" si="17"/>
        <v>ET</v>
      </c>
      <c r="R302" s="2" t="e">
        <f t="array" aca="1" ref="R302" ca="1">_xludf.IFS(Q302="ET", "East", Q302="WT", "West", Q302="ST","South", Q302="NR", "North")</f>
        <v>#NAME?</v>
      </c>
      <c r="S302" s="2" t="s">
        <v>96</v>
      </c>
      <c r="T302" s="2" t="str">
        <f t="shared" si="18"/>
        <v>Cairo</v>
      </c>
      <c r="U302" s="12" t="s">
        <v>22</v>
      </c>
      <c r="V302" s="12">
        <f t="shared" si="19"/>
        <v>0.2</v>
      </c>
      <c r="W302" s="13">
        <f t="shared" si="20"/>
        <v>118329.59999999999</v>
      </c>
      <c r="X302" s="2" t="str">
        <f t="shared" si="21"/>
        <v>High</v>
      </c>
    </row>
    <row r="303" spans="1:24" ht="14.25" customHeight="1" x14ac:dyDescent="0.5">
      <c r="A303" s="2" t="s">
        <v>1059</v>
      </c>
      <c r="B303" s="2" t="s">
        <v>264</v>
      </c>
      <c r="C303" s="2" t="str">
        <f t="shared" si="11"/>
        <v>Daniel Brown</v>
      </c>
      <c r="D303" s="2" t="s">
        <v>74</v>
      </c>
      <c r="E303" s="2" t="str">
        <f t="shared" si="12"/>
        <v>mike@company.com</v>
      </c>
      <c r="F303" s="2" t="s">
        <v>75</v>
      </c>
      <c r="G303" s="3">
        <v>44295</v>
      </c>
      <c r="H303" s="3" t="str">
        <f t="shared" si="13"/>
        <v>09-Apr-2021</v>
      </c>
      <c r="I303" s="10" t="s">
        <v>1060</v>
      </c>
      <c r="J303" s="10">
        <f t="shared" si="14"/>
        <v>71897</v>
      </c>
      <c r="K303" s="11" t="s">
        <v>44</v>
      </c>
      <c r="L303" s="2" t="s">
        <v>27</v>
      </c>
      <c r="M303" s="2" t="str">
        <f t="shared" si="15"/>
        <v>On Leave</v>
      </c>
      <c r="O303" s="2" t="str">
        <f t="shared" si="16"/>
        <v>No Notes</v>
      </c>
      <c r="P303" s="2" t="s">
        <v>1061</v>
      </c>
      <c r="Q303" s="2" t="str">
        <f t="shared" si="17"/>
        <v>ET</v>
      </c>
      <c r="R303" s="2" t="e">
        <f t="array" aca="1" ref="R303" ca="1">_xludf.IFS(Q303="ET", "East", Q303="WT", "West", Q303="ST","South", Q303="NR", "North")</f>
        <v>#NAME?</v>
      </c>
      <c r="S303" s="2" t="s">
        <v>38</v>
      </c>
      <c r="T303" s="2" t="str">
        <f t="shared" si="18"/>
        <v>London</v>
      </c>
      <c r="U303" s="12" t="s">
        <v>85</v>
      </c>
      <c r="V303" s="12">
        <f t="shared" si="19"/>
        <v>0.15</v>
      </c>
      <c r="W303" s="13">
        <f t="shared" si="20"/>
        <v>82681.549999999988</v>
      </c>
      <c r="X303" s="2" t="str">
        <f t="shared" si="21"/>
        <v>Normal</v>
      </c>
    </row>
    <row r="304" spans="1:24" ht="14.25" customHeight="1" x14ac:dyDescent="0.5">
      <c r="A304" s="2" t="s">
        <v>1062</v>
      </c>
      <c r="B304" s="2" t="s">
        <v>191</v>
      </c>
      <c r="C304" s="2" t="str">
        <f t="shared" si="11"/>
        <v>Sarah Clark</v>
      </c>
      <c r="D304" s="2" t="s">
        <v>49</v>
      </c>
      <c r="E304" s="2" t="str">
        <f t="shared" si="12"/>
        <v>emily@company.com</v>
      </c>
      <c r="F304" s="2" t="s">
        <v>50</v>
      </c>
      <c r="G304" s="3">
        <v>44116</v>
      </c>
      <c r="H304" s="3" t="str">
        <f t="shared" si="13"/>
        <v>12-Oct-2020</v>
      </c>
      <c r="I304" s="10" t="s">
        <v>1063</v>
      </c>
      <c r="J304" s="10">
        <f t="shared" si="14"/>
        <v>90961</v>
      </c>
      <c r="K304" s="11" t="s">
        <v>17</v>
      </c>
      <c r="L304" s="2" t="s">
        <v>27</v>
      </c>
      <c r="M304" s="2" t="str">
        <f t="shared" si="15"/>
        <v>On Leave</v>
      </c>
      <c r="N304" s="2" t="s">
        <v>28</v>
      </c>
      <c r="O304" s="2" t="str">
        <f t="shared" si="16"/>
        <v>Pending Docs</v>
      </c>
      <c r="P304" s="2" t="s">
        <v>1064</v>
      </c>
      <c r="Q304" s="2" t="str">
        <f t="shared" si="17"/>
        <v>ST</v>
      </c>
      <c r="R304" s="2" t="e">
        <f t="array" aca="1" ref="R304" ca="1">_xludf.IFS(Q304="ET", "East", Q304="WT", "West", Q304="ST","South", Q304="NR", "North")</f>
        <v>#NAME?</v>
      </c>
      <c r="S304" s="2" t="s">
        <v>60</v>
      </c>
      <c r="T304" s="2" t="str">
        <f t="shared" si="18"/>
        <v>Toronto</v>
      </c>
      <c r="U304" s="12" t="s">
        <v>39</v>
      </c>
      <c r="V304" s="12">
        <f t="shared" si="19"/>
        <v>0.05</v>
      </c>
      <c r="W304" s="13">
        <f t="shared" si="20"/>
        <v>95509.05</v>
      </c>
      <c r="X304" s="2" t="str">
        <f t="shared" si="21"/>
        <v>Normal</v>
      </c>
    </row>
    <row r="305" spans="1:24" ht="14.25" customHeight="1" x14ac:dyDescent="0.5">
      <c r="A305" s="2" t="s">
        <v>1065</v>
      </c>
      <c r="B305" s="2" t="s">
        <v>353</v>
      </c>
      <c r="C305" s="2" t="str">
        <f t="shared" si="11"/>
        <v>Mike Moore</v>
      </c>
      <c r="D305" s="2" t="s">
        <v>99</v>
      </c>
      <c r="E305" s="2" t="str">
        <f t="shared" si="12"/>
        <v>daniel@company.com</v>
      </c>
      <c r="F305" s="2" t="s">
        <v>75</v>
      </c>
      <c r="G305" s="3">
        <v>44095</v>
      </c>
      <c r="H305" s="3" t="str">
        <f t="shared" si="13"/>
        <v>21-Sep-2020</v>
      </c>
      <c r="I305" s="10" t="s">
        <v>1066</v>
      </c>
      <c r="J305" s="10">
        <f t="shared" si="14"/>
        <v>108703</v>
      </c>
      <c r="K305" s="11" t="s">
        <v>57</v>
      </c>
      <c r="L305" s="2" t="s">
        <v>89</v>
      </c>
      <c r="M305" s="2" t="str">
        <f t="shared" si="15"/>
        <v>Active</v>
      </c>
      <c r="N305" s="2" t="s">
        <v>19</v>
      </c>
      <c r="O305" s="2" t="str">
        <f t="shared" si="16"/>
        <v>Urgent Review</v>
      </c>
      <c r="P305" s="2" t="s">
        <v>1067</v>
      </c>
      <c r="Q305" s="2" t="str">
        <f t="shared" si="17"/>
        <v>WT</v>
      </c>
      <c r="R305" s="2" t="e">
        <f t="array" aca="1" ref="R305" ca="1">_xludf.IFS(Q305="ET", "East", Q305="WT", "West", Q305="ST","South", Q305="NR", "North")</f>
        <v>#NAME?</v>
      </c>
      <c r="S305" s="2" t="s">
        <v>96</v>
      </c>
      <c r="T305" s="2" t="str">
        <f t="shared" si="18"/>
        <v>Cairo</v>
      </c>
      <c r="U305" s="12" t="s">
        <v>22</v>
      </c>
      <c r="V305" s="12">
        <f t="shared" si="19"/>
        <v>0.2</v>
      </c>
      <c r="W305" s="13">
        <f t="shared" si="20"/>
        <v>130443.59999999999</v>
      </c>
      <c r="X305" s="2" t="str">
        <f t="shared" si="21"/>
        <v>High</v>
      </c>
    </row>
    <row r="306" spans="1:24" ht="14.25" customHeight="1" x14ac:dyDescent="0.5">
      <c r="A306" s="2" t="s">
        <v>1068</v>
      </c>
      <c r="B306" s="2" t="s">
        <v>343</v>
      </c>
      <c r="C306" s="2" t="str">
        <f t="shared" si="11"/>
        <v>Daniel Moore</v>
      </c>
      <c r="D306" s="2" t="s">
        <v>74</v>
      </c>
      <c r="E306" s="2" t="str">
        <f t="shared" si="12"/>
        <v>mike@company.com</v>
      </c>
      <c r="F306" s="2" t="s">
        <v>42</v>
      </c>
      <c r="G306" s="3">
        <v>44150</v>
      </c>
      <c r="H306" s="3" t="str">
        <f t="shared" si="13"/>
        <v>15-Nov-2020</v>
      </c>
      <c r="I306" s="10" t="s">
        <v>1069</v>
      </c>
      <c r="J306" s="10">
        <f t="shared" si="14"/>
        <v>84757</v>
      </c>
      <c r="K306" s="11" t="s">
        <v>57</v>
      </c>
      <c r="L306" s="2" t="s">
        <v>112</v>
      </c>
      <c r="M306" s="2" t="str">
        <f t="shared" si="15"/>
        <v>On Leave</v>
      </c>
      <c r="O306" s="2" t="str">
        <f t="shared" si="16"/>
        <v>No Notes</v>
      </c>
      <c r="P306" s="2" t="s">
        <v>1070</v>
      </c>
      <c r="Q306" s="2" t="str">
        <f t="shared" si="17"/>
        <v>ET</v>
      </c>
      <c r="R306" s="2" t="e">
        <f t="array" aca="1" ref="R306" ca="1">_xludf.IFS(Q306="ET", "East", Q306="WT", "West", Q306="ST","South", Q306="NR", "North")</f>
        <v>#NAME?</v>
      </c>
      <c r="S306" s="2" t="s">
        <v>60</v>
      </c>
      <c r="T306" s="2" t="str">
        <f t="shared" si="18"/>
        <v>Toronto</v>
      </c>
      <c r="U306" s="12" t="s">
        <v>85</v>
      </c>
      <c r="V306" s="12">
        <f t="shared" si="19"/>
        <v>0.15</v>
      </c>
      <c r="W306" s="13">
        <f t="shared" si="20"/>
        <v>97470.549999999988</v>
      </c>
      <c r="X306" s="2" t="str">
        <f t="shared" si="21"/>
        <v>Normal</v>
      </c>
    </row>
    <row r="307" spans="1:24" ht="14.25" customHeight="1" x14ac:dyDescent="0.5">
      <c r="A307" s="2" t="s">
        <v>1071</v>
      </c>
      <c r="B307" s="2" t="s">
        <v>588</v>
      </c>
      <c r="C307" s="2" t="str">
        <f t="shared" si="11"/>
        <v>Emily Moore</v>
      </c>
      <c r="D307" s="2" t="s">
        <v>125</v>
      </c>
      <c r="E307" s="2" t="str">
        <f t="shared" si="12"/>
        <v>sarah@company.com</v>
      </c>
      <c r="F307" s="2" t="s">
        <v>50</v>
      </c>
      <c r="G307" s="3">
        <v>44503</v>
      </c>
      <c r="H307" s="3" t="str">
        <f t="shared" si="13"/>
        <v>03-Nov-2021</v>
      </c>
      <c r="I307" s="10" t="s">
        <v>1072</v>
      </c>
      <c r="J307" s="10">
        <f t="shared" si="14"/>
        <v>66917</v>
      </c>
      <c r="K307" s="11" t="s">
        <v>83</v>
      </c>
      <c r="L307" s="2" t="s">
        <v>27</v>
      </c>
      <c r="M307" s="2" t="str">
        <f t="shared" si="15"/>
        <v>On Leave</v>
      </c>
      <c r="O307" s="2" t="str">
        <f t="shared" si="16"/>
        <v>No Notes</v>
      </c>
      <c r="P307" s="2" t="s">
        <v>1073</v>
      </c>
      <c r="Q307" s="2" t="str">
        <f t="shared" si="17"/>
        <v>NR</v>
      </c>
      <c r="R307" s="2" t="e">
        <f t="array" aca="1" ref="R307" ca="1">_xludf.IFS(Q307="ET", "East", Q307="WT", "West", Q307="ST","South", Q307="NR", "North")</f>
        <v>#NAME?</v>
      </c>
      <c r="S307" s="2" t="s">
        <v>21</v>
      </c>
      <c r="T307" s="2" t="str">
        <f t="shared" si="18"/>
        <v>Sao Paulo</v>
      </c>
      <c r="U307" s="12" t="s">
        <v>39</v>
      </c>
      <c r="V307" s="12">
        <f t="shared" si="19"/>
        <v>0.05</v>
      </c>
      <c r="W307" s="13">
        <f t="shared" si="20"/>
        <v>70262.850000000006</v>
      </c>
      <c r="X307" s="2" t="str">
        <f t="shared" si="21"/>
        <v>Normal</v>
      </c>
    </row>
    <row r="308" spans="1:24" ht="14.25" customHeight="1" x14ac:dyDescent="0.5">
      <c r="A308" s="2" t="s">
        <v>1074</v>
      </c>
      <c r="B308" s="2" t="s">
        <v>367</v>
      </c>
      <c r="C308" s="2" t="str">
        <f t="shared" si="11"/>
        <v>Mike Taylor</v>
      </c>
      <c r="D308" s="2" t="s">
        <v>49</v>
      </c>
      <c r="E308" s="2" t="str">
        <f t="shared" si="12"/>
        <v>emily@company.com</v>
      </c>
      <c r="F308" s="2" t="s">
        <v>75</v>
      </c>
      <c r="G308" s="3">
        <v>45230</v>
      </c>
      <c r="H308" s="3" t="str">
        <f t="shared" si="13"/>
        <v>31-Oct-2023</v>
      </c>
      <c r="I308" s="10" t="s">
        <v>1075</v>
      </c>
      <c r="J308" s="10">
        <f t="shared" si="14"/>
        <v>62736</v>
      </c>
      <c r="K308" s="11" t="s">
        <v>83</v>
      </c>
      <c r="L308" s="2" t="s">
        <v>89</v>
      </c>
      <c r="M308" s="2" t="str">
        <f t="shared" si="15"/>
        <v>Active</v>
      </c>
      <c r="N308" s="2" t="s">
        <v>77</v>
      </c>
      <c r="O308" s="2" t="str">
        <f t="shared" si="16"/>
        <v>All Clear</v>
      </c>
      <c r="P308" s="2" t="s">
        <v>1076</v>
      </c>
      <c r="Q308" s="2" t="str">
        <f t="shared" si="17"/>
        <v>ST</v>
      </c>
      <c r="R308" s="2" t="e">
        <f t="array" aca="1" ref="R308" ca="1">_xludf.IFS(Q308="ET", "East", Q308="WT", "West", Q308="ST","South", Q308="NR", "North")</f>
        <v>#NAME?</v>
      </c>
      <c r="S308" s="2" t="s">
        <v>96</v>
      </c>
      <c r="T308" s="2" t="str">
        <f t="shared" si="18"/>
        <v>Cairo</v>
      </c>
      <c r="U308" s="12" t="s">
        <v>22</v>
      </c>
      <c r="V308" s="12">
        <f t="shared" si="19"/>
        <v>0.2</v>
      </c>
      <c r="W308" s="13">
        <f t="shared" si="20"/>
        <v>75283.199999999997</v>
      </c>
      <c r="X308" s="2" t="str">
        <f t="shared" si="21"/>
        <v>Normal</v>
      </c>
    </row>
    <row r="309" spans="1:24" ht="14.25" customHeight="1" x14ac:dyDescent="0.5">
      <c r="A309" s="2" t="s">
        <v>1077</v>
      </c>
      <c r="B309" s="2" t="s">
        <v>353</v>
      </c>
      <c r="C309" s="2" t="str">
        <f t="shared" si="11"/>
        <v>Mike Moore</v>
      </c>
      <c r="D309" s="2" t="s">
        <v>125</v>
      </c>
      <c r="E309" s="2" t="str">
        <f t="shared" si="12"/>
        <v>sarah@company.com</v>
      </c>
      <c r="F309" s="2" t="s">
        <v>100</v>
      </c>
      <c r="G309" s="3">
        <v>44650</v>
      </c>
      <c r="H309" s="3" t="str">
        <f t="shared" si="13"/>
        <v>30-Mar-2022</v>
      </c>
      <c r="I309" s="10" t="s">
        <v>1078</v>
      </c>
      <c r="J309" s="10">
        <f t="shared" si="14"/>
        <v>67990</v>
      </c>
      <c r="K309" s="11" t="s">
        <v>57</v>
      </c>
      <c r="L309" s="2" t="s">
        <v>89</v>
      </c>
      <c r="M309" s="2" t="str">
        <f t="shared" si="15"/>
        <v>Active</v>
      </c>
      <c r="N309" s="2" t="s">
        <v>77</v>
      </c>
      <c r="O309" s="2" t="str">
        <f t="shared" si="16"/>
        <v>All Clear</v>
      </c>
      <c r="P309" s="2" t="s">
        <v>1079</v>
      </c>
      <c r="Q309" s="2" t="str">
        <f t="shared" si="17"/>
        <v>WT</v>
      </c>
      <c r="R309" s="2" t="e">
        <f t="array" aca="1" ref="R309" ca="1">_xludf.IFS(Q309="ET", "East", Q309="WT", "West", Q309="ST","South", Q309="NR", "North")</f>
        <v>#NAME?</v>
      </c>
      <c r="S309" s="2" t="s">
        <v>38</v>
      </c>
      <c r="T309" s="2" t="str">
        <f t="shared" si="18"/>
        <v>London</v>
      </c>
      <c r="U309" s="12" t="s">
        <v>39</v>
      </c>
      <c r="V309" s="12">
        <f t="shared" si="19"/>
        <v>0.05</v>
      </c>
      <c r="W309" s="13">
        <f t="shared" si="20"/>
        <v>71389.5</v>
      </c>
      <c r="X309" s="2" t="str">
        <f t="shared" si="21"/>
        <v>Normal</v>
      </c>
    </row>
    <row r="310" spans="1:24" ht="14.25" customHeight="1" x14ac:dyDescent="0.5">
      <c r="A310" s="2" t="s">
        <v>1080</v>
      </c>
      <c r="B310" s="2" t="s">
        <v>852</v>
      </c>
      <c r="C310" s="2" t="str">
        <f t="shared" si="11"/>
        <v>Mike Johnson</v>
      </c>
      <c r="D310" s="2" t="s">
        <v>93</v>
      </c>
      <c r="E310" s="2" t="str">
        <f t="shared" si="12"/>
        <v>k@ie@company.com</v>
      </c>
      <c r="F310" s="2" t="s">
        <v>42</v>
      </c>
      <c r="G310" s="3">
        <v>43919</v>
      </c>
      <c r="H310" s="3" t="str">
        <f t="shared" si="13"/>
        <v>29-Mar-2020</v>
      </c>
      <c r="I310" s="10" t="s">
        <v>1081</v>
      </c>
      <c r="J310" s="10">
        <f t="shared" si="14"/>
        <v>102551</v>
      </c>
      <c r="K310" s="11" t="s">
        <v>36</v>
      </c>
      <c r="L310" s="2" t="s">
        <v>18</v>
      </c>
      <c r="M310" s="2" t="str">
        <f t="shared" si="15"/>
        <v>Active</v>
      </c>
      <c r="N310" s="2" t="s">
        <v>28</v>
      </c>
      <c r="O310" s="2" t="str">
        <f t="shared" si="16"/>
        <v>Pending Docs</v>
      </c>
      <c r="P310" s="2" t="s">
        <v>1082</v>
      </c>
      <c r="Q310" s="2" t="str">
        <f t="shared" si="17"/>
        <v>ET</v>
      </c>
      <c r="R310" s="2" t="e">
        <f t="array" aca="1" ref="R310" ca="1">_xludf.IFS(Q310="ET", "East", Q310="WT", "West", Q310="ST","South", Q310="NR", "North")</f>
        <v>#NAME?</v>
      </c>
      <c r="S310" s="2" t="s">
        <v>79</v>
      </c>
      <c r="T310" s="2" t="str">
        <f t="shared" si="18"/>
        <v>New York</v>
      </c>
      <c r="U310" s="12" t="s">
        <v>22</v>
      </c>
      <c r="V310" s="12">
        <f t="shared" si="19"/>
        <v>0.2</v>
      </c>
      <c r="W310" s="13">
        <f t="shared" si="20"/>
        <v>123061.2</v>
      </c>
      <c r="X310" s="2" t="str">
        <f t="shared" si="21"/>
        <v>High</v>
      </c>
    </row>
    <row r="311" spans="1:24" ht="14.25" customHeight="1" x14ac:dyDescent="0.5">
      <c r="A311" s="2" t="s">
        <v>1083</v>
      </c>
      <c r="B311" s="2" t="s">
        <v>870</v>
      </c>
      <c r="C311" s="2" t="str">
        <f t="shared" si="11"/>
        <v>Emily Clark</v>
      </c>
      <c r="D311" s="2" t="s">
        <v>105</v>
      </c>
      <c r="E311" s="2" t="str">
        <f t="shared" si="12"/>
        <v>sam@company.com</v>
      </c>
      <c r="F311" s="2" t="s">
        <v>42</v>
      </c>
      <c r="G311" s="3">
        <v>45057</v>
      </c>
      <c r="H311" s="3" t="str">
        <f t="shared" si="13"/>
        <v>11-May-2023</v>
      </c>
      <c r="I311" s="10" t="s">
        <v>1084</v>
      </c>
      <c r="J311" s="10">
        <f t="shared" si="14"/>
        <v>98161</v>
      </c>
      <c r="K311" s="11" t="s">
        <v>44</v>
      </c>
      <c r="L311" s="2" t="s">
        <v>89</v>
      </c>
      <c r="M311" s="2" t="str">
        <f t="shared" si="15"/>
        <v>Active</v>
      </c>
      <c r="N311" s="2" t="s">
        <v>28</v>
      </c>
      <c r="O311" s="2" t="str">
        <f t="shared" si="16"/>
        <v>Pending Docs</v>
      </c>
      <c r="P311" s="2" t="s">
        <v>1085</v>
      </c>
      <c r="Q311" s="2" t="str">
        <f t="shared" si="17"/>
        <v>NR</v>
      </c>
      <c r="R311" s="2" t="e">
        <f t="array" aca="1" ref="R311" ca="1">_xludf.IFS(Q311="ET", "East", Q311="WT", "West", Q311="ST","South", Q311="NR", "North")</f>
        <v>#NAME?</v>
      </c>
      <c r="S311" s="2" t="s">
        <v>38</v>
      </c>
      <c r="T311" s="2" t="str">
        <f t="shared" si="18"/>
        <v>London</v>
      </c>
      <c r="U311" s="12" t="s">
        <v>85</v>
      </c>
      <c r="V311" s="12">
        <f t="shared" si="19"/>
        <v>0.15</v>
      </c>
      <c r="W311" s="13">
        <f t="shared" si="20"/>
        <v>112885.15</v>
      </c>
      <c r="X311" s="2" t="str">
        <f t="shared" si="21"/>
        <v>High</v>
      </c>
    </row>
    <row r="312" spans="1:24" ht="14.25" customHeight="1" x14ac:dyDescent="0.5">
      <c r="A312" s="2" t="s">
        <v>1086</v>
      </c>
      <c r="B312" s="2" t="s">
        <v>177</v>
      </c>
      <c r="C312" s="2" t="str">
        <f t="shared" si="11"/>
        <v>Alex Miller</v>
      </c>
      <c r="D312" s="2" t="s">
        <v>25</v>
      </c>
      <c r="E312" s="2" t="str">
        <f t="shared" si="12"/>
        <v>chris@company.com</v>
      </c>
      <c r="F312" s="2" t="s">
        <v>42</v>
      </c>
      <c r="G312" s="3">
        <v>44651</v>
      </c>
      <c r="H312" s="3" t="str">
        <f t="shared" si="13"/>
        <v>31-Mar-2022</v>
      </c>
      <c r="I312" s="10" t="s">
        <v>1087</v>
      </c>
      <c r="J312" s="10">
        <f t="shared" si="14"/>
        <v>119623</v>
      </c>
      <c r="K312" s="11" t="s">
        <v>36</v>
      </c>
      <c r="L312" s="2" t="s">
        <v>112</v>
      </c>
      <c r="M312" s="2" t="str">
        <f t="shared" si="15"/>
        <v>On Leave</v>
      </c>
      <c r="N312" s="2" t="s">
        <v>28</v>
      </c>
      <c r="O312" s="2" t="str">
        <f t="shared" si="16"/>
        <v>Pending Docs</v>
      </c>
      <c r="P312" s="2" t="s">
        <v>1088</v>
      </c>
      <c r="Q312" s="2" t="str">
        <f t="shared" si="17"/>
        <v>WT</v>
      </c>
      <c r="R312" s="2" t="e">
        <f t="array" aca="1" ref="R312" ca="1">_xludf.IFS(Q312="ET", "East", Q312="WT", "West", Q312="ST","South", Q312="NR", "North")</f>
        <v>#NAME?</v>
      </c>
      <c r="S312" s="2" t="s">
        <v>38</v>
      </c>
      <c r="T312" s="2" t="str">
        <f t="shared" si="18"/>
        <v>London</v>
      </c>
      <c r="U312" s="12" t="s">
        <v>30</v>
      </c>
      <c r="V312" s="12">
        <f t="shared" si="19"/>
        <v>0.1</v>
      </c>
      <c r="W312" s="13">
        <f t="shared" si="20"/>
        <v>131585.30000000002</v>
      </c>
      <c r="X312" s="2" t="str">
        <f t="shared" si="21"/>
        <v>High</v>
      </c>
    </row>
    <row r="313" spans="1:24" ht="14.25" customHeight="1" x14ac:dyDescent="0.5">
      <c r="A313" s="2" t="s">
        <v>1089</v>
      </c>
      <c r="B313" s="2" t="s">
        <v>210</v>
      </c>
      <c r="C313" s="2" t="str">
        <f t="shared" si="11"/>
        <v>John Clark</v>
      </c>
      <c r="D313" s="2" t="s">
        <v>235</v>
      </c>
      <c r="E313" s="2" t="str">
        <f t="shared" si="12"/>
        <v>jane@company.com</v>
      </c>
      <c r="F313" s="2" t="s">
        <v>100</v>
      </c>
      <c r="G313" s="3">
        <v>44831</v>
      </c>
      <c r="H313" s="3" t="str">
        <f t="shared" si="13"/>
        <v>27-Sep-2022</v>
      </c>
      <c r="I313" s="10" t="s">
        <v>1090</v>
      </c>
      <c r="J313" s="10">
        <f t="shared" si="14"/>
        <v>62440</v>
      </c>
      <c r="K313" s="11" t="s">
        <v>44</v>
      </c>
      <c r="L313" s="2" t="s">
        <v>27</v>
      </c>
      <c r="M313" s="2" t="str">
        <f t="shared" si="15"/>
        <v>On Leave</v>
      </c>
      <c r="N313" s="2" t="s">
        <v>19</v>
      </c>
      <c r="O313" s="2" t="str">
        <f t="shared" si="16"/>
        <v>Urgent Review</v>
      </c>
      <c r="P313" s="2" t="s">
        <v>1091</v>
      </c>
      <c r="Q313" s="2" t="str">
        <f t="shared" si="17"/>
        <v>WT</v>
      </c>
      <c r="R313" s="2" t="e">
        <f t="array" aca="1" ref="R313" ca="1">_xludf.IFS(Q313="ET", "East", Q313="WT", "West", Q313="ST","South", Q313="NR", "North")</f>
        <v>#NAME?</v>
      </c>
      <c r="S313" s="2" t="s">
        <v>79</v>
      </c>
      <c r="T313" s="2" t="str">
        <f t="shared" si="18"/>
        <v>New York</v>
      </c>
      <c r="U313" s="12" t="s">
        <v>30</v>
      </c>
      <c r="V313" s="12">
        <f t="shared" si="19"/>
        <v>0.1</v>
      </c>
      <c r="W313" s="13">
        <f t="shared" si="20"/>
        <v>68684</v>
      </c>
      <c r="X313" s="2" t="str">
        <f t="shared" si="21"/>
        <v>Normal</v>
      </c>
    </row>
    <row r="314" spans="1:24" ht="14.25" customHeight="1" x14ac:dyDescent="0.5">
      <c r="A314" s="2" t="s">
        <v>1092</v>
      </c>
      <c r="B314" s="2" t="s">
        <v>275</v>
      </c>
      <c r="C314" s="2" t="str">
        <f t="shared" si="11"/>
        <v>John Davis</v>
      </c>
      <c r="D314" s="2" t="s">
        <v>125</v>
      </c>
      <c r="E314" s="2" t="str">
        <f t="shared" si="12"/>
        <v>sarah@company.com</v>
      </c>
      <c r="F314" s="2" t="s">
        <v>100</v>
      </c>
      <c r="G314" s="3">
        <v>44164</v>
      </c>
      <c r="H314" s="3" t="str">
        <f t="shared" si="13"/>
        <v>29-Nov-2020</v>
      </c>
      <c r="I314" s="10" t="s">
        <v>1093</v>
      </c>
      <c r="J314" s="10">
        <f t="shared" si="14"/>
        <v>75205</v>
      </c>
      <c r="K314" s="11" t="s">
        <v>57</v>
      </c>
      <c r="L314" s="2" t="s">
        <v>89</v>
      </c>
      <c r="M314" s="2" t="str">
        <f t="shared" si="15"/>
        <v>Active</v>
      </c>
      <c r="N314" s="2" t="s">
        <v>65</v>
      </c>
      <c r="O314" s="2" t="str">
        <f t="shared" si="16"/>
        <v>Follow Up</v>
      </c>
      <c r="P314" s="2" t="s">
        <v>1094</v>
      </c>
      <c r="Q314" s="2" t="str">
        <f t="shared" si="17"/>
        <v>ST</v>
      </c>
      <c r="R314" s="2" t="e">
        <f t="array" aca="1" ref="R314" ca="1">_xludf.IFS(Q314="ET", "East", Q314="WT", "West", Q314="ST","South", Q314="NR", "North")</f>
        <v>#NAME?</v>
      </c>
      <c r="S314" s="2" t="s">
        <v>79</v>
      </c>
      <c r="T314" s="2" t="str">
        <f t="shared" si="18"/>
        <v>New York</v>
      </c>
      <c r="U314" s="12" t="s">
        <v>39</v>
      </c>
      <c r="V314" s="12">
        <f t="shared" si="19"/>
        <v>0.05</v>
      </c>
      <c r="W314" s="13">
        <f t="shared" si="20"/>
        <v>78965.25</v>
      </c>
      <c r="X314" s="2" t="str">
        <f t="shared" si="21"/>
        <v>Normal</v>
      </c>
    </row>
    <row r="315" spans="1:24" ht="14.25" customHeight="1" x14ac:dyDescent="0.5">
      <c r="A315" s="2" t="s">
        <v>1095</v>
      </c>
      <c r="B315" s="2" t="s">
        <v>437</v>
      </c>
      <c r="C315" s="2" t="str">
        <f t="shared" si="11"/>
        <v>Alex Brown</v>
      </c>
      <c r="D315" s="2" t="s">
        <v>235</v>
      </c>
      <c r="E315" s="2" t="str">
        <f t="shared" si="12"/>
        <v>jane@company.com</v>
      </c>
      <c r="F315" s="2" t="s">
        <v>69</v>
      </c>
      <c r="G315" s="3">
        <v>44052</v>
      </c>
      <c r="H315" s="3" t="str">
        <f t="shared" si="13"/>
        <v>09-Aug-2020</v>
      </c>
      <c r="I315" s="10" t="s">
        <v>1096</v>
      </c>
      <c r="J315" s="10">
        <f t="shared" si="14"/>
        <v>95103</v>
      </c>
      <c r="K315" s="11" t="s">
        <v>83</v>
      </c>
      <c r="L315" s="2" t="s">
        <v>45</v>
      </c>
      <c r="M315" s="2" t="str">
        <f t="shared" si="15"/>
        <v>Active</v>
      </c>
      <c r="N315" s="2" t="s">
        <v>28</v>
      </c>
      <c r="O315" s="2" t="str">
        <f t="shared" si="16"/>
        <v>Pending Docs</v>
      </c>
      <c r="P315" s="2" t="s">
        <v>1097</v>
      </c>
      <c r="Q315" s="2" t="str">
        <f t="shared" si="17"/>
        <v>WT</v>
      </c>
      <c r="R315" s="2" t="e">
        <f t="array" aca="1" ref="R315" ca="1">_xludf.IFS(Q315="ET", "East", Q315="WT", "West", Q315="ST","South", Q315="NR", "North")</f>
        <v>#NAME?</v>
      </c>
      <c r="S315" s="2" t="s">
        <v>47</v>
      </c>
      <c r="T315" s="2" t="str">
        <f t="shared" si="18"/>
        <v>Lagos</v>
      </c>
      <c r="U315" s="12" t="s">
        <v>85</v>
      </c>
      <c r="V315" s="12">
        <f t="shared" si="19"/>
        <v>0.15</v>
      </c>
      <c r="W315" s="13">
        <f t="shared" si="20"/>
        <v>109368.45</v>
      </c>
      <c r="X315" s="2" t="str">
        <f t="shared" si="21"/>
        <v>High</v>
      </c>
    </row>
    <row r="316" spans="1:24" ht="14.25" customHeight="1" x14ac:dyDescent="0.5">
      <c r="A316" s="2" t="s">
        <v>1098</v>
      </c>
      <c r="B316" s="2" t="s">
        <v>81</v>
      </c>
      <c r="C316" s="2" t="str">
        <f t="shared" si="11"/>
        <v>Daniel Johnson</v>
      </c>
      <c r="D316" s="2" t="s">
        <v>33</v>
      </c>
      <c r="E316" s="2" t="str">
        <f t="shared" si="12"/>
        <v>alex@company.com</v>
      </c>
      <c r="F316" s="2" t="s">
        <v>15</v>
      </c>
      <c r="G316" s="3">
        <v>43871</v>
      </c>
      <c r="H316" s="3" t="str">
        <f t="shared" si="13"/>
        <v>10-Feb-2020</v>
      </c>
      <c r="I316" s="10" t="s">
        <v>1099</v>
      </c>
      <c r="J316" s="10">
        <f t="shared" si="14"/>
        <v>110812</v>
      </c>
      <c r="K316" s="11" t="s">
        <v>83</v>
      </c>
      <c r="L316" s="2" t="s">
        <v>89</v>
      </c>
      <c r="M316" s="2" t="str">
        <f t="shared" si="15"/>
        <v>Active</v>
      </c>
      <c r="N316" s="2" t="s">
        <v>77</v>
      </c>
      <c r="O316" s="2" t="str">
        <f t="shared" si="16"/>
        <v>All Clear</v>
      </c>
      <c r="P316" s="2" t="s">
        <v>1100</v>
      </c>
      <c r="Q316" s="2" t="str">
        <f t="shared" si="17"/>
        <v>ST</v>
      </c>
      <c r="R316" s="2" t="e">
        <f t="array" aca="1" ref="R316" ca="1">_xludf.IFS(Q316="ET", "East", Q316="WT", "West", Q316="ST","South", Q316="NR", "North")</f>
        <v>#NAME?</v>
      </c>
      <c r="S316" s="2" t="s">
        <v>96</v>
      </c>
      <c r="T316" s="2" t="str">
        <f t="shared" si="18"/>
        <v>Cairo</v>
      </c>
      <c r="U316" s="12" t="s">
        <v>30</v>
      </c>
      <c r="V316" s="12">
        <f t="shared" si="19"/>
        <v>0.1</v>
      </c>
      <c r="W316" s="13">
        <f t="shared" si="20"/>
        <v>121893.20000000001</v>
      </c>
      <c r="X316" s="2" t="str">
        <f t="shared" si="21"/>
        <v>High</v>
      </c>
    </row>
    <row r="317" spans="1:24" ht="14.25" customHeight="1" x14ac:dyDescent="0.5">
      <c r="A317" s="2" t="s">
        <v>1101</v>
      </c>
      <c r="B317" s="2" t="s">
        <v>762</v>
      </c>
      <c r="C317" s="2" t="str">
        <f t="shared" si="11"/>
        <v>Sam Davis</v>
      </c>
      <c r="D317" s="2" t="s">
        <v>125</v>
      </c>
      <c r="E317" s="2" t="str">
        <f t="shared" si="12"/>
        <v>sarah@company.com</v>
      </c>
      <c r="F317" s="2" t="s">
        <v>34</v>
      </c>
      <c r="G317" s="3">
        <v>43898</v>
      </c>
      <c r="H317" s="3" t="str">
        <f t="shared" si="13"/>
        <v>08-Mar-2020</v>
      </c>
      <c r="I317" s="10" t="s">
        <v>1102</v>
      </c>
      <c r="J317" s="10">
        <f t="shared" si="14"/>
        <v>81627</v>
      </c>
      <c r="K317" s="11" t="s">
        <v>36</v>
      </c>
      <c r="L317" s="2" t="s">
        <v>58</v>
      </c>
      <c r="M317" s="2" t="str">
        <f t="shared" si="15"/>
        <v>Terminated</v>
      </c>
      <c r="N317" s="2" t="s">
        <v>65</v>
      </c>
      <c r="O317" s="2" t="str">
        <f t="shared" si="16"/>
        <v>Follow Up</v>
      </c>
      <c r="P317" s="2" t="s">
        <v>1103</v>
      </c>
      <c r="Q317" s="2" t="str">
        <f t="shared" si="17"/>
        <v>ET</v>
      </c>
      <c r="R317" s="2" t="e">
        <f t="array" aca="1" ref="R317" ca="1">_xludf.IFS(Q317="ET", "East", Q317="WT", "West", Q317="ST","South", Q317="NR", "North")</f>
        <v>#NAME?</v>
      </c>
      <c r="S317" s="2" t="s">
        <v>21</v>
      </c>
      <c r="T317" s="2" t="str">
        <f t="shared" si="18"/>
        <v>Sao Paulo</v>
      </c>
      <c r="U317" s="12" t="s">
        <v>22</v>
      </c>
      <c r="V317" s="12">
        <f t="shared" si="19"/>
        <v>0.2</v>
      </c>
      <c r="W317" s="13">
        <f t="shared" si="20"/>
        <v>97952.4</v>
      </c>
      <c r="X317" s="2" t="str">
        <f t="shared" si="21"/>
        <v>Normal</v>
      </c>
    </row>
    <row r="318" spans="1:24" ht="14.25" customHeight="1" x14ac:dyDescent="0.5">
      <c r="A318" s="2" t="s">
        <v>1104</v>
      </c>
      <c r="B318" s="2" t="s">
        <v>137</v>
      </c>
      <c r="C318" s="2" t="str">
        <f t="shared" si="11"/>
        <v>Katie Johnson</v>
      </c>
      <c r="D318" s="2" t="s">
        <v>105</v>
      </c>
      <c r="E318" s="2" t="str">
        <f t="shared" si="12"/>
        <v>sam@company.com</v>
      </c>
      <c r="F318" s="2" t="s">
        <v>75</v>
      </c>
      <c r="G318" s="3">
        <v>44818</v>
      </c>
      <c r="H318" s="3" t="str">
        <f t="shared" si="13"/>
        <v>14-Sep-2022</v>
      </c>
      <c r="I318" s="10" t="s">
        <v>1105</v>
      </c>
      <c r="J318" s="10">
        <f t="shared" si="14"/>
        <v>59008</v>
      </c>
      <c r="K318" s="11" t="s">
        <v>83</v>
      </c>
      <c r="L318" s="2" t="s">
        <v>58</v>
      </c>
      <c r="M318" s="2" t="str">
        <f t="shared" si="15"/>
        <v>Terminated</v>
      </c>
      <c r="N318" s="2" t="s">
        <v>19</v>
      </c>
      <c r="O318" s="2" t="str">
        <f t="shared" si="16"/>
        <v>Urgent Review</v>
      </c>
      <c r="P318" s="2" t="s">
        <v>1106</v>
      </c>
      <c r="Q318" s="2" t="str">
        <f t="shared" si="17"/>
        <v>ST</v>
      </c>
      <c r="R318" s="2" t="e">
        <f t="array" aca="1" ref="R318" ca="1">_xludf.IFS(Q318="ET", "East", Q318="WT", "West", Q318="ST","South", Q318="NR", "North")</f>
        <v>#NAME?</v>
      </c>
      <c r="S318" s="2" t="s">
        <v>47</v>
      </c>
      <c r="T318" s="2" t="str">
        <f t="shared" si="18"/>
        <v>Lagos</v>
      </c>
      <c r="U318" s="12" t="s">
        <v>30</v>
      </c>
      <c r="V318" s="12">
        <f t="shared" si="19"/>
        <v>0.1</v>
      </c>
      <c r="W318" s="13">
        <f t="shared" si="20"/>
        <v>64908.800000000003</v>
      </c>
      <c r="X318" s="2" t="str">
        <f t="shared" si="21"/>
        <v>Normal</v>
      </c>
    </row>
    <row r="319" spans="1:24" ht="14.25" customHeight="1" x14ac:dyDescent="0.5">
      <c r="A319" s="2" t="s">
        <v>1107</v>
      </c>
      <c r="B319" s="2" t="s">
        <v>353</v>
      </c>
      <c r="C319" s="2" t="str">
        <f t="shared" si="11"/>
        <v>Mike Moore</v>
      </c>
      <c r="D319" s="2" t="s">
        <v>235</v>
      </c>
      <c r="E319" s="2" t="str">
        <f t="shared" si="12"/>
        <v>jane@company.com</v>
      </c>
      <c r="F319" s="2" t="s">
        <v>69</v>
      </c>
      <c r="G319" s="3">
        <v>44344</v>
      </c>
      <c r="H319" s="3" t="str">
        <f t="shared" si="13"/>
        <v>28-May-2021</v>
      </c>
      <c r="I319" s="10" t="s">
        <v>1108</v>
      </c>
      <c r="J319" s="10">
        <f t="shared" si="14"/>
        <v>111274</v>
      </c>
      <c r="K319" s="11" t="s">
        <v>57</v>
      </c>
      <c r="L319" s="2" t="s">
        <v>58</v>
      </c>
      <c r="M319" s="2" t="str">
        <f t="shared" si="15"/>
        <v>Terminated</v>
      </c>
      <c r="N319" s="2" t="s">
        <v>65</v>
      </c>
      <c r="O319" s="2" t="str">
        <f t="shared" si="16"/>
        <v>Follow Up</v>
      </c>
      <c r="P319" s="2" t="s">
        <v>1109</v>
      </c>
      <c r="Q319" s="2" t="str">
        <f t="shared" si="17"/>
        <v>NR</v>
      </c>
      <c r="R319" s="2" t="e">
        <f t="array" aca="1" ref="R319" ca="1">_xludf.IFS(Q319="ET", "East", Q319="WT", "West", Q319="ST","South", Q319="NR", "North")</f>
        <v>#NAME?</v>
      </c>
      <c r="S319" s="2" t="s">
        <v>79</v>
      </c>
      <c r="T319" s="2" t="str">
        <f t="shared" si="18"/>
        <v>New York</v>
      </c>
      <c r="U319" s="12" t="s">
        <v>39</v>
      </c>
      <c r="V319" s="12">
        <f t="shared" si="19"/>
        <v>0.05</v>
      </c>
      <c r="W319" s="13">
        <f t="shared" si="20"/>
        <v>116837.70000000001</v>
      </c>
      <c r="X319" s="2" t="str">
        <f t="shared" si="21"/>
        <v>High</v>
      </c>
    </row>
    <row r="320" spans="1:24" ht="14.25" customHeight="1" x14ac:dyDescent="0.5">
      <c r="A320" s="2" t="s">
        <v>1110</v>
      </c>
      <c r="B320" s="2" t="s">
        <v>198</v>
      </c>
      <c r="C320" s="2" t="str">
        <f t="shared" si="11"/>
        <v>Jane Davis</v>
      </c>
      <c r="D320" s="2" t="s">
        <v>74</v>
      </c>
      <c r="E320" s="2" t="str">
        <f t="shared" si="12"/>
        <v>mike@company.com</v>
      </c>
      <c r="F320" s="2" t="s">
        <v>75</v>
      </c>
      <c r="G320" s="3">
        <v>44981</v>
      </c>
      <c r="H320" s="3" t="str">
        <f t="shared" si="13"/>
        <v>24-Feb-2023</v>
      </c>
      <c r="I320" s="10" t="s">
        <v>1111</v>
      </c>
      <c r="J320" s="10">
        <f t="shared" si="14"/>
        <v>72402</v>
      </c>
      <c r="K320" s="11" t="s">
        <v>36</v>
      </c>
      <c r="L320" s="2" t="s">
        <v>89</v>
      </c>
      <c r="M320" s="2" t="str">
        <f t="shared" si="15"/>
        <v>Active</v>
      </c>
      <c r="N320" s="2" t="s">
        <v>107</v>
      </c>
      <c r="O320" s="2" t="str">
        <f t="shared" si="16"/>
        <v>All Clear</v>
      </c>
      <c r="P320" s="2" t="s">
        <v>1112</v>
      </c>
      <c r="Q320" s="2" t="str">
        <f t="shared" si="17"/>
        <v>ST</v>
      </c>
      <c r="R320" s="2" t="e">
        <f t="array" aca="1" ref="R320" ca="1">_xludf.IFS(Q320="ET", "East", Q320="WT", "West", Q320="ST","South", Q320="NR", "North")</f>
        <v>#NAME?</v>
      </c>
      <c r="S320" s="2" t="s">
        <v>60</v>
      </c>
      <c r="T320" s="2" t="str">
        <f t="shared" si="18"/>
        <v>Toronto</v>
      </c>
      <c r="U320" s="12" t="s">
        <v>39</v>
      </c>
      <c r="V320" s="12">
        <f t="shared" si="19"/>
        <v>0.05</v>
      </c>
      <c r="W320" s="13">
        <f t="shared" si="20"/>
        <v>76022.100000000006</v>
      </c>
      <c r="X320" s="2" t="str">
        <f t="shared" si="21"/>
        <v>Normal</v>
      </c>
    </row>
    <row r="321" spans="1:24" ht="14.25" customHeight="1" x14ac:dyDescent="0.5">
      <c r="A321" s="2" t="s">
        <v>1113</v>
      </c>
      <c r="B321" s="2" t="s">
        <v>152</v>
      </c>
      <c r="C321" s="2" t="str">
        <f t="shared" si="11"/>
        <v>Sarah Moore</v>
      </c>
      <c r="D321" s="2" t="s">
        <v>125</v>
      </c>
      <c r="E321" s="2" t="str">
        <f t="shared" si="12"/>
        <v>sarah@company.com</v>
      </c>
      <c r="F321" s="2" t="s">
        <v>34</v>
      </c>
      <c r="G321" s="3">
        <v>45109</v>
      </c>
      <c r="H321" s="3" t="str">
        <f t="shared" si="13"/>
        <v>02-Jul-2023</v>
      </c>
      <c r="I321" s="10" t="s">
        <v>1114</v>
      </c>
      <c r="J321" s="10">
        <f t="shared" si="14"/>
        <v>93384</v>
      </c>
      <c r="K321" s="11" t="s">
        <v>44</v>
      </c>
      <c r="L321" s="2" t="s">
        <v>112</v>
      </c>
      <c r="M321" s="2" t="str">
        <f t="shared" si="15"/>
        <v>On Leave</v>
      </c>
      <c r="N321" s="2" t="s">
        <v>65</v>
      </c>
      <c r="O321" s="2" t="str">
        <f t="shared" si="16"/>
        <v>Follow Up</v>
      </c>
      <c r="P321" s="2" t="s">
        <v>1115</v>
      </c>
      <c r="Q321" s="2" t="str">
        <f t="shared" si="17"/>
        <v>NR</v>
      </c>
      <c r="R321" s="2" t="e">
        <f t="array" aca="1" ref="R321" ca="1">_xludf.IFS(Q321="ET", "East", Q321="WT", "West", Q321="ST","South", Q321="NR", "North")</f>
        <v>#NAME?</v>
      </c>
      <c r="S321" s="2" t="s">
        <v>21</v>
      </c>
      <c r="T321" s="2" t="str">
        <f t="shared" si="18"/>
        <v>Sao Paulo</v>
      </c>
      <c r="U321" s="12" t="s">
        <v>85</v>
      </c>
      <c r="V321" s="12">
        <f t="shared" si="19"/>
        <v>0.15</v>
      </c>
      <c r="W321" s="13">
        <f t="shared" si="20"/>
        <v>107391.59999999999</v>
      </c>
      <c r="X321" s="2" t="str">
        <f t="shared" si="21"/>
        <v>High</v>
      </c>
    </row>
    <row r="322" spans="1:24" ht="14.25" customHeight="1" x14ac:dyDescent="0.5">
      <c r="A322" s="2" t="s">
        <v>1116</v>
      </c>
      <c r="B322" s="2" t="s">
        <v>1029</v>
      </c>
      <c r="C322" s="2" t="str">
        <f t="shared" si="11"/>
        <v>John Miller</v>
      </c>
      <c r="D322" s="2" t="s">
        <v>14</v>
      </c>
      <c r="E322" s="2" t="str">
        <f t="shared" si="12"/>
        <v>john@company.com</v>
      </c>
      <c r="F322" s="2" t="s">
        <v>15</v>
      </c>
      <c r="G322" s="3">
        <v>44525</v>
      </c>
      <c r="H322" s="3" t="str">
        <f t="shared" si="13"/>
        <v>25-Nov-2021</v>
      </c>
      <c r="I322" s="10" t="s">
        <v>1117</v>
      </c>
      <c r="J322" s="10">
        <f t="shared" si="14"/>
        <v>45793</v>
      </c>
      <c r="K322" s="11" t="s">
        <v>83</v>
      </c>
      <c r="L322" s="2" t="s">
        <v>27</v>
      </c>
      <c r="M322" s="2" t="str">
        <f t="shared" si="15"/>
        <v>On Leave</v>
      </c>
      <c r="N322" s="2" t="s">
        <v>28</v>
      </c>
      <c r="O322" s="2" t="str">
        <f t="shared" si="16"/>
        <v>Pending Docs</v>
      </c>
      <c r="P322" s="2" t="s">
        <v>1118</v>
      </c>
      <c r="Q322" s="2" t="str">
        <f t="shared" si="17"/>
        <v>ST</v>
      </c>
      <c r="R322" s="2" t="e">
        <f t="array" aca="1" ref="R322" ca="1">_xludf.IFS(Q322="ET", "East", Q322="WT", "West", Q322="ST","South", Q322="NR", "North")</f>
        <v>#NAME?</v>
      </c>
      <c r="S322" s="2" t="s">
        <v>60</v>
      </c>
      <c r="T322" s="2" t="str">
        <f t="shared" si="18"/>
        <v>Toronto</v>
      </c>
      <c r="U322" s="12" t="s">
        <v>39</v>
      </c>
      <c r="V322" s="12">
        <f t="shared" si="19"/>
        <v>0.05</v>
      </c>
      <c r="W322" s="13">
        <f t="shared" si="20"/>
        <v>48082.65</v>
      </c>
      <c r="X322" s="2" t="str">
        <f t="shared" si="21"/>
        <v>Normal</v>
      </c>
    </row>
    <row r="323" spans="1:24" ht="14.25" customHeight="1" x14ac:dyDescent="0.5">
      <c r="A323" s="2" t="s">
        <v>1119</v>
      </c>
      <c r="B323" s="2" t="s">
        <v>385</v>
      </c>
      <c r="C323" s="2" t="str">
        <f t="shared" si="11"/>
        <v>John Johnson</v>
      </c>
      <c r="D323" s="2" t="s">
        <v>25</v>
      </c>
      <c r="E323" s="2" t="str">
        <f t="shared" si="12"/>
        <v>chris@company.com</v>
      </c>
      <c r="F323" s="2" t="s">
        <v>100</v>
      </c>
      <c r="G323" s="3">
        <v>44870</v>
      </c>
      <c r="H323" s="3" t="str">
        <f t="shared" si="13"/>
        <v>05-Nov-2022</v>
      </c>
      <c r="I323" s="10" t="s">
        <v>1120</v>
      </c>
      <c r="J323" s="10">
        <f t="shared" si="14"/>
        <v>45571</v>
      </c>
      <c r="K323" s="11" t="s">
        <v>17</v>
      </c>
      <c r="L323" s="2" t="s">
        <v>64</v>
      </c>
      <c r="M323" s="2" t="str">
        <f t="shared" si="15"/>
        <v>Terminated</v>
      </c>
      <c r="N323" s="2" t="s">
        <v>19</v>
      </c>
      <c r="O323" s="2" t="str">
        <f t="shared" si="16"/>
        <v>Urgent Review</v>
      </c>
      <c r="P323" s="2" t="s">
        <v>1121</v>
      </c>
      <c r="Q323" s="2" t="str">
        <f t="shared" si="17"/>
        <v>WT</v>
      </c>
      <c r="R323" s="2" t="e">
        <f t="array" aca="1" ref="R323" ca="1">_xludf.IFS(Q323="ET", "East", Q323="WT", "West", Q323="ST","South", Q323="NR", "North")</f>
        <v>#NAME?</v>
      </c>
      <c r="S323" s="2" t="s">
        <v>38</v>
      </c>
      <c r="T323" s="2" t="str">
        <f t="shared" si="18"/>
        <v>London</v>
      </c>
      <c r="U323" s="12" t="s">
        <v>30</v>
      </c>
      <c r="V323" s="12">
        <f t="shared" si="19"/>
        <v>0.1</v>
      </c>
      <c r="W323" s="13">
        <f t="shared" si="20"/>
        <v>50128.100000000006</v>
      </c>
      <c r="X323" s="2" t="str">
        <f t="shared" si="21"/>
        <v>Normal</v>
      </c>
    </row>
    <row r="324" spans="1:24" ht="14.25" customHeight="1" x14ac:dyDescent="0.5">
      <c r="A324" s="2" t="s">
        <v>1122</v>
      </c>
      <c r="B324" s="2" t="s">
        <v>275</v>
      </c>
      <c r="C324" s="2" t="str">
        <f t="shared" si="11"/>
        <v>John Davis</v>
      </c>
      <c r="D324" s="2" t="s">
        <v>105</v>
      </c>
      <c r="E324" s="2" t="str">
        <f t="shared" si="12"/>
        <v>sam@company.com</v>
      </c>
      <c r="F324" s="2" t="s">
        <v>15</v>
      </c>
      <c r="G324" s="3">
        <v>44307</v>
      </c>
      <c r="H324" s="3" t="str">
        <f t="shared" si="13"/>
        <v>21-Apr-2021</v>
      </c>
      <c r="I324" s="10" t="s">
        <v>1123</v>
      </c>
      <c r="J324" s="10">
        <f t="shared" si="14"/>
        <v>56209</v>
      </c>
      <c r="K324" s="11" t="s">
        <v>83</v>
      </c>
      <c r="L324" s="2" t="s">
        <v>64</v>
      </c>
      <c r="M324" s="2" t="str">
        <f t="shared" si="15"/>
        <v>Terminated</v>
      </c>
      <c r="N324" s="2" t="s">
        <v>28</v>
      </c>
      <c r="O324" s="2" t="str">
        <f t="shared" si="16"/>
        <v>Pending Docs</v>
      </c>
      <c r="P324" s="2" t="s">
        <v>1124</v>
      </c>
      <c r="Q324" s="2" t="str">
        <f t="shared" si="17"/>
        <v>ET</v>
      </c>
      <c r="R324" s="2" t="e">
        <f t="array" aca="1" ref="R324" ca="1">_xludf.IFS(Q324="ET", "East", Q324="WT", "West", Q324="ST","South", Q324="NR", "North")</f>
        <v>#NAME?</v>
      </c>
      <c r="S324" s="2" t="s">
        <v>159</v>
      </c>
      <c r="T324" s="2" t="str">
        <f t="shared" si="18"/>
        <v>Berlin</v>
      </c>
      <c r="U324" s="12" t="s">
        <v>30</v>
      </c>
      <c r="V324" s="12">
        <f t="shared" si="19"/>
        <v>0.1</v>
      </c>
      <c r="W324" s="13">
        <f t="shared" si="20"/>
        <v>61829.9</v>
      </c>
      <c r="X324" s="2" t="str">
        <f t="shared" si="21"/>
        <v>Normal</v>
      </c>
    </row>
    <row r="325" spans="1:24" ht="14.25" customHeight="1" x14ac:dyDescent="0.5">
      <c r="A325" s="2" t="s">
        <v>1125</v>
      </c>
      <c r="B325" s="2" t="s">
        <v>141</v>
      </c>
      <c r="C325" s="2" t="str">
        <f t="shared" si="11"/>
        <v>Mike Clark</v>
      </c>
      <c r="D325" s="2" t="s">
        <v>235</v>
      </c>
      <c r="E325" s="2" t="str">
        <f t="shared" si="12"/>
        <v>jane@company.com</v>
      </c>
      <c r="F325" s="2" t="s">
        <v>100</v>
      </c>
      <c r="G325" s="3">
        <v>44916</v>
      </c>
      <c r="H325" s="3" t="str">
        <f t="shared" si="13"/>
        <v>21-Dec-2022</v>
      </c>
      <c r="I325" s="10" t="s">
        <v>1126</v>
      </c>
      <c r="J325" s="10">
        <f t="shared" si="14"/>
        <v>83148</v>
      </c>
      <c r="K325" s="11" t="s">
        <v>44</v>
      </c>
      <c r="L325" s="2" t="s">
        <v>64</v>
      </c>
      <c r="M325" s="2" t="str">
        <f t="shared" si="15"/>
        <v>Terminated</v>
      </c>
      <c r="N325" s="2" t="s">
        <v>77</v>
      </c>
      <c r="O325" s="2" t="str">
        <f t="shared" si="16"/>
        <v>All Clear</v>
      </c>
      <c r="P325" s="2" t="s">
        <v>1127</v>
      </c>
      <c r="Q325" s="2" t="str">
        <f t="shared" si="17"/>
        <v>NR</v>
      </c>
      <c r="R325" s="2" t="e">
        <f t="array" aca="1" ref="R325" ca="1">_xludf.IFS(Q325="ET", "East", Q325="WT", "West", Q325="ST","South", Q325="NR", "North")</f>
        <v>#NAME?</v>
      </c>
      <c r="S325" s="2" t="s">
        <v>38</v>
      </c>
      <c r="T325" s="2" t="str">
        <f t="shared" si="18"/>
        <v>London</v>
      </c>
      <c r="U325" s="12" t="s">
        <v>30</v>
      </c>
      <c r="V325" s="12">
        <f t="shared" si="19"/>
        <v>0.1</v>
      </c>
      <c r="W325" s="13">
        <f t="shared" si="20"/>
        <v>91462.8</v>
      </c>
      <c r="X325" s="2" t="str">
        <f t="shared" si="21"/>
        <v>Normal</v>
      </c>
    </row>
    <row r="326" spans="1:24" ht="14.25" customHeight="1" x14ac:dyDescent="0.5">
      <c r="A326" s="2" t="s">
        <v>1128</v>
      </c>
      <c r="B326" s="2" t="s">
        <v>425</v>
      </c>
      <c r="C326" s="2" t="str">
        <f t="shared" si="11"/>
        <v>Daniel Smith</v>
      </c>
      <c r="D326" s="2" t="s">
        <v>105</v>
      </c>
      <c r="E326" s="2" t="str">
        <f t="shared" si="12"/>
        <v>sam@company.com</v>
      </c>
      <c r="F326" s="2" t="s">
        <v>34</v>
      </c>
      <c r="G326" s="3">
        <v>44711</v>
      </c>
      <c r="H326" s="3" t="str">
        <f t="shared" si="13"/>
        <v>30-May-2022</v>
      </c>
      <c r="I326" s="10" t="s">
        <v>1129</v>
      </c>
      <c r="J326" s="10">
        <f t="shared" si="14"/>
        <v>42224</v>
      </c>
      <c r="K326" s="11" t="s">
        <v>36</v>
      </c>
      <c r="L326" s="2" t="s">
        <v>112</v>
      </c>
      <c r="M326" s="2" t="str">
        <f t="shared" si="15"/>
        <v>On Leave</v>
      </c>
      <c r="N326" s="2" t="s">
        <v>107</v>
      </c>
      <c r="O326" s="2" t="str">
        <f t="shared" si="16"/>
        <v>All Clear</v>
      </c>
      <c r="P326" s="2" t="s">
        <v>1130</v>
      </c>
      <c r="Q326" s="2" t="str">
        <f t="shared" si="17"/>
        <v>ST</v>
      </c>
      <c r="R326" s="2" t="e">
        <f t="array" aca="1" ref="R326" ca="1">_xludf.IFS(Q326="ET", "East", Q326="WT", "West", Q326="ST","South", Q326="NR", "North")</f>
        <v>#NAME?</v>
      </c>
      <c r="S326" s="2" t="s">
        <v>38</v>
      </c>
      <c r="T326" s="2" t="str">
        <f t="shared" si="18"/>
        <v>London</v>
      </c>
      <c r="U326" s="12" t="s">
        <v>30</v>
      </c>
      <c r="V326" s="12">
        <f t="shared" si="19"/>
        <v>0.1</v>
      </c>
      <c r="W326" s="13">
        <f t="shared" si="20"/>
        <v>46446.400000000001</v>
      </c>
      <c r="X326" s="2" t="str">
        <f t="shared" si="21"/>
        <v>Normal</v>
      </c>
    </row>
    <row r="327" spans="1:24" ht="14.25" customHeight="1" x14ac:dyDescent="0.5">
      <c r="A327" s="2" t="s">
        <v>1131</v>
      </c>
      <c r="B327" s="2" t="s">
        <v>385</v>
      </c>
      <c r="C327" s="2" t="str">
        <f t="shared" si="11"/>
        <v>John Johnson</v>
      </c>
      <c r="D327" s="2" t="s">
        <v>49</v>
      </c>
      <c r="E327" s="2" t="str">
        <f t="shared" si="12"/>
        <v>emily@company.com</v>
      </c>
      <c r="F327" s="2" t="s">
        <v>15</v>
      </c>
      <c r="G327" s="3">
        <v>44262</v>
      </c>
      <c r="H327" s="3" t="str">
        <f t="shared" si="13"/>
        <v>07-Mar-2021</v>
      </c>
      <c r="I327" s="10" t="s">
        <v>1132</v>
      </c>
      <c r="J327" s="10">
        <f t="shared" si="14"/>
        <v>88695</v>
      </c>
      <c r="K327" s="11" t="s">
        <v>44</v>
      </c>
      <c r="L327" s="2" t="s">
        <v>18</v>
      </c>
      <c r="M327" s="2" t="str">
        <f t="shared" si="15"/>
        <v>Active</v>
      </c>
      <c r="N327" s="2" t="s">
        <v>77</v>
      </c>
      <c r="O327" s="2" t="str">
        <f t="shared" si="16"/>
        <v>All Clear</v>
      </c>
      <c r="P327" s="2" t="s">
        <v>1133</v>
      </c>
      <c r="Q327" s="2" t="str">
        <f t="shared" si="17"/>
        <v>ST</v>
      </c>
      <c r="R327" s="2" t="e">
        <f t="array" aca="1" ref="R327" ca="1">_xludf.IFS(Q327="ET", "East", Q327="WT", "West", Q327="ST","South", Q327="NR", "North")</f>
        <v>#NAME?</v>
      </c>
      <c r="S327" s="2" t="s">
        <v>159</v>
      </c>
      <c r="T327" s="2" t="str">
        <f t="shared" si="18"/>
        <v>Berlin</v>
      </c>
      <c r="U327" s="12" t="s">
        <v>85</v>
      </c>
      <c r="V327" s="12">
        <f t="shared" si="19"/>
        <v>0.15</v>
      </c>
      <c r="W327" s="13">
        <f t="shared" si="20"/>
        <v>101999.24999999999</v>
      </c>
      <c r="X327" s="2" t="str">
        <f t="shared" si="21"/>
        <v>High</v>
      </c>
    </row>
    <row r="328" spans="1:24" ht="14.25" customHeight="1" x14ac:dyDescent="0.5">
      <c r="A328" s="2" t="s">
        <v>1134</v>
      </c>
      <c r="B328" s="2" t="s">
        <v>115</v>
      </c>
      <c r="C328" s="2" t="str">
        <f t="shared" si="11"/>
        <v>Katie Brown</v>
      </c>
      <c r="D328" s="2" t="s">
        <v>25</v>
      </c>
      <c r="E328" s="2" t="str">
        <f t="shared" si="12"/>
        <v>chris@company.com</v>
      </c>
      <c r="F328" s="2" t="s">
        <v>69</v>
      </c>
      <c r="G328" s="3">
        <v>44098</v>
      </c>
      <c r="H328" s="3" t="str">
        <f t="shared" si="13"/>
        <v>24-Sep-2020</v>
      </c>
      <c r="I328" s="10" t="s">
        <v>1135</v>
      </c>
      <c r="J328" s="10">
        <f t="shared" si="14"/>
        <v>72441</v>
      </c>
      <c r="K328" s="11" t="s">
        <v>17</v>
      </c>
      <c r="L328" s="2" t="s">
        <v>121</v>
      </c>
      <c r="M328" s="2" t="str">
        <f t="shared" si="15"/>
        <v>On Leave</v>
      </c>
      <c r="N328" s="2" t="s">
        <v>28</v>
      </c>
      <c r="O328" s="2" t="str">
        <f t="shared" si="16"/>
        <v>Pending Docs</v>
      </c>
      <c r="P328" s="2" t="s">
        <v>1136</v>
      </c>
      <c r="Q328" s="2" t="str">
        <f t="shared" si="17"/>
        <v>ST</v>
      </c>
      <c r="R328" s="2" t="e">
        <f t="array" aca="1" ref="R328" ca="1">_xludf.IFS(Q328="ET", "East", Q328="WT", "West", Q328="ST","South", Q328="NR", "North")</f>
        <v>#NAME?</v>
      </c>
      <c r="S328" s="2" t="s">
        <v>96</v>
      </c>
      <c r="T328" s="2" t="str">
        <f t="shared" si="18"/>
        <v>Cairo</v>
      </c>
      <c r="U328" s="12" t="s">
        <v>22</v>
      </c>
      <c r="V328" s="12">
        <f t="shared" si="19"/>
        <v>0.2</v>
      </c>
      <c r="W328" s="13">
        <f t="shared" si="20"/>
        <v>86929.2</v>
      </c>
      <c r="X328" s="2" t="str">
        <f t="shared" si="21"/>
        <v>Normal</v>
      </c>
    </row>
    <row r="329" spans="1:24" ht="14.25" customHeight="1" x14ac:dyDescent="0.5">
      <c r="A329" s="2" t="s">
        <v>1137</v>
      </c>
      <c r="B329" s="2" t="s">
        <v>275</v>
      </c>
      <c r="C329" s="2" t="str">
        <f t="shared" si="11"/>
        <v>John Davis</v>
      </c>
      <c r="D329" s="2" t="s">
        <v>74</v>
      </c>
      <c r="E329" s="2" t="str">
        <f t="shared" si="12"/>
        <v>mike@company.com</v>
      </c>
      <c r="F329" s="2" t="s">
        <v>50</v>
      </c>
      <c r="G329" s="3">
        <v>44889</v>
      </c>
      <c r="H329" s="3" t="str">
        <f t="shared" si="13"/>
        <v>24-Nov-2022</v>
      </c>
      <c r="I329" s="10" t="s">
        <v>1138</v>
      </c>
      <c r="J329" s="10">
        <f t="shared" si="14"/>
        <v>79129</v>
      </c>
      <c r="K329" s="11" t="s">
        <v>57</v>
      </c>
      <c r="L329" s="2" t="s">
        <v>45</v>
      </c>
      <c r="M329" s="2" t="str">
        <f t="shared" si="15"/>
        <v>Active</v>
      </c>
      <c r="N329" s="2" t="s">
        <v>28</v>
      </c>
      <c r="O329" s="2" t="str">
        <f t="shared" si="16"/>
        <v>Pending Docs</v>
      </c>
      <c r="P329" s="2" t="s">
        <v>1139</v>
      </c>
      <c r="Q329" s="2" t="str">
        <f t="shared" si="17"/>
        <v>WT</v>
      </c>
      <c r="R329" s="2" t="e">
        <f t="array" aca="1" ref="R329" ca="1">_xludf.IFS(Q329="ET", "East", Q329="WT", "West", Q329="ST","South", Q329="NR", "North")</f>
        <v>#NAME?</v>
      </c>
      <c r="S329" s="2" t="s">
        <v>79</v>
      </c>
      <c r="T329" s="2" t="str">
        <f t="shared" si="18"/>
        <v>New York</v>
      </c>
      <c r="U329" s="12" t="s">
        <v>22</v>
      </c>
      <c r="V329" s="12">
        <f t="shared" si="19"/>
        <v>0.2</v>
      </c>
      <c r="W329" s="13">
        <f t="shared" si="20"/>
        <v>94954.8</v>
      </c>
      <c r="X329" s="2" t="str">
        <f t="shared" si="21"/>
        <v>Normal</v>
      </c>
    </row>
    <row r="330" spans="1:24" ht="14.25" customHeight="1" x14ac:dyDescent="0.5">
      <c r="A330" s="2" t="s">
        <v>1140</v>
      </c>
      <c r="B330" s="2" t="s">
        <v>669</v>
      </c>
      <c r="C330" s="2" t="str">
        <f t="shared" si="11"/>
        <v>Sarah Miller</v>
      </c>
      <c r="D330" s="2" t="s">
        <v>125</v>
      </c>
      <c r="E330" s="2" t="str">
        <f t="shared" si="12"/>
        <v>sarah@company.com</v>
      </c>
      <c r="F330" s="2" t="s">
        <v>69</v>
      </c>
      <c r="G330" s="3">
        <v>44609</v>
      </c>
      <c r="H330" s="3" t="str">
        <f t="shared" si="13"/>
        <v>17-Feb-2022</v>
      </c>
      <c r="I330" s="10" t="s">
        <v>1141</v>
      </c>
      <c r="J330" s="10">
        <f t="shared" si="14"/>
        <v>102368</v>
      </c>
      <c r="K330" s="11" t="s">
        <v>83</v>
      </c>
      <c r="L330" s="2" t="s">
        <v>45</v>
      </c>
      <c r="M330" s="2" t="str">
        <f t="shared" si="15"/>
        <v>Active</v>
      </c>
      <c r="N330" s="2" t="s">
        <v>28</v>
      </c>
      <c r="O330" s="2" t="str">
        <f t="shared" si="16"/>
        <v>Pending Docs</v>
      </c>
      <c r="P330" s="2" t="s">
        <v>1142</v>
      </c>
      <c r="Q330" s="2" t="str">
        <f t="shared" si="17"/>
        <v>WT</v>
      </c>
      <c r="R330" s="2" t="e">
        <f t="array" aca="1" ref="R330" ca="1">_xludf.IFS(Q330="ET", "East", Q330="WT", "West", Q330="ST","South", Q330="NR", "North")</f>
        <v>#NAME?</v>
      </c>
      <c r="S330" s="2" t="s">
        <v>60</v>
      </c>
      <c r="T330" s="2" t="str">
        <f t="shared" si="18"/>
        <v>Toronto</v>
      </c>
      <c r="U330" s="12" t="s">
        <v>85</v>
      </c>
      <c r="V330" s="12">
        <f t="shared" si="19"/>
        <v>0.15</v>
      </c>
      <c r="W330" s="13">
        <f t="shared" si="20"/>
        <v>117723.2</v>
      </c>
      <c r="X330" s="2" t="str">
        <f t="shared" si="21"/>
        <v>High</v>
      </c>
    </row>
    <row r="331" spans="1:24" ht="14.25" customHeight="1" x14ac:dyDescent="0.5">
      <c r="A331" s="2" t="s">
        <v>1143</v>
      </c>
      <c r="B331" s="2" t="s">
        <v>275</v>
      </c>
      <c r="C331" s="2" t="str">
        <f t="shared" si="11"/>
        <v>John Davis</v>
      </c>
      <c r="D331" s="2" t="s">
        <v>125</v>
      </c>
      <c r="E331" s="2" t="str">
        <f t="shared" si="12"/>
        <v>sarah@company.com</v>
      </c>
      <c r="F331" s="2" t="s">
        <v>75</v>
      </c>
      <c r="G331" s="3">
        <v>44324</v>
      </c>
      <c r="H331" s="3" t="str">
        <f t="shared" si="13"/>
        <v>08-May-2021</v>
      </c>
      <c r="I331" s="10" t="s">
        <v>1144</v>
      </c>
      <c r="J331" s="10">
        <f t="shared" si="14"/>
        <v>84760</v>
      </c>
      <c r="K331" s="11" t="s">
        <v>36</v>
      </c>
      <c r="L331" s="2" t="s">
        <v>58</v>
      </c>
      <c r="M331" s="2" t="str">
        <f t="shared" si="15"/>
        <v>Terminated</v>
      </c>
      <c r="O331" s="2" t="str">
        <f t="shared" si="16"/>
        <v>No Notes</v>
      </c>
      <c r="P331" s="2" t="s">
        <v>1145</v>
      </c>
      <c r="Q331" s="2" t="str">
        <f t="shared" si="17"/>
        <v>NR</v>
      </c>
      <c r="R331" s="2" t="e">
        <f t="array" aca="1" ref="R331" ca="1">_xludf.IFS(Q331="ET", "East", Q331="WT", "West", Q331="ST","South", Q331="NR", "North")</f>
        <v>#NAME?</v>
      </c>
      <c r="S331" s="2" t="s">
        <v>38</v>
      </c>
      <c r="T331" s="2" t="str">
        <f t="shared" si="18"/>
        <v>London</v>
      </c>
      <c r="U331" s="12" t="s">
        <v>39</v>
      </c>
      <c r="V331" s="12">
        <f t="shared" si="19"/>
        <v>0.05</v>
      </c>
      <c r="W331" s="13">
        <f t="shared" si="20"/>
        <v>88998</v>
      </c>
      <c r="X331" s="2" t="str">
        <f t="shared" si="21"/>
        <v>Normal</v>
      </c>
    </row>
    <row r="332" spans="1:24" ht="14.25" customHeight="1" x14ac:dyDescent="0.5">
      <c r="A332" s="2" t="s">
        <v>1146</v>
      </c>
      <c r="B332" s="2" t="s">
        <v>580</v>
      </c>
      <c r="C332" s="2" t="str">
        <f t="shared" si="11"/>
        <v>Emily Miller</v>
      </c>
      <c r="D332" s="2" t="s">
        <v>125</v>
      </c>
      <c r="E332" s="2" t="str">
        <f t="shared" si="12"/>
        <v>sarah@company.com</v>
      </c>
      <c r="F332" s="2" t="s">
        <v>69</v>
      </c>
      <c r="G332" s="3">
        <v>45323</v>
      </c>
      <c r="H332" s="3" t="str">
        <f t="shared" si="13"/>
        <v>01-Feb-2024</v>
      </c>
      <c r="I332" s="10" t="s">
        <v>1147</v>
      </c>
      <c r="J332" s="10">
        <f t="shared" si="14"/>
        <v>63478</v>
      </c>
      <c r="K332" s="11" t="s">
        <v>57</v>
      </c>
      <c r="L332" s="2" t="s">
        <v>58</v>
      </c>
      <c r="M332" s="2" t="str">
        <f t="shared" si="15"/>
        <v>Terminated</v>
      </c>
      <c r="N332" s="2" t="s">
        <v>107</v>
      </c>
      <c r="O332" s="2" t="str">
        <f t="shared" si="16"/>
        <v>All Clear</v>
      </c>
      <c r="P332" s="2" t="s">
        <v>1148</v>
      </c>
      <c r="Q332" s="2" t="str">
        <f t="shared" si="17"/>
        <v>NR</v>
      </c>
      <c r="R332" s="2" t="e">
        <f t="array" aca="1" ref="R332" ca="1">_xludf.IFS(Q332="ET", "East", Q332="WT", "West", Q332="ST","South", Q332="NR", "North")</f>
        <v>#NAME?</v>
      </c>
      <c r="S332" s="2" t="s">
        <v>159</v>
      </c>
      <c r="T332" s="2" t="str">
        <f t="shared" si="18"/>
        <v>Berlin</v>
      </c>
      <c r="U332" s="12" t="s">
        <v>22</v>
      </c>
      <c r="V332" s="12">
        <f t="shared" si="19"/>
        <v>0.2</v>
      </c>
      <c r="W332" s="13">
        <f t="shared" si="20"/>
        <v>76173.599999999991</v>
      </c>
      <c r="X332" s="2" t="str">
        <f t="shared" si="21"/>
        <v>Normal</v>
      </c>
    </row>
    <row r="333" spans="1:24" ht="14.25" customHeight="1" x14ac:dyDescent="0.5">
      <c r="A333" s="2" t="s">
        <v>1149</v>
      </c>
      <c r="B333" s="2" t="s">
        <v>762</v>
      </c>
      <c r="C333" s="2" t="str">
        <f t="shared" si="11"/>
        <v>Sam Davis</v>
      </c>
      <c r="D333" s="2" t="s">
        <v>25</v>
      </c>
      <c r="E333" s="2" t="str">
        <f t="shared" si="12"/>
        <v>chris@company.com</v>
      </c>
      <c r="F333" s="2" t="s">
        <v>34</v>
      </c>
      <c r="G333" s="3">
        <v>44491</v>
      </c>
      <c r="H333" s="3" t="str">
        <f t="shared" si="13"/>
        <v>22-Oct-2021</v>
      </c>
      <c r="I333" s="10" t="s">
        <v>1150</v>
      </c>
      <c r="J333" s="10">
        <f t="shared" si="14"/>
        <v>111854</v>
      </c>
      <c r="K333" s="11" t="s">
        <v>44</v>
      </c>
      <c r="L333" s="2" t="s">
        <v>89</v>
      </c>
      <c r="M333" s="2" t="str">
        <f t="shared" si="15"/>
        <v>Active</v>
      </c>
      <c r="N333" s="2" t="s">
        <v>28</v>
      </c>
      <c r="O333" s="2" t="str">
        <f t="shared" si="16"/>
        <v>Pending Docs</v>
      </c>
      <c r="P333" s="2" t="s">
        <v>1151</v>
      </c>
      <c r="Q333" s="2" t="str">
        <f t="shared" si="17"/>
        <v>WT</v>
      </c>
      <c r="R333" s="2" t="e">
        <f t="array" aca="1" ref="R333" ca="1">_xludf.IFS(Q333="ET", "East", Q333="WT", "West", Q333="ST","South", Q333="NR", "North")</f>
        <v>#NAME?</v>
      </c>
      <c r="S333" s="2" t="s">
        <v>47</v>
      </c>
      <c r="T333" s="2" t="str">
        <f t="shared" si="18"/>
        <v>Lagos</v>
      </c>
      <c r="U333" s="12" t="s">
        <v>39</v>
      </c>
      <c r="V333" s="12">
        <f t="shared" si="19"/>
        <v>0.05</v>
      </c>
      <c r="W333" s="13">
        <f t="shared" si="20"/>
        <v>117446.70000000001</v>
      </c>
      <c r="X333" s="2" t="str">
        <f t="shared" si="21"/>
        <v>High</v>
      </c>
    </row>
    <row r="334" spans="1:24" ht="14.25" customHeight="1" x14ac:dyDescent="0.5">
      <c r="A334" s="2" t="s">
        <v>1152</v>
      </c>
      <c r="B334" s="2" t="s">
        <v>124</v>
      </c>
      <c r="C334" s="2" t="str">
        <f t="shared" si="11"/>
        <v>Sarah Davis</v>
      </c>
      <c r="D334" s="2" t="s">
        <v>14</v>
      </c>
      <c r="E334" s="2" t="str">
        <f t="shared" si="12"/>
        <v>john@company.com</v>
      </c>
      <c r="F334" s="2" t="s">
        <v>42</v>
      </c>
      <c r="G334" s="3">
        <v>45179</v>
      </c>
      <c r="H334" s="3" t="str">
        <f t="shared" si="13"/>
        <v>10-Sep-2023</v>
      </c>
      <c r="I334" s="10" t="s">
        <v>1153</v>
      </c>
      <c r="J334" s="10">
        <f t="shared" si="14"/>
        <v>52180</v>
      </c>
      <c r="K334" s="11" t="s">
        <v>36</v>
      </c>
      <c r="L334" s="2" t="s">
        <v>64</v>
      </c>
      <c r="M334" s="2" t="str">
        <f t="shared" si="15"/>
        <v>Terminated</v>
      </c>
      <c r="N334" s="2" t="s">
        <v>28</v>
      </c>
      <c r="O334" s="2" t="str">
        <f t="shared" si="16"/>
        <v>Pending Docs</v>
      </c>
      <c r="P334" s="2" t="s">
        <v>1154</v>
      </c>
      <c r="Q334" s="2" t="str">
        <f t="shared" si="17"/>
        <v>NR</v>
      </c>
      <c r="R334" s="2" t="e">
        <f t="array" aca="1" ref="R334" ca="1">_xludf.IFS(Q334="ET", "East", Q334="WT", "West", Q334="ST","South", Q334="NR", "North")</f>
        <v>#NAME?</v>
      </c>
      <c r="S334" s="2" t="s">
        <v>38</v>
      </c>
      <c r="T334" s="2" t="str">
        <f t="shared" si="18"/>
        <v>London</v>
      </c>
      <c r="U334" s="12" t="s">
        <v>22</v>
      </c>
      <c r="V334" s="12">
        <f t="shared" si="19"/>
        <v>0.2</v>
      </c>
      <c r="W334" s="13">
        <f t="shared" si="20"/>
        <v>62616</v>
      </c>
      <c r="X334" s="2" t="str">
        <f t="shared" si="21"/>
        <v>Normal</v>
      </c>
    </row>
    <row r="335" spans="1:24" ht="14.25" customHeight="1" x14ac:dyDescent="0.5">
      <c r="A335" s="2" t="s">
        <v>1155</v>
      </c>
      <c r="B335" s="2" t="s">
        <v>482</v>
      </c>
      <c r="C335" s="2" t="str">
        <f t="shared" si="11"/>
        <v>Emily Davis</v>
      </c>
      <c r="D335" s="2" t="s">
        <v>33</v>
      </c>
      <c r="E335" s="2" t="str">
        <f t="shared" si="12"/>
        <v>alex@company.com</v>
      </c>
      <c r="F335" s="2" t="s">
        <v>75</v>
      </c>
      <c r="G335" s="3">
        <v>45158</v>
      </c>
      <c r="H335" s="3" t="str">
        <f t="shared" si="13"/>
        <v>20-Aug-2023</v>
      </c>
      <c r="I335" s="10" t="s">
        <v>1156</v>
      </c>
      <c r="J335" s="10">
        <f t="shared" si="14"/>
        <v>55372</v>
      </c>
      <c r="K335" s="11" t="s">
        <v>57</v>
      </c>
      <c r="L335" s="2" t="s">
        <v>89</v>
      </c>
      <c r="M335" s="2" t="str">
        <f t="shared" si="15"/>
        <v>Active</v>
      </c>
      <c r="N335" s="2" t="s">
        <v>77</v>
      </c>
      <c r="O335" s="2" t="str">
        <f t="shared" si="16"/>
        <v>All Clear</v>
      </c>
      <c r="P335" s="2" t="s">
        <v>1157</v>
      </c>
      <c r="Q335" s="2" t="str">
        <f t="shared" si="17"/>
        <v>ET</v>
      </c>
      <c r="R335" s="2" t="e">
        <f t="array" aca="1" ref="R335" ca="1">_xludf.IFS(Q335="ET", "East", Q335="WT", "West", Q335="ST","South", Q335="NR", "North")</f>
        <v>#NAME?</v>
      </c>
      <c r="S335" s="2" t="s">
        <v>60</v>
      </c>
      <c r="T335" s="2" t="str">
        <f t="shared" si="18"/>
        <v>Toronto</v>
      </c>
      <c r="U335" s="12" t="s">
        <v>39</v>
      </c>
      <c r="V335" s="12">
        <f t="shared" si="19"/>
        <v>0.05</v>
      </c>
      <c r="W335" s="13">
        <f t="shared" si="20"/>
        <v>58140.600000000006</v>
      </c>
      <c r="X335" s="2" t="str">
        <f t="shared" si="21"/>
        <v>Normal</v>
      </c>
    </row>
    <row r="336" spans="1:24" ht="14.25" customHeight="1" x14ac:dyDescent="0.5">
      <c r="A336" s="2" t="s">
        <v>1158</v>
      </c>
      <c r="B336" s="2" t="s">
        <v>286</v>
      </c>
      <c r="C336" s="2" t="str">
        <f t="shared" si="11"/>
        <v>Mike Lewis</v>
      </c>
      <c r="D336" s="2" t="s">
        <v>99</v>
      </c>
      <c r="E336" s="2" t="str">
        <f t="shared" si="12"/>
        <v>daniel@company.com</v>
      </c>
      <c r="F336" s="2" t="s">
        <v>15</v>
      </c>
      <c r="G336" s="3">
        <v>45130</v>
      </c>
      <c r="H336" s="3" t="str">
        <f t="shared" si="13"/>
        <v>23-Jul-2023</v>
      </c>
      <c r="I336" s="10" t="s">
        <v>1159</v>
      </c>
      <c r="J336" s="10">
        <f t="shared" si="14"/>
        <v>69796</v>
      </c>
      <c r="K336" s="11" t="s">
        <v>36</v>
      </c>
      <c r="L336" s="2" t="s">
        <v>121</v>
      </c>
      <c r="M336" s="2" t="str">
        <f t="shared" si="15"/>
        <v>On Leave</v>
      </c>
      <c r="N336" s="2" t="s">
        <v>77</v>
      </c>
      <c r="O336" s="2" t="str">
        <f t="shared" si="16"/>
        <v>All Clear</v>
      </c>
      <c r="P336" s="2" t="s">
        <v>1160</v>
      </c>
      <c r="Q336" s="2" t="str">
        <f t="shared" si="17"/>
        <v>ET</v>
      </c>
      <c r="R336" s="2" t="e">
        <f t="array" aca="1" ref="R336" ca="1">_xludf.IFS(Q336="ET", "East", Q336="WT", "West", Q336="ST","South", Q336="NR", "North")</f>
        <v>#NAME?</v>
      </c>
      <c r="S336" s="2" t="s">
        <v>79</v>
      </c>
      <c r="T336" s="2" t="str">
        <f t="shared" si="18"/>
        <v>New York</v>
      </c>
      <c r="U336" s="12" t="s">
        <v>85</v>
      </c>
      <c r="V336" s="12">
        <f t="shared" si="19"/>
        <v>0.15</v>
      </c>
      <c r="W336" s="13">
        <f t="shared" si="20"/>
        <v>80265.399999999994</v>
      </c>
      <c r="X336" s="2" t="str">
        <f t="shared" si="21"/>
        <v>Normal</v>
      </c>
    </row>
    <row r="337" spans="1:24" ht="14.25" customHeight="1" x14ac:dyDescent="0.5">
      <c r="A337" s="2" t="s">
        <v>1161</v>
      </c>
      <c r="B337" s="2" t="s">
        <v>156</v>
      </c>
      <c r="C337" s="2" t="str">
        <f t="shared" si="11"/>
        <v>Sam Smith</v>
      </c>
      <c r="D337" s="2" t="s">
        <v>93</v>
      </c>
      <c r="E337" s="2" t="str">
        <f t="shared" si="12"/>
        <v>k@ie@company.com</v>
      </c>
      <c r="F337" s="2" t="s">
        <v>75</v>
      </c>
      <c r="G337" s="3">
        <v>44843</v>
      </c>
      <c r="H337" s="3" t="str">
        <f t="shared" si="13"/>
        <v>09-Oct-2022</v>
      </c>
      <c r="I337" s="10" t="s">
        <v>1162</v>
      </c>
      <c r="J337" s="10">
        <f t="shared" si="14"/>
        <v>98272</v>
      </c>
      <c r="K337" s="11" t="s">
        <v>17</v>
      </c>
      <c r="L337" s="2" t="s">
        <v>64</v>
      </c>
      <c r="M337" s="2" t="str">
        <f t="shared" si="15"/>
        <v>Terminated</v>
      </c>
      <c r="N337" s="2" t="s">
        <v>28</v>
      </c>
      <c r="O337" s="2" t="str">
        <f t="shared" si="16"/>
        <v>Pending Docs</v>
      </c>
      <c r="P337" s="2" t="s">
        <v>1163</v>
      </c>
      <c r="Q337" s="2" t="str">
        <f t="shared" si="17"/>
        <v>WT</v>
      </c>
      <c r="R337" s="2" t="e">
        <f t="array" aca="1" ref="R337" ca="1">_xludf.IFS(Q337="ET", "East", Q337="WT", "West", Q337="ST","South", Q337="NR", "North")</f>
        <v>#NAME?</v>
      </c>
      <c r="S337" s="2" t="s">
        <v>38</v>
      </c>
      <c r="T337" s="2" t="str">
        <f t="shared" si="18"/>
        <v>London</v>
      </c>
      <c r="U337" s="12" t="s">
        <v>30</v>
      </c>
      <c r="V337" s="12">
        <f t="shared" si="19"/>
        <v>0.1</v>
      </c>
      <c r="W337" s="13">
        <f t="shared" si="20"/>
        <v>108099.20000000001</v>
      </c>
      <c r="X337" s="2" t="str">
        <f t="shared" si="21"/>
        <v>High</v>
      </c>
    </row>
    <row r="338" spans="1:24" ht="14.25" customHeight="1" x14ac:dyDescent="0.5">
      <c r="A338" s="2" t="s">
        <v>1164</v>
      </c>
      <c r="B338" s="2" t="s">
        <v>870</v>
      </c>
      <c r="C338" s="2" t="str">
        <f t="shared" si="11"/>
        <v>Emily Clark</v>
      </c>
      <c r="D338" s="2" t="s">
        <v>235</v>
      </c>
      <c r="E338" s="2" t="str">
        <f t="shared" si="12"/>
        <v>jane@company.com</v>
      </c>
      <c r="F338" s="2" t="s">
        <v>50</v>
      </c>
      <c r="G338" s="3">
        <v>45055</v>
      </c>
      <c r="H338" s="3" t="str">
        <f t="shared" si="13"/>
        <v>09-May-2023</v>
      </c>
      <c r="I338" s="10" t="s">
        <v>1165</v>
      </c>
      <c r="J338" s="10">
        <f t="shared" si="14"/>
        <v>94040</v>
      </c>
      <c r="K338" s="11" t="s">
        <v>17</v>
      </c>
      <c r="L338" s="2" t="s">
        <v>58</v>
      </c>
      <c r="M338" s="2" t="str">
        <f t="shared" si="15"/>
        <v>Terminated</v>
      </c>
      <c r="N338" s="2" t="s">
        <v>19</v>
      </c>
      <c r="O338" s="2" t="str">
        <f t="shared" si="16"/>
        <v>Urgent Review</v>
      </c>
      <c r="P338" s="2" t="s">
        <v>1166</v>
      </c>
      <c r="Q338" s="2" t="str">
        <f t="shared" si="17"/>
        <v>NR</v>
      </c>
      <c r="R338" s="2" t="e">
        <f t="array" aca="1" ref="R338" ca="1">_xludf.IFS(Q338="ET", "East", Q338="WT", "West", Q338="ST","South", Q338="NR", "North")</f>
        <v>#NAME?</v>
      </c>
      <c r="S338" s="2" t="s">
        <v>38</v>
      </c>
      <c r="T338" s="2" t="str">
        <f t="shared" si="18"/>
        <v>London</v>
      </c>
      <c r="U338" s="12" t="s">
        <v>39</v>
      </c>
      <c r="V338" s="12">
        <f t="shared" si="19"/>
        <v>0.05</v>
      </c>
      <c r="W338" s="13">
        <f t="shared" si="20"/>
        <v>98742</v>
      </c>
      <c r="X338" s="2" t="str">
        <f t="shared" si="21"/>
        <v>Normal</v>
      </c>
    </row>
    <row r="339" spans="1:24" ht="14.25" customHeight="1" x14ac:dyDescent="0.5">
      <c r="A339" s="2" t="s">
        <v>1167</v>
      </c>
      <c r="B339" s="2" t="s">
        <v>268</v>
      </c>
      <c r="C339" s="2" t="str">
        <f t="shared" si="11"/>
        <v>John Brown</v>
      </c>
      <c r="D339" s="2" t="s">
        <v>14</v>
      </c>
      <c r="E339" s="2" t="str">
        <f t="shared" si="12"/>
        <v>john@company.com</v>
      </c>
      <c r="F339" s="2" t="s">
        <v>100</v>
      </c>
      <c r="G339" s="3">
        <v>45299</v>
      </c>
      <c r="H339" s="3" t="str">
        <f t="shared" si="13"/>
        <v>08-Jan-2024</v>
      </c>
      <c r="I339" s="10" t="s">
        <v>1168</v>
      </c>
      <c r="J339" s="10">
        <f t="shared" si="14"/>
        <v>115357</v>
      </c>
      <c r="K339" s="11" t="s">
        <v>83</v>
      </c>
      <c r="L339" s="2" t="s">
        <v>27</v>
      </c>
      <c r="M339" s="2" t="str">
        <f t="shared" si="15"/>
        <v>On Leave</v>
      </c>
      <c r="O339" s="2" t="str">
        <f t="shared" si="16"/>
        <v>No Notes</v>
      </c>
      <c r="P339" s="2" t="s">
        <v>1169</v>
      </c>
      <c r="Q339" s="2" t="str">
        <f t="shared" si="17"/>
        <v>ST</v>
      </c>
      <c r="R339" s="2" t="e">
        <f t="array" aca="1" ref="R339" ca="1">_xludf.IFS(Q339="ET", "East", Q339="WT", "West", Q339="ST","South", Q339="NR", "North")</f>
        <v>#NAME?</v>
      </c>
      <c r="S339" s="2" t="s">
        <v>96</v>
      </c>
      <c r="T339" s="2" t="str">
        <f t="shared" si="18"/>
        <v>Cairo</v>
      </c>
      <c r="U339" s="12" t="s">
        <v>30</v>
      </c>
      <c r="V339" s="12">
        <f t="shared" si="19"/>
        <v>0.1</v>
      </c>
      <c r="W339" s="13">
        <f t="shared" si="20"/>
        <v>126892.70000000001</v>
      </c>
      <c r="X339" s="2" t="str">
        <f t="shared" si="21"/>
        <v>High</v>
      </c>
    </row>
    <row r="340" spans="1:24" ht="14.25" customHeight="1" x14ac:dyDescent="0.5">
      <c r="A340" s="2" t="s">
        <v>1170</v>
      </c>
      <c r="B340" s="2" t="s">
        <v>475</v>
      </c>
      <c r="C340" s="2" t="str">
        <f t="shared" si="11"/>
        <v>Alex Smith</v>
      </c>
      <c r="D340" s="2" t="s">
        <v>74</v>
      </c>
      <c r="E340" s="2" t="str">
        <f t="shared" si="12"/>
        <v>mike@company.com</v>
      </c>
      <c r="F340" s="2" t="s">
        <v>15</v>
      </c>
      <c r="G340" s="3">
        <v>45178</v>
      </c>
      <c r="H340" s="3" t="str">
        <f t="shared" si="13"/>
        <v>09-Sep-2023</v>
      </c>
      <c r="I340" s="10" t="s">
        <v>1171</v>
      </c>
      <c r="J340" s="10">
        <f t="shared" si="14"/>
        <v>111368</v>
      </c>
      <c r="K340" s="11" t="s">
        <v>83</v>
      </c>
      <c r="L340" s="2" t="s">
        <v>18</v>
      </c>
      <c r="M340" s="2" t="str">
        <f t="shared" si="15"/>
        <v>Active</v>
      </c>
      <c r="N340" s="2" t="s">
        <v>77</v>
      </c>
      <c r="O340" s="2" t="str">
        <f t="shared" si="16"/>
        <v>All Clear</v>
      </c>
      <c r="P340" s="2" t="s">
        <v>1172</v>
      </c>
      <c r="Q340" s="2" t="str">
        <f t="shared" si="17"/>
        <v>ET</v>
      </c>
      <c r="R340" s="2" t="e">
        <f t="array" aca="1" ref="R340" ca="1">_xludf.IFS(Q340="ET", "East", Q340="WT", "West", Q340="ST","South", Q340="NR", "North")</f>
        <v>#NAME?</v>
      </c>
      <c r="S340" s="2" t="s">
        <v>53</v>
      </c>
      <c r="T340" s="2" t="str">
        <f t="shared" si="18"/>
        <v>Delhi</v>
      </c>
      <c r="U340" s="12" t="s">
        <v>39</v>
      </c>
      <c r="V340" s="12">
        <f t="shared" si="19"/>
        <v>0.05</v>
      </c>
      <c r="W340" s="13">
        <f t="shared" si="20"/>
        <v>116936.40000000001</v>
      </c>
      <c r="X340" s="2" t="str">
        <f t="shared" si="21"/>
        <v>High</v>
      </c>
    </row>
    <row r="341" spans="1:24" ht="14.25" customHeight="1" x14ac:dyDescent="0.5">
      <c r="A341" s="2" t="s">
        <v>1173</v>
      </c>
      <c r="B341" s="2" t="s">
        <v>502</v>
      </c>
      <c r="C341" s="2" t="str">
        <f t="shared" si="11"/>
        <v>John Moore</v>
      </c>
      <c r="D341" s="2" t="s">
        <v>235</v>
      </c>
      <c r="E341" s="2" t="str">
        <f t="shared" si="12"/>
        <v>jane@company.com</v>
      </c>
      <c r="F341" s="2" t="s">
        <v>75</v>
      </c>
      <c r="G341" s="3">
        <v>44889</v>
      </c>
      <c r="H341" s="3" t="str">
        <f t="shared" si="13"/>
        <v>24-Nov-2022</v>
      </c>
      <c r="I341" s="10" t="s">
        <v>1174</v>
      </c>
      <c r="J341" s="10">
        <f t="shared" si="14"/>
        <v>118356</v>
      </c>
      <c r="K341" s="11" t="s">
        <v>17</v>
      </c>
      <c r="L341" s="2" t="s">
        <v>89</v>
      </c>
      <c r="M341" s="2" t="str">
        <f t="shared" si="15"/>
        <v>Active</v>
      </c>
      <c r="N341" s="2" t="s">
        <v>19</v>
      </c>
      <c r="O341" s="2" t="str">
        <f t="shared" si="16"/>
        <v>Urgent Review</v>
      </c>
      <c r="P341" s="2" t="s">
        <v>1175</v>
      </c>
      <c r="Q341" s="2" t="str">
        <f t="shared" si="17"/>
        <v>WT</v>
      </c>
      <c r="R341" s="2" t="e">
        <f t="array" aca="1" ref="R341" ca="1">_xludf.IFS(Q341="ET", "East", Q341="WT", "West", Q341="ST","South", Q341="NR", "North")</f>
        <v>#NAME?</v>
      </c>
      <c r="S341" s="2" t="s">
        <v>159</v>
      </c>
      <c r="T341" s="2" t="str">
        <f t="shared" si="18"/>
        <v>Berlin</v>
      </c>
      <c r="U341" s="12" t="s">
        <v>39</v>
      </c>
      <c r="V341" s="12">
        <f t="shared" si="19"/>
        <v>0.05</v>
      </c>
      <c r="W341" s="13">
        <f t="shared" si="20"/>
        <v>124273.8</v>
      </c>
      <c r="X341" s="2" t="str">
        <f t="shared" si="21"/>
        <v>High</v>
      </c>
    </row>
    <row r="342" spans="1:24" ht="14.25" customHeight="1" x14ac:dyDescent="0.5">
      <c r="A342" s="2" t="s">
        <v>1176</v>
      </c>
      <c r="B342" s="2" t="s">
        <v>73</v>
      </c>
      <c r="C342" s="2" t="str">
        <f t="shared" si="11"/>
        <v>Jane Moore</v>
      </c>
      <c r="D342" s="2" t="s">
        <v>125</v>
      </c>
      <c r="E342" s="2" t="str">
        <f t="shared" si="12"/>
        <v>sarah@company.com</v>
      </c>
      <c r="F342" s="2" t="s">
        <v>15</v>
      </c>
      <c r="G342" s="3">
        <v>44807</v>
      </c>
      <c r="H342" s="3" t="str">
        <f t="shared" si="13"/>
        <v>03-Sep-2022</v>
      </c>
      <c r="I342" s="10" t="s">
        <v>1177</v>
      </c>
      <c r="J342" s="10">
        <f t="shared" si="14"/>
        <v>56211</v>
      </c>
      <c r="K342" s="11" t="s">
        <v>36</v>
      </c>
      <c r="L342" s="2" t="s">
        <v>18</v>
      </c>
      <c r="M342" s="2" t="str">
        <f t="shared" si="15"/>
        <v>Active</v>
      </c>
      <c r="O342" s="2" t="str">
        <f t="shared" si="16"/>
        <v>No Notes</v>
      </c>
      <c r="P342" s="2" t="s">
        <v>1178</v>
      </c>
      <c r="Q342" s="2" t="str">
        <f t="shared" si="17"/>
        <v>NR</v>
      </c>
      <c r="R342" s="2" t="e">
        <f t="array" aca="1" ref="R342" ca="1">_xludf.IFS(Q342="ET", "East", Q342="WT", "West", Q342="ST","South", Q342="NR", "North")</f>
        <v>#NAME?</v>
      </c>
      <c r="S342" s="2" t="s">
        <v>47</v>
      </c>
      <c r="T342" s="2" t="str">
        <f t="shared" si="18"/>
        <v>Lagos</v>
      </c>
      <c r="U342" s="12" t="s">
        <v>39</v>
      </c>
      <c r="V342" s="12">
        <f t="shared" si="19"/>
        <v>0.05</v>
      </c>
      <c r="W342" s="13">
        <f t="shared" si="20"/>
        <v>59021.55</v>
      </c>
      <c r="X342" s="2" t="str">
        <f t="shared" si="21"/>
        <v>Normal</v>
      </c>
    </row>
    <row r="343" spans="1:24" ht="14.25" customHeight="1" x14ac:dyDescent="0.5">
      <c r="A343" s="2" t="s">
        <v>1179</v>
      </c>
      <c r="B343" s="2" t="s">
        <v>32</v>
      </c>
      <c r="C343" s="2" t="str">
        <f t="shared" si="11"/>
        <v>Sarah Lewis</v>
      </c>
      <c r="D343" s="2" t="s">
        <v>105</v>
      </c>
      <c r="E343" s="2" t="str">
        <f t="shared" si="12"/>
        <v>sam@company.com</v>
      </c>
      <c r="F343" s="2" t="s">
        <v>15</v>
      </c>
      <c r="G343" s="3">
        <v>44312</v>
      </c>
      <c r="H343" s="3" t="str">
        <f t="shared" si="13"/>
        <v>26-Apr-2021</v>
      </c>
      <c r="I343" s="10" t="s">
        <v>1180</v>
      </c>
      <c r="J343" s="10">
        <f t="shared" si="14"/>
        <v>45842</v>
      </c>
      <c r="K343" s="11" t="s">
        <v>17</v>
      </c>
      <c r="L343" s="2" t="s">
        <v>18</v>
      </c>
      <c r="M343" s="2" t="str">
        <f t="shared" si="15"/>
        <v>Active</v>
      </c>
      <c r="N343" s="2" t="s">
        <v>28</v>
      </c>
      <c r="O343" s="2" t="str">
        <f t="shared" si="16"/>
        <v>Pending Docs</v>
      </c>
      <c r="P343" s="2" t="s">
        <v>1181</v>
      </c>
      <c r="Q343" s="2" t="str">
        <f t="shared" si="17"/>
        <v>WT</v>
      </c>
      <c r="R343" s="2" t="e">
        <f t="array" aca="1" ref="R343" ca="1">_xludf.IFS(Q343="ET", "East", Q343="WT", "West", Q343="ST","South", Q343="NR", "North")</f>
        <v>#NAME?</v>
      </c>
      <c r="S343" s="2" t="s">
        <v>47</v>
      </c>
      <c r="T343" s="2" t="str">
        <f t="shared" si="18"/>
        <v>Lagos</v>
      </c>
      <c r="U343" s="12" t="s">
        <v>39</v>
      </c>
      <c r="V343" s="12">
        <f t="shared" si="19"/>
        <v>0.05</v>
      </c>
      <c r="W343" s="13">
        <f t="shared" si="20"/>
        <v>48134.1</v>
      </c>
      <c r="X343" s="2" t="str">
        <f t="shared" si="21"/>
        <v>Normal</v>
      </c>
    </row>
    <row r="344" spans="1:24" ht="14.25" customHeight="1" x14ac:dyDescent="0.5">
      <c r="A344" s="2" t="s">
        <v>1182</v>
      </c>
      <c r="B344" s="2" t="s">
        <v>852</v>
      </c>
      <c r="C344" s="2" t="str">
        <f t="shared" si="11"/>
        <v>Mike Johnson</v>
      </c>
      <c r="D344" s="2" t="s">
        <v>74</v>
      </c>
      <c r="E344" s="2" t="str">
        <f t="shared" si="12"/>
        <v>mike@company.com</v>
      </c>
      <c r="F344" s="2" t="s">
        <v>15</v>
      </c>
      <c r="G344" s="3">
        <v>44558</v>
      </c>
      <c r="H344" s="3" t="str">
        <f t="shared" si="13"/>
        <v>28-Dec-2021</v>
      </c>
      <c r="I344" s="10" t="s">
        <v>1183</v>
      </c>
      <c r="J344" s="10">
        <f t="shared" si="14"/>
        <v>103115</v>
      </c>
      <c r="K344" s="11" t="s">
        <v>83</v>
      </c>
      <c r="L344" s="2" t="s">
        <v>18</v>
      </c>
      <c r="M344" s="2" t="str">
        <f t="shared" si="15"/>
        <v>Active</v>
      </c>
      <c r="N344" s="2" t="s">
        <v>107</v>
      </c>
      <c r="O344" s="2" t="str">
        <f t="shared" si="16"/>
        <v>All Clear</v>
      </c>
      <c r="P344" s="2" t="s">
        <v>1184</v>
      </c>
      <c r="Q344" s="2" t="str">
        <f t="shared" si="17"/>
        <v>ST</v>
      </c>
      <c r="R344" s="2" t="e">
        <f t="array" aca="1" ref="R344" ca="1">_xludf.IFS(Q344="ET", "East", Q344="WT", "West", Q344="ST","South", Q344="NR", "North")</f>
        <v>#NAME?</v>
      </c>
      <c r="S344" s="2" t="s">
        <v>21</v>
      </c>
      <c r="T344" s="2" t="str">
        <f t="shared" si="18"/>
        <v>Sao Paulo</v>
      </c>
      <c r="U344" s="12" t="s">
        <v>39</v>
      </c>
      <c r="V344" s="12">
        <f t="shared" si="19"/>
        <v>0.05</v>
      </c>
      <c r="W344" s="13">
        <f t="shared" si="20"/>
        <v>108270.75</v>
      </c>
      <c r="X344" s="2" t="str">
        <f t="shared" si="21"/>
        <v>High</v>
      </c>
    </row>
    <row r="345" spans="1:24" ht="14.25" customHeight="1" x14ac:dyDescent="0.5">
      <c r="A345" s="2" t="s">
        <v>1185</v>
      </c>
      <c r="B345" s="2" t="s">
        <v>555</v>
      </c>
      <c r="C345" s="2" t="str">
        <f t="shared" si="11"/>
        <v>Daniel Miller</v>
      </c>
      <c r="D345" s="2" t="s">
        <v>235</v>
      </c>
      <c r="E345" s="2" t="str">
        <f t="shared" si="12"/>
        <v>jane@company.com</v>
      </c>
      <c r="F345" s="2" t="s">
        <v>100</v>
      </c>
      <c r="G345" s="3">
        <v>44310</v>
      </c>
      <c r="H345" s="3" t="str">
        <f t="shared" si="13"/>
        <v>24-Apr-2021</v>
      </c>
      <c r="I345" s="10" t="s">
        <v>1186</v>
      </c>
      <c r="J345" s="10">
        <f t="shared" si="14"/>
        <v>106852</v>
      </c>
      <c r="K345" s="11" t="s">
        <v>17</v>
      </c>
      <c r="L345" s="2" t="s">
        <v>58</v>
      </c>
      <c r="M345" s="2" t="str">
        <f t="shared" si="15"/>
        <v>Terminated</v>
      </c>
      <c r="N345" s="2" t="s">
        <v>65</v>
      </c>
      <c r="O345" s="2" t="str">
        <f t="shared" si="16"/>
        <v>Follow Up</v>
      </c>
      <c r="P345" s="2" t="s">
        <v>1187</v>
      </c>
      <c r="Q345" s="2" t="str">
        <f t="shared" si="17"/>
        <v>ET</v>
      </c>
      <c r="R345" s="2" t="e">
        <f t="array" aca="1" ref="R345" ca="1">_xludf.IFS(Q345="ET", "East", Q345="WT", "West", Q345="ST","South", Q345="NR", "North")</f>
        <v>#NAME?</v>
      </c>
      <c r="S345" s="2" t="s">
        <v>79</v>
      </c>
      <c r="T345" s="2" t="str">
        <f t="shared" si="18"/>
        <v>New York</v>
      </c>
      <c r="U345" s="12" t="s">
        <v>30</v>
      </c>
      <c r="V345" s="12">
        <f t="shared" si="19"/>
        <v>0.1</v>
      </c>
      <c r="W345" s="13">
        <f t="shared" si="20"/>
        <v>117537.20000000001</v>
      </c>
      <c r="X345" s="2" t="str">
        <f t="shared" si="21"/>
        <v>High</v>
      </c>
    </row>
    <row r="346" spans="1:24" ht="14.25" customHeight="1" x14ac:dyDescent="0.5">
      <c r="A346" s="2" t="s">
        <v>1188</v>
      </c>
      <c r="B346" s="2" t="s">
        <v>398</v>
      </c>
      <c r="C346" s="2" t="str">
        <f t="shared" si="11"/>
        <v>Sam Johnson</v>
      </c>
      <c r="D346" s="2" t="s">
        <v>125</v>
      </c>
      <c r="E346" s="2" t="str">
        <f t="shared" si="12"/>
        <v>sarah@company.com</v>
      </c>
      <c r="F346" s="2" t="s">
        <v>34</v>
      </c>
      <c r="G346" s="3">
        <v>44919</v>
      </c>
      <c r="H346" s="3" t="str">
        <f t="shared" si="13"/>
        <v>24-Dec-2022</v>
      </c>
      <c r="I346" s="10" t="s">
        <v>1189</v>
      </c>
      <c r="J346" s="10">
        <f t="shared" si="14"/>
        <v>85968</v>
      </c>
      <c r="K346" s="11" t="s">
        <v>17</v>
      </c>
      <c r="L346" s="2" t="s">
        <v>45</v>
      </c>
      <c r="M346" s="2" t="str">
        <f t="shared" si="15"/>
        <v>Active</v>
      </c>
      <c r="N346" s="2" t="s">
        <v>65</v>
      </c>
      <c r="O346" s="2" t="str">
        <f t="shared" si="16"/>
        <v>Follow Up</v>
      </c>
      <c r="P346" s="2" t="s">
        <v>1190</v>
      </c>
      <c r="Q346" s="2" t="str">
        <f t="shared" si="17"/>
        <v>WT</v>
      </c>
      <c r="R346" s="2" t="e">
        <f t="array" aca="1" ref="R346" ca="1">_xludf.IFS(Q346="ET", "East", Q346="WT", "West", Q346="ST","South", Q346="NR", "North")</f>
        <v>#NAME?</v>
      </c>
      <c r="S346" s="2" t="s">
        <v>21</v>
      </c>
      <c r="T346" s="2" t="str">
        <f t="shared" si="18"/>
        <v>Sao Paulo</v>
      </c>
      <c r="U346" s="12" t="s">
        <v>39</v>
      </c>
      <c r="V346" s="12">
        <f t="shared" si="19"/>
        <v>0.05</v>
      </c>
      <c r="W346" s="13">
        <f t="shared" si="20"/>
        <v>90266.400000000009</v>
      </c>
      <c r="X346" s="2" t="str">
        <f t="shared" si="21"/>
        <v>Normal</v>
      </c>
    </row>
    <row r="347" spans="1:24" ht="14.25" customHeight="1" x14ac:dyDescent="0.5">
      <c r="A347" s="2" t="s">
        <v>1191</v>
      </c>
      <c r="B347" s="2" t="s">
        <v>1029</v>
      </c>
      <c r="C347" s="2" t="str">
        <f t="shared" si="11"/>
        <v>John Miller</v>
      </c>
      <c r="D347" s="2" t="s">
        <v>235</v>
      </c>
      <c r="E347" s="2" t="str">
        <f t="shared" si="12"/>
        <v>jane@company.com</v>
      </c>
      <c r="F347" s="2" t="s">
        <v>69</v>
      </c>
      <c r="G347" s="3">
        <v>44862</v>
      </c>
      <c r="H347" s="3" t="str">
        <f t="shared" si="13"/>
        <v>28-Oct-2022</v>
      </c>
      <c r="I347" s="10" t="s">
        <v>1192</v>
      </c>
      <c r="J347" s="10">
        <f t="shared" si="14"/>
        <v>57508</v>
      </c>
      <c r="K347" s="11" t="s">
        <v>36</v>
      </c>
      <c r="L347" s="2" t="s">
        <v>58</v>
      </c>
      <c r="M347" s="2" t="str">
        <f t="shared" si="15"/>
        <v>Terminated</v>
      </c>
      <c r="N347" s="2" t="s">
        <v>28</v>
      </c>
      <c r="O347" s="2" t="str">
        <f t="shared" si="16"/>
        <v>Pending Docs</v>
      </c>
      <c r="P347" s="2" t="s">
        <v>1193</v>
      </c>
      <c r="Q347" s="2" t="str">
        <f t="shared" si="17"/>
        <v>WT</v>
      </c>
      <c r="R347" s="2" t="e">
        <f t="array" aca="1" ref="R347" ca="1">_xludf.IFS(Q347="ET", "East", Q347="WT", "West", Q347="ST","South", Q347="NR", "North")</f>
        <v>#NAME?</v>
      </c>
      <c r="S347" s="2" t="s">
        <v>60</v>
      </c>
      <c r="T347" s="2" t="str">
        <f t="shared" si="18"/>
        <v>Toronto</v>
      </c>
      <c r="U347" s="12" t="s">
        <v>30</v>
      </c>
      <c r="V347" s="12">
        <f t="shared" si="19"/>
        <v>0.1</v>
      </c>
      <c r="W347" s="13">
        <f t="shared" si="20"/>
        <v>63258.8</v>
      </c>
      <c r="X347" s="2" t="str">
        <f t="shared" si="21"/>
        <v>Normal</v>
      </c>
    </row>
    <row r="348" spans="1:24" ht="14.25" customHeight="1" x14ac:dyDescent="0.5">
      <c r="A348" s="2" t="s">
        <v>1194</v>
      </c>
      <c r="B348" s="2" t="s">
        <v>870</v>
      </c>
      <c r="C348" s="2" t="str">
        <f t="shared" si="11"/>
        <v>Emily Clark</v>
      </c>
      <c r="D348" s="2" t="s">
        <v>105</v>
      </c>
      <c r="E348" s="2" t="str">
        <f t="shared" si="12"/>
        <v>sam@company.com</v>
      </c>
      <c r="F348" s="2" t="s">
        <v>15</v>
      </c>
      <c r="G348" s="3">
        <v>45155</v>
      </c>
      <c r="H348" s="3" t="str">
        <f t="shared" si="13"/>
        <v>17-Aug-2023</v>
      </c>
      <c r="I348" s="10" t="s">
        <v>1195</v>
      </c>
      <c r="J348" s="10">
        <f t="shared" si="14"/>
        <v>62005</v>
      </c>
      <c r="K348" s="11" t="s">
        <v>57</v>
      </c>
      <c r="L348" s="2" t="s">
        <v>18</v>
      </c>
      <c r="M348" s="2" t="str">
        <f t="shared" si="15"/>
        <v>Active</v>
      </c>
      <c r="N348" s="2" t="s">
        <v>77</v>
      </c>
      <c r="O348" s="2" t="str">
        <f t="shared" si="16"/>
        <v>All Clear</v>
      </c>
      <c r="P348" s="2" t="s">
        <v>1196</v>
      </c>
      <c r="Q348" s="2" t="str">
        <f t="shared" si="17"/>
        <v>WT</v>
      </c>
      <c r="R348" s="2" t="e">
        <f t="array" aca="1" ref="R348" ca="1">_xludf.IFS(Q348="ET", "East", Q348="WT", "West", Q348="ST","South", Q348="NR", "North")</f>
        <v>#NAME?</v>
      </c>
      <c r="S348" s="2" t="s">
        <v>79</v>
      </c>
      <c r="T348" s="2" t="str">
        <f t="shared" si="18"/>
        <v>New York</v>
      </c>
      <c r="U348" s="12" t="s">
        <v>85</v>
      </c>
      <c r="V348" s="12">
        <f t="shared" si="19"/>
        <v>0.15</v>
      </c>
      <c r="W348" s="13">
        <f t="shared" si="20"/>
        <v>71305.75</v>
      </c>
      <c r="X348" s="2" t="str">
        <f t="shared" si="21"/>
        <v>Normal</v>
      </c>
    </row>
    <row r="349" spans="1:24" ht="14.25" customHeight="1" x14ac:dyDescent="0.5">
      <c r="A349" s="2" t="s">
        <v>1197</v>
      </c>
      <c r="B349" s="2" t="s">
        <v>889</v>
      </c>
      <c r="C349" s="2" t="str">
        <f t="shared" si="11"/>
        <v>John Wilson</v>
      </c>
      <c r="D349" s="2" t="s">
        <v>125</v>
      </c>
      <c r="E349" s="2" t="str">
        <f t="shared" si="12"/>
        <v>sarah@company.com</v>
      </c>
      <c r="F349" s="2" t="s">
        <v>42</v>
      </c>
      <c r="G349" s="3">
        <v>44173</v>
      </c>
      <c r="H349" s="3" t="str">
        <f t="shared" si="13"/>
        <v>08-Dec-2020</v>
      </c>
      <c r="I349" s="10" t="s">
        <v>1198</v>
      </c>
      <c r="J349" s="10">
        <f t="shared" si="14"/>
        <v>94575</v>
      </c>
      <c r="K349" s="11" t="s">
        <v>83</v>
      </c>
      <c r="L349" s="2" t="s">
        <v>58</v>
      </c>
      <c r="M349" s="2" t="str">
        <f t="shared" si="15"/>
        <v>Terminated</v>
      </c>
      <c r="N349" s="2" t="s">
        <v>19</v>
      </c>
      <c r="O349" s="2" t="str">
        <f t="shared" si="16"/>
        <v>Urgent Review</v>
      </c>
      <c r="P349" s="2" t="s">
        <v>1199</v>
      </c>
      <c r="Q349" s="2" t="str">
        <f t="shared" si="17"/>
        <v>ST</v>
      </c>
      <c r="R349" s="2" t="e">
        <f t="array" aca="1" ref="R349" ca="1">_xludf.IFS(Q349="ET", "East", Q349="WT", "West", Q349="ST","South", Q349="NR", "North")</f>
        <v>#NAME?</v>
      </c>
      <c r="S349" s="2" t="s">
        <v>38</v>
      </c>
      <c r="T349" s="2" t="str">
        <f t="shared" si="18"/>
        <v>London</v>
      </c>
      <c r="U349" s="12" t="s">
        <v>22</v>
      </c>
      <c r="V349" s="12">
        <f t="shared" si="19"/>
        <v>0.2</v>
      </c>
      <c r="W349" s="13">
        <f t="shared" si="20"/>
        <v>113490</v>
      </c>
      <c r="X349" s="2" t="str">
        <f t="shared" si="21"/>
        <v>High</v>
      </c>
    </row>
    <row r="350" spans="1:24" ht="14.25" customHeight="1" x14ac:dyDescent="0.5">
      <c r="A350" s="2" t="s">
        <v>1200</v>
      </c>
      <c r="B350" s="2" t="s">
        <v>482</v>
      </c>
      <c r="C350" s="2" t="str">
        <f t="shared" si="11"/>
        <v>Emily Davis</v>
      </c>
      <c r="D350" s="2" t="s">
        <v>33</v>
      </c>
      <c r="E350" s="2" t="str">
        <f t="shared" si="12"/>
        <v>alex@company.com</v>
      </c>
      <c r="F350" s="2" t="s">
        <v>34</v>
      </c>
      <c r="G350" s="3">
        <v>45285</v>
      </c>
      <c r="H350" s="3" t="str">
        <f t="shared" si="13"/>
        <v>25-Dec-2023</v>
      </c>
      <c r="I350" s="10" t="s">
        <v>1201</v>
      </c>
      <c r="J350" s="10">
        <f t="shared" si="14"/>
        <v>58971</v>
      </c>
      <c r="K350" s="11" t="s">
        <v>36</v>
      </c>
      <c r="L350" s="2" t="s">
        <v>18</v>
      </c>
      <c r="M350" s="2" t="str">
        <f t="shared" si="15"/>
        <v>Active</v>
      </c>
      <c r="N350" s="2" t="s">
        <v>107</v>
      </c>
      <c r="O350" s="2" t="str">
        <f t="shared" si="16"/>
        <v>All Clear</v>
      </c>
      <c r="P350" s="2" t="s">
        <v>1202</v>
      </c>
      <c r="Q350" s="2" t="str">
        <f t="shared" si="17"/>
        <v>WT</v>
      </c>
      <c r="R350" s="2" t="e">
        <f t="array" aca="1" ref="R350" ca="1">_xludf.IFS(Q350="ET", "East", Q350="WT", "West", Q350="ST","South", Q350="NR", "North")</f>
        <v>#NAME?</v>
      </c>
      <c r="S350" s="2" t="s">
        <v>53</v>
      </c>
      <c r="T350" s="2" t="str">
        <f t="shared" si="18"/>
        <v>Delhi</v>
      </c>
      <c r="U350" s="12" t="s">
        <v>39</v>
      </c>
      <c r="V350" s="12">
        <f t="shared" si="19"/>
        <v>0.05</v>
      </c>
      <c r="W350" s="13">
        <f t="shared" si="20"/>
        <v>61919.55</v>
      </c>
      <c r="X350" s="2" t="str">
        <f t="shared" si="21"/>
        <v>Normal</v>
      </c>
    </row>
    <row r="351" spans="1:24" ht="14.25" customHeight="1" x14ac:dyDescent="0.5">
      <c r="A351" s="2" t="s">
        <v>1203</v>
      </c>
      <c r="B351" s="2" t="s">
        <v>836</v>
      </c>
      <c r="C351" s="2" t="str">
        <f t="shared" si="11"/>
        <v>Jane Brown</v>
      </c>
      <c r="D351" s="2" t="s">
        <v>14</v>
      </c>
      <c r="E351" s="2" t="str">
        <f t="shared" si="12"/>
        <v>john@company.com</v>
      </c>
      <c r="F351" s="2" t="s">
        <v>50</v>
      </c>
      <c r="G351" s="3">
        <v>45278</v>
      </c>
      <c r="H351" s="3" t="str">
        <f t="shared" si="13"/>
        <v>18-Dec-2023</v>
      </c>
      <c r="I351" s="10" t="s">
        <v>1204</v>
      </c>
      <c r="J351" s="10">
        <f t="shared" si="14"/>
        <v>65599</v>
      </c>
      <c r="K351" s="11" t="s">
        <v>17</v>
      </c>
      <c r="L351" s="2" t="s">
        <v>112</v>
      </c>
      <c r="M351" s="2" t="str">
        <f t="shared" si="15"/>
        <v>On Leave</v>
      </c>
      <c r="O351" s="2" t="str">
        <f t="shared" si="16"/>
        <v>No Notes</v>
      </c>
      <c r="P351" s="2" t="s">
        <v>1205</v>
      </c>
      <c r="Q351" s="2" t="str">
        <f t="shared" si="17"/>
        <v>ST</v>
      </c>
      <c r="R351" s="2" t="e">
        <f t="array" aca="1" ref="R351" ca="1">_xludf.IFS(Q351="ET", "East", Q351="WT", "West", Q351="ST","South", Q351="NR", "North")</f>
        <v>#NAME?</v>
      </c>
      <c r="S351" s="2" t="s">
        <v>38</v>
      </c>
      <c r="T351" s="2" t="str">
        <f t="shared" si="18"/>
        <v>London</v>
      </c>
      <c r="U351" s="12" t="s">
        <v>22</v>
      </c>
      <c r="V351" s="12">
        <f t="shared" si="19"/>
        <v>0.2</v>
      </c>
      <c r="W351" s="13">
        <f t="shared" si="20"/>
        <v>78718.8</v>
      </c>
      <c r="X351" s="2" t="str">
        <f t="shared" si="21"/>
        <v>Normal</v>
      </c>
    </row>
    <row r="352" spans="1:24" ht="14.25" customHeight="1" x14ac:dyDescent="0.5">
      <c r="A352" s="2" t="s">
        <v>1206</v>
      </c>
      <c r="B352" s="2" t="s">
        <v>669</v>
      </c>
      <c r="C352" s="2" t="str">
        <f t="shared" si="11"/>
        <v>Sarah Miller</v>
      </c>
      <c r="D352" s="2" t="s">
        <v>49</v>
      </c>
      <c r="E352" s="2" t="str">
        <f t="shared" si="12"/>
        <v>emily@company.com</v>
      </c>
      <c r="F352" s="2" t="s">
        <v>100</v>
      </c>
      <c r="G352" s="3">
        <v>44162</v>
      </c>
      <c r="H352" s="3" t="str">
        <f t="shared" si="13"/>
        <v>27-Nov-2020</v>
      </c>
      <c r="I352" s="10" t="s">
        <v>1207</v>
      </c>
      <c r="J352" s="10">
        <f t="shared" si="14"/>
        <v>106914</v>
      </c>
      <c r="K352" s="11" t="s">
        <v>17</v>
      </c>
      <c r="L352" s="2" t="s">
        <v>64</v>
      </c>
      <c r="M352" s="2" t="str">
        <f t="shared" si="15"/>
        <v>Terminated</v>
      </c>
      <c r="N352" s="2" t="s">
        <v>28</v>
      </c>
      <c r="O352" s="2" t="str">
        <f t="shared" si="16"/>
        <v>Pending Docs</v>
      </c>
      <c r="P352" s="2" t="s">
        <v>1208</v>
      </c>
      <c r="Q352" s="2" t="str">
        <f t="shared" si="17"/>
        <v>ST</v>
      </c>
      <c r="R352" s="2" t="e">
        <f t="array" aca="1" ref="R352" ca="1">_xludf.IFS(Q352="ET", "East", Q352="WT", "West", Q352="ST","South", Q352="NR", "North")</f>
        <v>#NAME?</v>
      </c>
      <c r="S352" s="2" t="s">
        <v>47</v>
      </c>
      <c r="T352" s="2" t="str">
        <f t="shared" si="18"/>
        <v>Lagos</v>
      </c>
      <c r="U352" s="12" t="s">
        <v>30</v>
      </c>
      <c r="V352" s="12">
        <f t="shared" si="19"/>
        <v>0.1</v>
      </c>
      <c r="W352" s="13">
        <f t="shared" si="20"/>
        <v>117605.40000000001</v>
      </c>
      <c r="X352" s="2" t="str">
        <f t="shared" si="21"/>
        <v>High</v>
      </c>
    </row>
    <row r="353" spans="1:24" ht="14.25" customHeight="1" x14ac:dyDescent="0.5">
      <c r="A353" s="2" t="s">
        <v>1209</v>
      </c>
      <c r="B353" s="2" t="s">
        <v>169</v>
      </c>
      <c r="C353" s="2" t="str">
        <f t="shared" si="11"/>
        <v>Jane Miller</v>
      </c>
      <c r="D353" s="2" t="s">
        <v>93</v>
      </c>
      <c r="E353" s="2" t="str">
        <f t="shared" si="12"/>
        <v>k@ie@company.com</v>
      </c>
      <c r="F353" s="2" t="s">
        <v>75</v>
      </c>
      <c r="G353" s="3">
        <v>44268</v>
      </c>
      <c r="H353" s="3" t="str">
        <f t="shared" si="13"/>
        <v>13-Mar-2021</v>
      </c>
      <c r="I353" s="10" t="s">
        <v>1210</v>
      </c>
      <c r="J353" s="10">
        <f t="shared" si="14"/>
        <v>107055</v>
      </c>
      <c r="K353" s="11" t="s">
        <v>57</v>
      </c>
      <c r="L353" s="2" t="s">
        <v>45</v>
      </c>
      <c r="M353" s="2" t="str">
        <f t="shared" si="15"/>
        <v>Active</v>
      </c>
      <c r="N353" s="2" t="s">
        <v>107</v>
      </c>
      <c r="O353" s="2" t="str">
        <f t="shared" si="16"/>
        <v>All Clear</v>
      </c>
      <c r="P353" s="2" t="s">
        <v>1211</v>
      </c>
      <c r="Q353" s="2" t="str">
        <f t="shared" si="17"/>
        <v>ST</v>
      </c>
      <c r="R353" s="2" t="e">
        <f t="array" aca="1" ref="R353" ca="1">_xludf.IFS(Q353="ET", "East", Q353="WT", "West", Q353="ST","South", Q353="NR", "North")</f>
        <v>#NAME?</v>
      </c>
      <c r="S353" s="2" t="s">
        <v>60</v>
      </c>
      <c r="T353" s="2" t="str">
        <f t="shared" si="18"/>
        <v>Toronto</v>
      </c>
      <c r="U353" s="12" t="s">
        <v>85</v>
      </c>
      <c r="V353" s="12">
        <f t="shared" si="19"/>
        <v>0.15</v>
      </c>
      <c r="W353" s="13">
        <f t="shared" si="20"/>
        <v>123113.24999999999</v>
      </c>
      <c r="X353" s="2" t="str">
        <f t="shared" si="21"/>
        <v>High</v>
      </c>
    </row>
    <row r="354" spans="1:24" ht="14.25" customHeight="1" x14ac:dyDescent="0.5">
      <c r="A354" s="2" t="s">
        <v>1212</v>
      </c>
      <c r="B354" s="2" t="s">
        <v>524</v>
      </c>
      <c r="C354" s="2" t="str">
        <f t="shared" si="11"/>
        <v>Jane Johnson</v>
      </c>
      <c r="D354" s="2" t="s">
        <v>25</v>
      </c>
      <c r="E354" s="2" t="str">
        <f t="shared" si="12"/>
        <v>chris@company.com</v>
      </c>
      <c r="F354" s="2" t="s">
        <v>100</v>
      </c>
      <c r="G354" s="3">
        <v>44004</v>
      </c>
      <c r="H354" s="3" t="str">
        <f t="shared" si="13"/>
        <v>22-Jun-2020</v>
      </c>
      <c r="I354" s="10" t="s">
        <v>1213</v>
      </c>
      <c r="J354" s="10">
        <f t="shared" si="14"/>
        <v>45355</v>
      </c>
      <c r="K354" s="11" t="s">
        <v>83</v>
      </c>
      <c r="L354" s="2" t="s">
        <v>112</v>
      </c>
      <c r="M354" s="2" t="str">
        <f t="shared" si="15"/>
        <v>On Leave</v>
      </c>
      <c r="N354" s="2" t="s">
        <v>107</v>
      </c>
      <c r="O354" s="2" t="str">
        <f t="shared" si="16"/>
        <v>All Clear</v>
      </c>
      <c r="P354" s="2" t="s">
        <v>1214</v>
      </c>
      <c r="Q354" s="2" t="str">
        <f t="shared" si="17"/>
        <v>ET</v>
      </c>
      <c r="R354" s="2" t="e">
        <f t="array" aca="1" ref="R354" ca="1">_xludf.IFS(Q354="ET", "East", Q354="WT", "West", Q354="ST","South", Q354="NR", "North")</f>
        <v>#NAME?</v>
      </c>
      <c r="S354" s="2" t="s">
        <v>159</v>
      </c>
      <c r="T354" s="2" t="str">
        <f t="shared" si="18"/>
        <v>Berlin</v>
      </c>
      <c r="U354" s="12" t="s">
        <v>85</v>
      </c>
      <c r="V354" s="12">
        <f t="shared" si="19"/>
        <v>0.15</v>
      </c>
      <c r="W354" s="13">
        <f t="shared" si="20"/>
        <v>52158.249999999993</v>
      </c>
      <c r="X354" s="2" t="str">
        <f t="shared" si="21"/>
        <v>Normal</v>
      </c>
    </row>
    <row r="355" spans="1:24" ht="14.25" customHeight="1" x14ac:dyDescent="0.5">
      <c r="A355" s="2" t="s">
        <v>1215</v>
      </c>
      <c r="B355" s="2" t="s">
        <v>836</v>
      </c>
      <c r="C355" s="2" t="str">
        <f t="shared" si="11"/>
        <v>Jane Brown</v>
      </c>
      <c r="D355" s="2" t="s">
        <v>93</v>
      </c>
      <c r="E355" s="2" t="str">
        <f t="shared" si="12"/>
        <v>k@ie@company.com</v>
      </c>
      <c r="F355" s="2" t="s">
        <v>75</v>
      </c>
      <c r="G355" s="3">
        <v>44389</v>
      </c>
      <c r="H355" s="3" t="str">
        <f t="shared" si="13"/>
        <v>12-Jul-2021</v>
      </c>
      <c r="I355" s="10" t="s">
        <v>1216</v>
      </c>
      <c r="J355" s="10">
        <f t="shared" si="14"/>
        <v>94120</v>
      </c>
      <c r="K355" s="11" t="s">
        <v>83</v>
      </c>
      <c r="L355" s="2" t="s">
        <v>27</v>
      </c>
      <c r="M355" s="2" t="str">
        <f t="shared" si="15"/>
        <v>On Leave</v>
      </c>
      <c r="N355" s="2" t="s">
        <v>77</v>
      </c>
      <c r="O355" s="2" t="str">
        <f t="shared" si="16"/>
        <v>All Clear</v>
      </c>
      <c r="P355" s="2" t="s">
        <v>1217</v>
      </c>
      <c r="Q355" s="2" t="str">
        <f t="shared" si="17"/>
        <v>ET</v>
      </c>
      <c r="R355" s="2" t="e">
        <f t="array" aca="1" ref="R355" ca="1">_xludf.IFS(Q355="ET", "East", Q355="WT", "West", Q355="ST","South", Q355="NR", "North")</f>
        <v>#NAME?</v>
      </c>
      <c r="S355" s="2" t="s">
        <v>60</v>
      </c>
      <c r="T355" s="2" t="str">
        <f t="shared" si="18"/>
        <v>Toronto</v>
      </c>
      <c r="U355" s="12" t="s">
        <v>85</v>
      </c>
      <c r="V355" s="12">
        <f t="shared" si="19"/>
        <v>0.15</v>
      </c>
      <c r="W355" s="13">
        <f t="shared" si="20"/>
        <v>108237.99999999999</v>
      </c>
      <c r="X355" s="2" t="str">
        <f t="shared" si="21"/>
        <v>High</v>
      </c>
    </row>
    <row r="356" spans="1:24" ht="14.25" customHeight="1" x14ac:dyDescent="0.5">
      <c r="A356" s="2" t="s">
        <v>1218</v>
      </c>
      <c r="B356" s="2" t="s">
        <v>133</v>
      </c>
      <c r="C356" s="2" t="str">
        <f t="shared" si="11"/>
        <v>Jane Taylor</v>
      </c>
      <c r="D356" s="2" t="s">
        <v>74</v>
      </c>
      <c r="E356" s="2" t="str">
        <f t="shared" si="12"/>
        <v>mike@company.com</v>
      </c>
      <c r="F356" s="2" t="s">
        <v>100</v>
      </c>
      <c r="G356" s="3">
        <v>44357</v>
      </c>
      <c r="H356" s="3" t="str">
        <f t="shared" si="13"/>
        <v>10-Jun-2021</v>
      </c>
      <c r="I356" s="10" t="s">
        <v>1219</v>
      </c>
      <c r="J356" s="10">
        <f t="shared" si="14"/>
        <v>114619</v>
      </c>
      <c r="K356" s="11" t="s">
        <v>44</v>
      </c>
      <c r="L356" s="2" t="s">
        <v>58</v>
      </c>
      <c r="M356" s="2" t="str">
        <f t="shared" si="15"/>
        <v>Terminated</v>
      </c>
      <c r="O356" s="2" t="str">
        <f t="shared" si="16"/>
        <v>No Notes</v>
      </c>
      <c r="P356" s="2" t="s">
        <v>1220</v>
      </c>
      <c r="Q356" s="2" t="str">
        <f t="shared" si="17"/>
        <v>WT</v>
      </c>
      <c r="R356" s="2" t="e">
        <f t="array" aca="1" ref="R356" ca="1">_xludf.IFS(Q356="ET", "East", Q356="WT", "West", Q356="ST","South", Q356="NR", "North")</f>
        <v>#NAME?</v>
      </c>
      <c r="S356" s="2" t="s">
        <v>38</v>
      </c>
      <c r="T356" s="2" t="str">
        <f t="shared" si="18"/>
        <v>London</v>
      </c>
      <c r="U356" s="12" t="s">
        <v>22</v>
      </c>
      <c r="V356" s="12">
        <f t="shared" si="19"/>
        <v>0.2</v>
      </c>
      <c r="W356" s="13">
        <f t="shared" si="20"/>
        <v>137542.79999999999</v>
      </c>
      <c r="X356" s="2" t="str">
        <f t="shared" si="21"/>
        <v>High</v>
      </c>
    </row>
    <row r="357" spans="1:24" ht="14.25" customHeight="1" x14ac:dyDescent="0.5">
      <c r="A357" s="2" t="s">
        <v>1221</v>
      </c>
      <c r="B357" s="2" t="s">
        <v>429</v>
      </c>
      <c r="C357" s="2" t="str">
        <f t="shared" si="11"/>
        <v>Katie Miller</v>
      </c>
      <c r="D357" s="2" t="s">
        <v>93</v>
      </c>
      <c r="E357" s="2" t="str">
        <f t="shared" si="12"/>
        <v>k@ie@company.com</v>
      </c>
      <c r="F357" s="2" t="s">
        <v>75</v>
      </c>
      <c r="G357" s="3">
        <v>44489</v>
      </c>
      <c r="H357" s="3" t="str">
        <f t="shared" si="13"/>
        <v>20-Oct-2021</v>
      </c>
      <c r="I357" s="10" t="s">
        <v>1222</v>
      </c>
      <c r="J357" s="10">
        <f t="shared" si="14"/>
        <v>78342</v>
      </c>
      <c r="K357" s="11" t="s">
        <v>83</v>
      </c>
      <c r="L357" s="2" t="s">
        <v>27</v>
      </c>
      <c r="M357" s="2" t="str">
        <f t="shared" si="15"/>
        <v>On Leave</v>
      </c>
      <c r="N357" s="2" t="s">
        <v>107</v>
      </c>
      <c r="O357" s="2" t="str">
        <f t="shared" si="16"/>
        <v>All Clear</v>
      </c>
      <c r="P357" s="2" t="s">
        <v>1223</v>
      </c>
      <c r="Q357" s="2" t="str">
        <f t="shared" si="17"/>
        <v>WT</v>
      </c>
      <c r="R357" s="2" t="e">
        <f t="array" aca="1" ref="R357" ca="1">_xludf.IFS(Q357="ET", "East", Q357="WT", "West", Q357="ST","South", Q357="NR", "North")</f>
        <v>#NAME?</v>
      </c>
      <c r="S357" s="2" t="s">
        <v>159</v>
      </c>
      <c r="T357" s="2" t="str">
        <f t="shared" si="18"/>
        <v>Berlin</v>
      </c>
      <c r="U357" s="12" t="s">
        <v>30</v>
      </c>
      <c r="V357" s="12">
        <f t="shared" si="19"/>
        <v>0.1</v>
      </c>
      <c r="W357" s="13">
        <f t="shared" si="20"/>
        <v>86176.200000000012</v>
      </c>
      <c r="X357" s="2" t="str">
        <f t="shared" si="21"/>
        <v>Normal</v>
      </c>
    </row>
    <row r="358" spans="1:24" ht="14.25" customHeight="1" x14ac:dyDescent="0.5">
      <c r="A358" s="2" t="s">
        <v>1224</v>
      </c>
      <c r="B358" s="2" t="s">
        <v>502</v>
      </c>
      <c r="C358" s="2" t="str">
        <f t="shared" si="11"/>
        <v>John Moore</v>
      </c>
      <c r="D358" s="2" t="s">
        <v>125</v>
      </c>
      <c r="E358" s="2" t="str">
        <f t="shared" si="12"/>
        <v>sarah@company.com</v>
      </c>
      <c r="F358" s="2" t="s">
        <v>15</v>
      </c>
      <c r="G358" s="3">
        <v>43856</v>
      </c>
      <c r="H358" s="3" t="str">
        <f t="shared" si="13"/>
        <v>26-Jan-2020</v>
      </c>
      <c r="I358" s="10" t="s">
        <v>1225</v>
      </c>
      <c r="J358" s="10">
        <f t="shared" si="14"/>
        <v>118860</v>
      </c>
      <c r="K358" s="11" t="s">
        <v>57</v>
      </c>
      <c r="L358" s="2" t="s">
        <v>89</v>
      </c>
      <c r="M358" s="2" t="str">
        <f t="shared" si="15"/>
        <v>Active</v>
      </c>
      <c r="N358" s="2" t="s">
        <v>77</v>
      </c>
      <c r="O358" s="2" t="str">
        <f t="shared" si="16"/>
        <v>All Clear</v>
      </c>
      <c r="P358" s="2" t="s">
        <v>1226</v>
      </c>
      <c r="Q358" s="2" t="str">
        <f t="shared" si="17"/>
        <v>ET</v>
      </c>
      <c r="R358" s="2" t="e">
        <f t="array" aca="1" ref="R358" ca="1">_xludf.IFS(Q358="ET", "East", Q358="WT", "West", Q358="ST","South", Q358="NR", "North")</f>
        <v>#NAME?</v>
      </c>
      <c r="S358" s="2" t="s">
        <v>60</v>
      </c>
      <c r="T358" s="2" t="str">
        <f t="shared" si="18"/>
        <v>Toronto</v>
      </c>
      <c r="U358" s="12" t="s">
        <v>39</v>
      </c>
      <c r="V358" s="12">
        <f t="shared" si="19"/>
        <v>0.05</v>
      </c>
      <c r="W358" s="13">
        <f t="shared" si="20"/>
        <v>124803</v>
      </c>
      <c r="X358" s="2" t="str">
        <f t="shared" si="21"/>
        <v>High</v>
      </c>
    </row>
    <row r="359" spans="1:24" ht="14.25" customHeight="1" x14ac:dyDescent="0.5">
      <c r="A359" s="2" t="s">
        <v>1227</v>
      </c>
      <c r="B359" s="2" t="s">
        <v>32</v>
      </c>
      <c r="C359" s="2" t="str">
        <f t="shared" si="11"/>
        <v>Sarah Lewis</v>
      </c>
      <c r="D359" s="2" t="s">
        <v>33</v>
      </c>
      <c r="E359" s="2" t="str">
        <f t="shared" si="12"/>
        <v>alex@company.com</v>
      </c>
      <c r="F359" s="2" t="s">
        <v>69</v>
      </c>
      <c r="G359" s="3">
        <v>44650</v>
      </c>
      <c r="H359" s="3" t="str">
        <f t="shared" si="13"/>
        <v>30-Mar-2022</v>
      </c>
      <c r="I359" s="10" t="s">
        <v>1228</v>
      </c>
      <c r="J359" s="10">
        <f t="shared" si="14"/>
        <v>42257</v>
      </c>
      <c r="K359" s="11" t="s">
        <v>44</v>
      </c>
      <c r="L359" s="2" t="s">
        <v>58</v>
      </c>
      <c r="M359" s="2" t="str">
        <f t="shared" si="15"/>
        <v>Terminated</v>
      </c>
      <c r="N359" s="2" t="s">
        <v>19</v>
      </c>
      <c r="O359" s="2" t="str">
        <f t="shared" si="16"/>
        <v>Urgent Review</v>
      </c>
      <c r="P359" s="2" t="s">
        <v>1229</v>
      </c>
      <c r="Q359" s="2" t="str">
        <f t="shared" si="17"/>
        <v>NR</v>
      </c>
      <c r="R359" s="2" t="e">
        <f t="array" aca="1" ref="R359" ca="1">_xludf.IFS(Q359="ET", "East", Q359="WT", "West", Q359="ST","South", Q359="NR", "North")</f>
        <v>#NAME?</v>
      </c>
      <c r="S359" s="2" t="s">
        <v>53</v>
      </c>
      <c r="T359" s="2" t="str">
        <f t="shared" si="18"/>
        <v>Delhi</v>
      </c>
      <c r="U359" s="12" t="s">
        <v>39</v>
      </c>
      <c r="V359" s="12">
        <f t="shared" si="19"/>
        <v>0.05</v>
      </c>
      <c r="W359" s="13">
        <f t="shared" si="20"/>
        <v>44369.85</v>
      </c>
      <c r="X359" s="2" t="str">
        <f t="shared" si="21"/>
        <v>Normal</v>
      </c>
    </row>
    <row r="360" spans="1:24" ht="14.25" customHeight="1" x14ac:dyDescent="0.5">
      <c r="A360" s="2" t="s">
        <v>1230</v>
      </c>
      <c r="B360" s="2" t="s">
        <v>156</v>
      </c>
      <c r="C360" s="2" t="str">
        <f t="shared" si="11"/>
        <v>Sam Smith</v>
      </c>
      <c r="D360" s="2" t="s">
        <v>49</v>
      </c>
      <c r="E360" s="2" t="str">
        <f t="shared" si="12"/>
        <v>emily@company.com</v>
      </c>
      <c r="F360" s="2" t="s">
        <v>75</v>
      </c>
      <c r="G360" s="3">
        <v>44435</v>
      </c>
      <c r="H360" s="3" t="str">
        <f t="shared" si="13"/>
        <v>27-Aug-2021</v>
      </c>
      <c r="I360" s="10" t="s">
        <v>1231</v>
      </c>
      <c r="J360" s="10">
        <f t="shared" si="14"/>
        <v>67364</v>
      </c>
      <c r="K360" s="11" t="s">
        <v>44</v>
      </c>
      <c r="L360" s="2" t="s">
        <v>121</v>
      </c>
      <c r="M360" s="2" t="str">
        <f t="shared" si="15"/>
        <v>On Leave</v>
      </c>
      <c r="N360" s="2" t="s">
        <v>77</v>
      </c>
      <c r="O360" s="2" t="str">
        <f t="shared" si="16"/>
        <v>All Clear</v>
      </c>
      <c r="P360" s="2" t="s">
        <v>1232</v>
      </c>
      <c r="Q360" s="2" t="str">
        <f t="shared" si="17"/>
        <v>ET</v>
      </c>
      <c r="R360" s="2" t="e">
        <f t="array" aca="1" ref="R360" ca="1">_xludf.IFS(Q360="ET", "East", Q360="WT", "West", Q360="ST","South", Q360="NR", "North")</f>
        <v>#NAME?</v>
      </c>
      <c r="S360" s="2" t="s">
        <v>53</v>
      </c>
      <c r="T360" s="2" t="str">
        <f t="shared" si="18"/>
        <v>Delhi</v>
      </c>
      <c r="U360" s="12" t="s">
        <v>30</v>
      </c>
      <c r="V360" s="12">
        <f t="shared" si="19"/>
        <v>0.1</v>
      </c>
      <c r="W360" s="13">
        <f t="shared" si="20"/>
        <v>74100.400000000009</v>
      </c>
      <c r="X360" s="2" t="str">
        <f t="shared" si="21"/>
        <v>Normal</v>
      </c>
    </row>
    <row r="361" spans="1:24" ht="14.25" customHeight="1" x14ac:dyDescent="0.5">
      <c r="A361" s="2" t="s">
        <v>1233</v>
      </c>
      <c r="B361" s="2" t="s">
        <v>418</v>
      </c>
      <c r="C361" s="2" t="str">
        <f t="shared" si="11"/>
        <v>Emily Taylor</v>
      </c>
      <c r="D361" s="2" t="s">
        <v>14</v>
      </c>
      <c r="E361" s="2" t="str">
        <f t="shared" si="12"/>
        <v>john@company.com</v>
      </c>
      <c r="F361" s="2" t="s">
        <v>75</v>
      </c>
      <c r="G361" s="3">
        <v>44236</v>
      </c>
      <c r="H361" s="3" t="str">
        <f t="shared" si="13"/>
        <v>09-Feb-2021</v>
      </c>
      <c r="I361" s="10" t="s">
        <v>1234</v>
      </c>
      <c r="J361" s="10">
        <f t="shared" si="14"/>
        <v>64972</v>
      </c>
      <c r="K361" s="11" t="s">
        <v>17</v>
      </c>
      <c r="L361" s="2" t="s">
        <v>121</v>
      </c>
      <c r="M361" s="2" t="str">
        <f t="shared" si="15"/>
        <v>On Leave</v>
      </c>
      <c r="N361" s="2" t="s">
        <v>19</v>
      </c>
      <c r="O361" s="2" t="str">
        <f t="shared" si="16"/>
        <v>Urgent Review</v>
      </c>
      <c r="P361" s="2" t="s">
        <v>1235</v>
      </c>
      <c r="Q361" s="2" t="str">
        <f t="shared" si="17"/>
        <v>ST</v>
      </c>
      <c r="R361" s="2" t="e">
        <f t="array" aca="1" ref="R361" ca="1">_xludf.IFS(Q361="ET", "East", Q361="WT", "West", Q361="ST","South", Q361="NR", "North")</f>
        <v>#NAME?</v>
      </c>
      <c r="S361" s="2" t="s">
        <v>60</v>
      </c>
      <c r="T361" s="2" t="str">
        <f t="shared" si="18"/>
        <v>Toronto</v>
      </c>
      <c r="U361" s="12" t="s">
        <v>22</v>
      </c>
      <c r="V361" s="12">
        <f t="shared" si="19"/>
        <v>0.2</v>
      </c>
      <c r="W361" s="13">
        <f t="shared" si="20"/>
        <v>77966.399999999994</v>
      </c>
      <c r="X361" s="2" t="str">
        <f t="shared" si="21"/>
        <v>Normal</v>
      </c>
    </row>
    <row r="362" spans="1:24" ht="14.25" customHeight="1" x14ac:dyDescent="0.5">
      <c r="A362" s="2" t="s">
        <v>1236</v>
      </c>
      <c r="B362" s="2" t="s">
        <v>353</v>
      </c>
      <c r="C362" s="2" t="str">
        <f t="shared" si="11"/>
        <v>Mike Moore</v>
      </c>
      <c r="D362" s="2" t="s">
        <v>14</v>
      </c>
      <c r="E362" s="2" t="str">
        <f t="shared" si="12"/>
        <v>john@company.com</v>
      </c>
      <c r="F362" s="2" t="s">
        <v>42</v>
      </c>
      <c r="G362" s="3">
        <v>44062</v>
      </c>
      <c r="H362" s="3" t="str">
        <f t="shared" si="13"/>
        <v>19-Aug-2020</v>
      </c>
      <c r="I362" s="10" t="s">
        <v>1237</v>
      </c>
      <c r="J362" s="10">
        <f t="shared" si="14"/>
        <v>66654</v>
      </c>
      <c r="K362" s="11" t="s">
        <v>17</v>
      </c>
      <c r="L362" s="2" t="s">
        <v>64</v>
      </c>
      <c r="M362" s="2" t="str">
        <f t="shared" si="15"/>
        <v>Terminated</v>
      </c>
      <c r="N362" s="2" t="s">
        <v>19</v>
      </c>
      <c r="O362" s="2" t="str">
        <f t="shared" si="16"/>
        <v>Urgent Review</v>
      </c>
      <c r="P362" s="2" t="s">
        <v>1238</v>
      </c>
      <c r="Q362" s="2" t="str">
        <f t="shared" si="17"/>
        <v>ET</v>
      </c>
      <c r="R362" s="2" t="e">
        <f t="array" aca="1" ref="R362" ca="1">_xludf.IFS(Q362="ET", "East", Q362="WT", "West", Q362="ST","South", Q362="NR", "North")</f>
        <v>#NAME?</v>
      </c>
      <c r="S362" s="2" t="s">
        <v>159</v>
      </c>
      <c r="T362" s="2" t="str">
        <f t="shared" si="18"/>
        <v>Berlin</v>
      </c>
      <c r="U362" s="12" t="s">
        <v>39</v>
      </c>
      <c r="V362" s="12">
        <f t="shared" si="19"/>
        <v>0.05</v>
      </c>
      <c r="W362" s="13">
        <f t="shared" si="20"/>
        <v>69986.7</v>
      </c>
      <c r="X362" s="2" t="str">
        <f t="shared" si="21"/>
        <v>Normal</v>
      </c>
    </row>
    <row r="363" spans="1:24" ht="14.25" customHeight="1" x14ac:dyDescent="0.5">
      <c r="A363" s="2" t="s">
        <v>1239</v>
      </c>
      <c r="B363" s="2" t="s">
        <v>736</v>
      </c>
      <c r="C363" s="2" t="str">
        <f t="shared" si="11"/>
        <v>John Lewis</v>
      </c>
      <c r="D363" s="2" t="s">
        <v>105</v>
      </c>
      <c r="E363" s="2" t="str">
        <f t="shared" si="12"/>
        <v>sam@company.com</v>
      </c>
      <c r="F363" s="2" t="s">
        <v>75</v>
      </c>
      <c r="G363" s="3">
        <v>44363</v>
      </c>
      <c r="H363" s="3" t="str">
        <f t="shared" si="13"/>
        <v>16-Jun-2021</v>
      </c>
      <c r="I363" s="10" t="s">
        <v>1240</v>
      </c>
      <c r="J363" s="10">
        <f t="shared" si="14"/>
        <v>69320</v>
      </c>
      <c r="K363" s="11" t="s">
        <v>83</v>
      </c>
      <c r="L363" s="2" t="s">
        <v>112</v>
      </c>
      <c r="M363" s="2" t="str">
        <f t="shared" si="15"/>
        <v>On Leave</v>
      </c>
      <c r="N363" s="2" t="s">
        <v>107</v>
      </c>
      <c r="O363" s="2" t="str">
        <f t="shared" si="16"/>
        <v>All Clear</v>
      </c>
      <c r="P363" s="2" t="s">
        <v>1241</v>
      </c>
      <c r="Q363" s="2" t="str">
        <f t="shared" si="17"/>
        <v>ST</v>
      </c>
      <c r="R363" s="2" t="e">
        <f t="array" aca="1" ref="R363" ca="1">_xludf.IFS(Q363="ET", "East", Q363="WT", "West", Q363="ST","South", Q363="NR", "North")</f>
        <v>#NAME?</v>
      </c>
      <c r="S363" s="2" t="s">
        <v>38</v>
      </c>
      <c r="T363" s="2" t="str">
        <f t="shared" si="18"/>
        <v>London</v>
      </c>
      <c r="U363" s="12" t="s">
        <v>30</v>
      </c>
      <c r="V363" s="12">
        <f t="shared" si="19"/>
        <v>0.1</v>
      </c>
      <c r="W363" s="13">
        <f t="shared" si="20"/>
        <v>76252</v>
      </c>
      <c r="X363" s="2" t="str">
        <f t="shared" si="21"/>
        <v>Normal</v>
      </c>
    </row>
    <row r="364" spans="1:24" ht="14.25" customHeight="1" x14ac:dyDescent="0.5">
      <c r="A364" s="2" t="s">
        <v>1242</v>
      </c>
      <c r="B364" s="2" t="s">
        <v>293</v>
      </c>
      <c r="C364" s="2" t="str">
        <f t="shared" si="11"/>
        <v>John Taylor</v>
      </c>
      <c r="D364" s="2" t="s">
        <v>25</v>
      </c>
      <c r="E364" s="2" t="str">
        <f t="shared" si="12"/>
        <v>chris@company.com</v>
      </c>
      <c r="F364" s="2" t="s">
        <v>42</v>
      </c>
      <c r="G364" s="3">
        <v>44335</v>
      </c>
      <c r="H364" s="3" t="str">
        <f t="shared" si="13"/>
        <v>19-May-2021</v>
      </c>
      <c r="I364" s="10" t="s">
        <v>1243</v>
      </c>
      <c r="J364" s="10">
        <f t="shared" si="14"/>
        <v>60808</v>
      </c>
      <c r="K364" s="11" t="s">
        <v>44</v>
      </c>
      <c r="L364" s="2" t="s">
        <v>64</v>
      </c>
      <c r="M364" s="2" t="str">
        <f t="shared" si="15"/>
        <v>Terminated</v>
      </c>
      <c r="N364" s="2" t="s">
        <v>77</v>
      </c>
      <c r="O364" s="2" t="str">
        <f t="shared" si="16"/>
        <v>All Clear</v>
      </c>
      <c r="P364" s="2" t="s">
        <v>1244</v>
      </c>
      <c r="Q364" s="2" t="str">
        <f t="shared" si="17"/>
        <v>WT</v>
      </c>
      <c r="R364" s="2" t="e">
        <f t="array" aca="1" ref="R364" ca="1">_xludf.IFS(Q364="ET", "East", Q364="WT", "West", Q364="ST","South", Q364="NR", "North")</f>
        <v>#NAME?</v>
      </c>
      <c r="S364" s="2" t="s">
        <v>60</v>
      </c>
      <c r="T364" s="2" t="str">
        <f t="shared" si="18"/>
        <v>Toronto</v>
      </c>
      <c r="U364" s="12" t="s">
        <v>39</v>
      </c>
      <c r="V364" s="12">
        <f t="shared" si="19"/>
        <v>0.05</v>
      </c>
      <c r="W364" s="13">
        <f t="shared" si="20"/>
        <v>63848.4</v>
      </c>
      <c r="X364" s="2" t="str">
        <f t="shared" si="21"/>
        <v>Normal</v>
      </c>
    </row>
    <row r="365" spans="1:24" ht="14.25" customHeight="1" x14ac:dyDescent="0.5">
      <c r="A365" s="2" t="s">
        <v>1245</v>
      </c>
      <c r="B365" s="2" t="s">
        <v>24</v>
      </c>
      <c r="C365" s="2" t="str">
        <f t="shared" si="11"/>
        <v>Chris Davis</v>
      </c>
      <c r="D365" s="2" t="s">
        <v>235</v>
      </c>
      <c r="E365" s="2" t="str">
        <f t="shared" si="12"/>
        <v>jane@company.com</v>
      </c>
      <c r="F365" s="2" t="s">
        <v>50</v>
      </c>
      <c r="G365" s="3">
        <v>44009</v>
      </c>
      <c r="H365" s="3" t="str">
        <f t="shared" si="13"/>
        <v>27-Jun-2020</v>
      </c>
      <c r="I365" s="10" t="s">
        <v>1246</v>
      </c>
      <c r="J365" s="10">
        <f t="shared" si="14"/>
        <v>92389</v>
      </c>
      <c r="K365" s="11" t="s">
        <v>17</v>
      </c>
      <c r="L365" s="2" t="s">
        <v>89</v>
      </c>
      <c r="M365" s="2" t="str">
        <f t="shared" si="15"/>
        <v>Active</v>
      </c>
      <c r="N365" s="2" t="s">
        <v>19</v>
      </c>
      <c r="O365" s="2" t="str">
        <f t="shared" si="16"/>
        <v>Urgent Review</v>
      </c>
      <c r="P365" s="2" t="s">
        <v>1247</v>
      </c>
      <c r="Q365" s="2" t="str">
        <f t="shared" si="17"/>
        <v>NR</v>
      </c>
      <c r="R365" s="2" t="e">
        <f t="array" aca="1" ref="R365" ca="1">_xludf.IFS(Q365="ET", "East", Q365="WT", "West", Q365="ST","South", Q365="NR", "North")</f>
        <v>#NAME?</v>
      </c>
      <c r="S365" s="2" t="s">
        <v>159</v>
      </c>
      <c r="T365" s="2" t="str">
        <f t="shared" si="18"/>
        <v>Berlin</v>
      </c>
      <c r="U365" s="12" t="s">
        <v>85</v>
      </c>
      <c r="V365" s="12">
        <f t="shared" si="19"/>
        <v>0.15</v>
      </c>
      <c r="W365" s="13">
        <f t="shared" si="20"/>
        <v>106247.34999999999</v>
      </c>
      <c r="X365" s="2" t="str">
        <f t="shared" si="21"/>
        <v>High</v>
      </c>
    </row>
    <row r="366" spans="1:24" ht="14.25" customHeight="1" x14ac:dyDescent="0.5">
      <c r="A366" s="2" t="s">
        <v>1248</v>
      </c>
      <c r="B366" s="2" t="s">
        <v>169</v>
      </c>
      <c r="C366" s="2" t="str">
        <f t="shared" si="11"/>
        <v>Jane Miller</v>
      </c>
      <c r="D366" s="2" t="s">
        <v>33</v>
      </c>
      <c r="E366" s="2" t="str">
        <f t="shared" si="12"/>
        <v>alex@company.com</v>
      </c>
      <c r="F366" s="2" t="s">
        <v>15</v>
      </c>
      <c r="G366" s="3">
        <v>43962</v>
      </c>
      <c r="H366" s="3" t="str">
        <f t="shared" si="13"/>
        <v>11-May-2020</v>
      </c>
      <c r="I366" s="10" t="s">
        <v>1249</v>
      </c>
      <c r="J366" s="10">
        <f t="shared" si="14"/>
        <v>74773</v>
      </c>
      <c r="K366" s="11" t="s">
        <v>57</v>
      </c>
      <c r="L366" s="2" t="s">
        <v>18</v>
      </c>
      <c r="M366" s="2" t="str">
        <f t="shared" si="15"/>
        <v>Active</v>
      </c>
      <c r="O366" s="2" t="str">
        <f t="shared" si="16"/>
        <v>No Notes</v>
      </c>
      <c r="P366" s="2" t="s">
        <v>1250</v>
      </c>
      <c r="Q366" s="2" t="str">
        <f t="shared" si="17"/>
        <v>WT</v>
      </c>
      <c r="R366" s="2" t="e">
        <f t="array" aca="1" ref="R366" ca="1">_xludf.IFS(Q366="ET", "East", Q366="WT", "West", Q366="ST","South", Q366="NR", "North")</f>
        <v>#NAME?</v>
      </c>
      <c r="S366" s="2" t="s">
        <v>96</v>
      </c>
      <c r="T366" s="2" t="str">
        <f t="shared" si="18"/>
        <v>Cairo</v>
      </c>
      <c r="U366" s="12" t="s">
        <v>39</v>
      </c>
      <c r="V366" s="12">
        <f t="shared" si="19"/>
        <v>0.05</v>
      </c>
      <c r="W366" s="13">
        <f t="shared" si="20"/>
        <v>78511.650000000009</v>
      </c>
      <c r="X366" s="2" t="str">
        <f t="shared" si="21"/>
        <v>Normal</v>
      </c>
    </row>
    <row r="367" spans="1:24" ht="14.25" customHeight="1" x14ac:dyDescent="0.5">
      <c r="A367" s="2" t="s">
        <v>1251</v>
      </c>
      <c r="B367" s="2" t="s">
        <v>1252</v>
      </c>
      <c r="C367" s="2" t="str">
        <f t="shared" si="11"/>
        <v>Emily Johnson</v>
      </c>
      <c r="D367" s="2" t="s">
        <v>235</v>
      </c>
      <c r="E367" s="2" t="str">
        <f t="shared" si="12"/>
        <v>jane@company.com</v>
      </c>
      <c r="F367" s="2" t="s">
        <v>42</v>
      </c>
      <c r="G367" s="3">
        <v>45309</v>
      </c>
      <c r="H367" s="3" t="str">
        <f t="shared" si="13"/>
        <v>18-Jan-2024</v>
      </c>
      <c r="I367" s="10" t="s">
        <v>1253</v>
      </c>
      <c r="J367" s="10">
        <f t="shared" si="14"/>
        <v>91168</v>
      </c>
      <c r="K367" s="11" t="s">
        <v>17</v>
      </c>
      <c r="L367" s="2" t="s">
        <v>64</v>
      </c>
      <c r="M367" s="2" t="str">
        <f t="shared" si="15"/>
        <v>Terminated</v>
      </c>
      <c r="N367" s="2" t="s">
        <v>107</v>
      </c>
      <c r="O367" s="2" t="str">
        <f t="shared" si="16"/>
        <v>All Clear</v>
      </c>
      <c r="P367" s="2" t="s">
        <v>1254</v>
      </c>
      <c r="Q367" s="2" t="str">
        <f t="shared" si="17"/>
        <v>ST</v>
      </c>
      <c r="R367" s="2" t="e">
        <f t="array" aca="1" ref="R367" ca="1">_xludf.IFS(Q367="ET", "East", Q367="WT", "West", Q367="ST","South", Q367="NR", "North")</f>
        <v>#NAME?</v>
      </c>
      <c r="S367" s="2" t="s">
        <v>53</v>
      </c>
      <c r="T367" s="2" t="str">
        <f t="shared" si="18"/>
        <v>Delhi</v>
      </c>
      <c r="U367" s="12" t="s">
        <v>22</v>
      </c>
      <c r="V367" s="12">
        <f t="shared" si="19"/>
        <v>0.2</v>
      </c>
      <c r="W367" s="13">
        <f t="shared" si="20"/>
        <v>109401.59999999999</v>
      </c>
      <c r="X367" s="2" t="str">
        <f t="shared" si="21"/>
        <v>High</v>
      </c>
    </row>
    <row r="368" spans="1:24" ht="14.25" customHeight="1" x14ac:dyDescent="0.5">
      <c r="A368" s="2" t="s">
        <v>1255</v>
      </c>
      <c r="B368" s="2" t="s">
        <v>584</v>
      </c>
      <c r="C368" s="2" t="str">
        <f t="shared" si="11"/>
        <v>Sam Clark</v>
      </c>
      <c r="D368" s="2" t="s">
        <v>49</v>
      </c>
      <c r="E368" s="2" t="str">
        <f t="shared" si="12"/>
        <v>emily@company.com</v>
      </c>
      <c r="F368" s="2" t="s">
        <v>69</v>
      </c>
      <c r="G368" s="3">
        <v>44178</v>
      </c>
      <c r="H368" s="3" t="str">
        <f t="shared" si="13"/>
        <v>13-Dec-2020</v>
      </c>
      <c r="I368" s="10" t="s">
        <v>1256</v>
      </c>
      <c r="J368" s="10">
        <f t="shared" si="14"/>
        <v>67747</v>
      </c>
      <c r="K368" s="11" t="s">
        <v>17</v>
      </c>
      <c r="L368" s="2" t="s">
        <v>64</v>
      </c>
      <c r="M368" s="2" t="str">
        <f t="shared" si="15"/>
        <v>Terminated</v>
      </c>
      <c r="N368" s="2" t="s">
        <v>77</v>
      </c>
      <c r="O368" s="2" t="str">
        <f t="shared" si="16"/>
        <v>All Clear</v>
      </c>
      <c r="P368" s="2" t="s">
        <v>1257</v>
      </c>
      <c r="Q368" s="2" t="str">
        <f t="shared" si="17"/>
        <v>ST</v>
      </c>
      <c r="R368" s="2" t="e">
        <f t="array" aca="1" ref="R368" ca="1">_xludf.IFS(Q368="ET", "East", Q368="WT", "West", Q368="ST","South", Q368="NR", "North")</f>
        <v>#NAME?</v>
      </c>
      <c r="S368" s="2" t="s">
        <v>96</v>
      </c>
      <c r="T368" s="2" t="str">
        <f t="shared" si="18"/>
        <v>Cairo</v>
      </c>
      <c r="U368" s="12" t="s">
        <v>30</v>
      </c>
      <c r="V368" s="12">
        <f t="shared" si="19"/>
        <v>0.1</v>
      </c>
      <c r="W368" s="13">
        <f t="shared" si="20"/>
        <v>74521.700000000012</v>
      </c>
      <c r="X368" s="2" t="str">
        <f t="shared" si="21"/>
        <v>Normal</v>
      </c>
    </row>
    <row r="369" spans="1:24" ht="14.25" customHeight="1" x14ac:dyDescent="0.5">
      <c r="A369" s="2" t="s">
        <v>1258</v>
      </c>
      <c r="B369" s="2" t="s">
        <v>253</v>
      </c>
      <c r="C369" s="2" t="str">
        <f t="shared" si="11"/>
        <v>Sarah Wilson</v>
      </c>
      <c r="D369" s="2" t="s">
        <v>93</v>
      </c>
      <c r="E369" s="2" t="str">
        <f t="shared" si="12"/>
        <v>k@ie@company.com</v>
      </c>
      <c r="F369" s="2" t="s">
        <v>34</v>
      </c>
      <c r="G369" s="3">
        <v>44370</v>
      </c>
      <c r="H369" s="3" t="str">
        <f t="shared" si="13"/>
        <v>23-Jun-2021</v>
      </c>
      <c r="I369" s="10" t="s">
        <v>1259</v>
      </c>
      <c r="J369" s="10">
        <f t="shared" si="14"/>
        <v>116396</v>
      </c>
      <c r="K369" s="11" t="s">
        <v>44</v>
      </c>
      <c r="L369" s="2" t="s">
        <v>121</v>
      </c>
      <c r="M369" s="2" t="str">
        <f t="shared" si="15"/>
        <v>On Leave</v>
      </c>
      <c r="N369" s="2" t="s">
        <v>77</v>
      </c>
      <c r="O369" s="2" t="str">
        <f t="shared" si="16"/>
        <v>All Clear</v>
      </c>
      <c r="P369" s="2" t="s">
        <v>1260</v>
      </c>
      <c r="Q369" s="2" t="str">
        <f t="shared" si="17"/>
        <v>ST</v>
      </c>
      <c r="R369" s="2" t="e">
        <f t="array" aca="1" ref="R369" ca="1">_xludf.IFS(Q369="ET", "East", Q369="WT", "West", Q369="ST","South", Q369="NR", "North")</f>
        <v>#NAME?</v>
      </c>
      <c r="S369" s="2" t="s">
        <v>38</v>
      </c>
      <c r="T369" s="2" t="str">
        <f t="shared" si="18"/>
        <v>London</v>
      </c>
      <c r="U369" s="12" t="s">
        <v>22</v>
      </c>
      <c r="V369" s="12">
        <f t="shared" si="19"/>
        <v>0.2</v>
      </c>
      <c r="W369" s="13">
        <f t="shared" si="20"/>
        <v>139675.19999999998</v>
      </c>
      <c r="X369" s="2" t="str">
        <f t="shared" si="21"/>
        <v>High</v>
      </c>
    </row>
    <row r="370" spans="1:24" ht="14.25" customHeight="1" x14ac:dyDescent="0.5">
      <c r="A370" s="2" t="s">
        <v>1261</v>
      </c>
      <c r="B370" s="2" t="s">
        <v>343</v>
      </c>
      <c r="C370" s="2" t="str">
        <f t="shared" si="11"/>
        <v>Daniel Moore</v>
      </c>
      <c r="D370" s="2" t="s">
        <v>14</v>
      </c>
      <c r="E370" s="2" t="str">
        <f t="shared" si="12"/>
        <v>john@company.com</v>
      </c>
      <c r="F370" s="2" t="s">
        <v>15</v>
      </c>
      <c r="G370" s="3">
        <v>44602</v>
      </c>
      <c r="H370" s="3" t="str">
        <f t="shared" si="13"/>
        <v>10-Feb-2022</v>
      </c>
      <c r="I370" s="10" t="s">
        <v>1262</v>
      </c>
      <c r="J370" s="10">
        <f t="shared" si="14"/>
        <v>97505</v>
      </c>
      <c r="K370" s="11" t="s">
        <v>44</v>
      </c>
      <c r="L370" s="2" t="s">
        <v>18</v>
      </c>
      <c r="M370" s="2" t="str">
        <f t="shared" si="15"/>
        <v>Active</v>
      </c>
      <c r="N370" s="2" t="s">
        <v>65</v>
      </c>
      <c r="O370" s="2" t="str">
        <f t="shared" si="16"/>
        <v>Follow Up</v>
      </c>
      <c r="P370" s="2" t="s">
        <v>1263</v>
      </c>
      <c r="Q370" s="2" t="str">
        <f t="shared" si="17"/>
        <v>NR</v>
      </c>
      <c r="R370" s="2" t="e">
        <f t="array" aca="1" ref="R370" ca="1">_xludf.IFS(Q370="ET", "East", Q370="WT", "West", Q370="ST","South", Q370="NR", "North")</f>
        <v>#NAME?</v>
      </c>
      <c r="S370" s="2" t="s">
        <v>159</v>
      </c>
      <c r="T370" s="2" t="str">
        <f t="shared" si="18"/>
        <v>Berlin</v>
      </c>
      <c r="U370" s="12" t="s">
        <v>30</v>
      </c>
      <c r="V370" s="12">
        <f t="shared" si="19"/>
        <v>0.1</v>
      </c>
      <c r="W370" s="13">
        <f t="shared" si="20"/>
        <v>107255.50000000001</v>
      </c>
      <c r="X370" s="2" t="str">
        <f t="shared" si="21"/>
        <v>High</v>
      </c>
    </row>
    <row r="371" spans="1:24" ht="14.25" customHeight="1" x14ac:dyDescent="0.5">
      <c r="A371" s="2" t="s">
        <v>1264</v>
      </c>
      <c r="B371" s="2" t="s">
        <v>55</v>
      </c>
      <c r="C371" s="2" t="str">
        <f t="shared" si="11"/>
        <v>Alex Moore</v>
      </c>
      <c r="D371" s="2" t="s">
        <v>49</v>
      </c>
      <c r="E371" s="2" t="str">
        <f t="shared" si="12"/>
        <v>emily@company.com</v>
      </c>
      <c r="F371" s="2" t="s">
        <v>42</v>
      </c>
      <c r="G371" s="3">
        <v>45260</v>
      </c>
      <c r="H371" s="3" t="str">
        <f t="shared" si="13"/>
        <v>30-Nov-2023</v>
      </c>
      <c r="I371" s="10" t="s">
        <v>1265</v>
      </c>
      <c r="J371" s="10">
        <f t="shared" si="14"/>
        <v>58135</v>
      </c>
      <c r="K371" s="11" t="s">
        <v>36</v>
      </c>
      <c r="L371" s="2" t="s">
        <v>121</v>
      </c>
      <c r="M371" s="2" t="str">
        <f t="shared" si="15"/>
        <v>On Leave</v>
      </c>
      <c r="N371" s="2" t="s">
        <v>77</v>
      </c>
      <c r="O371" s="2" t="str">
        <f t="shared" si="16"/>
        <v>All Clear</v>
      </c>
      <c r="P371" s="2" t="s">
        <v>1266</v>
      </c>
      <c r="Q371" s="2" t="str">
        <f t="shared" si="17"/>
        <v>ET</v>
      </c>
      <c r="R371" s="2" t="e">
        <f t="array" aca="1" ref="R371" ca="1">_xludf.IFS(Q371="ET", "East", Q371="WT", "West", Q371="ST","South", Q371="NR", "North")</f>
        <v>#NAME?</v>
      </c>
      <c r="S371" s="2" t="s">
        <v>96</v>
      </c>
      <c r="T371" s="2" t="str">
        <f t="shared" si="18"/>
        <v>Cairo</v>
      </c>
      <c r="U371" s="12" t="s">
        <v>85</v>
      </c>
      <c r="V371" s="12">
        <f t="shared" si="19"/>
        <v>0.15</v>
      </c>
      <c r="W371" s="13">
        <f t="shared" si="20"/>
        <v>66855.25</v>
      </c>
      <c r="X371" s="2" t="str">
        <f t="shared" si="21"/>
        <v>Normal</v>
      </c>
    </row>
    <row r="372" spans="1:24" ht="14.25" customHeight="1" x14ac:dyDescent="0.5">
      <c r="A372" s="2" t="s">
        <v>1267</v>
      </c>
      <c r="B372" s="2" t="s">
        <v>55</v>
      </c>
      <c r="C372" s="2" t="str">
        <f t="shared" si="11"/>
        <v>Alex Moore</v>
      </c>
      <c r="D372" s="2" t="s">
        <v>93</v>
      </c>
      <c r="E372" s="2" t="str">
        <f t="shared" si="12"/>
        <v>k@ie@company.com</v>
      </c>
      <c r="F372" s="2" t="s">
        <v>15</v>
      </c>
      <c r="G372" s="3">
        <v>43906</v>
      </c>
      <c r="H372" s="3" t="str">
        <f t="shared" si="13"/>
        <v>16-Mar-2020</v>
      </c>
      <c r="I372" s="10" t="s">
        <v>1268</v>
      </c>
      <c r="J372" s="10">
        <f t="shared" si="14"/>
        <v>87377</v>
      </c>
      <c r="K372" s="11" t="s">
        <v>57</v>
      </c>
      <c r="L372" s="2" t="s">
        <v>58</v>
      </c>
      <c r="M372" s="2" t="str">
        <f t="shared" si="15"/>
        <v>Terminated</v>
      </c>
      <c r="N372" s="2" t="s">
        <v>107</v>
      </c>
      <c r="O372" s="2" t="str">
        <f t="shared" si="16"/>
        <v>All Clear</v>
      </c>
      <c r="P372" s="2" t="s">
        <v>1269</v>
      </c>
      <c r="Q372" s="2" t="str">
        <f t="shared" si="17"/>
        <v>WT</v>
      </c>
      <c r="R372" s="2" t="e">
        <f t="array" aca="1" ref="R372" ca="1">_xludf.IFS(Q372="ET", "East", Q372="WT", "West", Q372="ST","South", Q372="NR", "North")</f>
        <v>#NAME?</v>
      </c>
      <c r="S372" s="2" t="s">
        <v>159</v>
      </c>
      <c r="T372" s="2" t="str">
        <f t="shared" si="18"/>
        <v>Berlin</v>
      </c>
      <c r="U372" s="12" t="s">
        <v>30</v>
      </c>
      <c r="V372" s="12">
        <f t="shared" si="19"/>
        <v>0.1</v>
      </c>
      <c r="W372" s="13">
        <f t="shared" si="20"/>
        <v>96114.700000000012</v>
      </c>
      <c r="X372" s="2" t="str">
        <f t="shared" si="21"/>
        <v>Normal</v>
      </c>
    </row>
    <row r="373" spans="1:24" ht="14.25" customHeight="1" x14ac:dyDescent="0.5">
      <c r="A373" s="2" t="s">
        <v>1270</v>
      </c>
      <c r="B373" s="2" t="s">
        <v>115</v>
      </c>
      <c r="C373" s="2" t="str">
        <f t="shared" si="11"/>
        <v>Katie Brown</v>
      </c>
      <c r="D373" s="2" t="s">
        <v>14</v>
      </c>
      <c r="E373" s="2" t="str">
        <f t="shared" si="12"/>
        <v>john@company.com</v>
      </c>
      <c r="F373" s="2" t="s">
        <v>15</v>
      </c>
      <c r="G373" s="3">
        <v>44409</v>
      </c>
      <c r="H373" s="3" t="str">
        <f t="shared" si="13"/>
        <v>01-Aug-2021</v>
      </c>
      <c r="I373" s="10" t="s">
        <v>1271</v>
      </c>
      <c r="J373" s="10">
        <f t="shared" si="14"/>
        <v>63554</v>
      </c>
      <c r="K373" s="11" t="s">
        <v>44</v>
      </c>
      <c r="L373" s="2" t="s">
        <v>18</v>
      </c>
      <c r="M373" s="2" t="str">
        <f t="shared" si="15"/>
        <v>Active</v>
      </c>
      <c r="O373" s="2" t="str">
        <f t="shared" si="16"/>
        <v>No Notes</v>
      </c>
      <c r="P373" s="2" t="s">
        <v>1272</v>
      </c>
      <c r="Q373" s="2" t="str">
        <f t="shared" si="17"/>
        <v>WT</v>
      </c>
      <c r="R373" s="2" t="e">
        <f t="array" aca="1" ref="R373" ca="1">_xludf.IFS(Q373="ET", "East", Q373="WT", "West", Q373="ST","South", Q373="NR", "North")</f>
        <v>#NAME?</v>
      </c>
      <c r="S373" s="2" t="s">
        <v>60</v>
      </c>
      <c r="T373" s="2" t="str">
        <f t="shared" si="18"/>
        <v>Toronto</v>
      </c>
      <c r="U373" s="12" t="s">
        <v>39</v>
      </c>
      <c r="V373" s="12">
        <f t="shared" si="19"/>
        <v>0.05</v>
      </c>
      <c r="W373" s="13">
        <f t="shared" si="20"/>
        <v>66731.7</v>
      </c>
      <c r="X373" s="2" t="str">
        <f t="shared" si="21"/>
        <v>Normal</v>
      </c>
    </row>
    <row r="374" spans="1:24" ht="14.25" customHeight="1" x14ac:dyDescent="0.5">
      <c r="A374" s="2" t="s">
        <v>1273</v>
      </c>
      <c r="B374" s="2" t="s">
        <v>398</v>
      </c>
      <c r="C374" s="2" t="str">
        <f t="shared" si="11"/>
        <v>Sam Johnson</v>
      </c>
      <c r="D374" s="2" t="s">
        <v>93</v>
      </c>
      <c r="E374" s="2" t="str">
        <f t="shared" si="12"/>
        <v>k@ie@company.com</v>
      </c>
      <c r="F374" s="2" t="s">
        <v>15</v>
      </c>
      <c r="G374" s="3">
        <v>44684</v>
      </c>
      <c r="H374" s="3" t="str">
        <f t="shared" si="13"/>
        <v>03-May-2022</v>
      </c>
      <c r="I374" s="10" t="s">
        <v>1274</v>
      </c>
      <c r="J374" s="10">
        <f t="shared" si="14"/>
        <v>102491</v>
      </c>
      <c r="K374" s="11" t="s">
        <v>83</v>
      </c>
      <c r="L374" s="2" t="s">
        <v>112</v>
      </c>
      <c r="M374" s="2" t="str">
        <f t="shared" si="15"/>
        <v>On Leave</v>
      </c>
      <c r="N374" s="2" t="s">
        <v>77</v>
      </c>
      <c r="O374" s="2" t="str">
        <f t="shared" si="16"/>
        <v>All Clear</v>
      </c>
      <c r="P374" s="2" t="s">
        <v>1275</v>
      </c>
      <c r="Q374" s="2" t="str">
        <f t="shared" si="17"/>
        <v>ET</v>
      </c>
      <c r="R374" s="2" t="e">
        <f t="array" aca="1" ref="R374" ca="1">_xludf.IFS(Q374="ET", "East", Q374="WT", "West", Q374="ST","South", Q374="NR", "North")</f>
        <v>#NAME?</v>
      </c>
      <c r="S374" s="2" t="s">
        <v>38</v>
      </c>
      <c r="T374" s="2" t="str">
        <f t="shared" si="18"/>
        <v>London</v>
      </c>
      <c r="U374" s="12" t="s">
        <v>39</v>
      </c>
      <c r="V374" s="12">
        <f t="shared" si="19"/>
        <v>0.05</v>
      </c>
      <c r="W374" s="13">
        <f t="shared" si="20"/>
        <v>107615.55</v>
      </c>
      <c r="X374" s="2" t="str">
        <f t="shared" si="21"/>
        <v>High</v>
      </c>
    </row>
    <row r="375" spans="1:24" ht="14.25" customHeight="1" x14ac:dyDescent="0.5">
      <c r="A375" s="2" t="s">
        <v>1276</v>
      </c>
      <c r="B375" s="2" t="s">
        <v>104</v>
      </c>
      <c r="C375" s="2" t="str">
        <f t="shared" si="11"/>
        <v>Mike Brown</v>
      </c>
      <c r="D375" s="2" t="s">
        <v>25</v>
      </c>
      <c r="E375" s="2" t="str">
        <f t="shared" si="12"/>
        <v>chris@company.com</v>
      </c>
      <c r="F375" s="2" t="s">
        <v>50</v>
      </c>
      <c r="G375" s="3">
        <v>44024</v>
      </c>
      <c r="H375" s="3" t="str">
        <f t="shared" si="13"/>
        <v>12-Jul-2020</v>
      </c>
      <c r="I375" s="10" t="s">
        <v>1277</v>
      </c>
      <c r="J375" s="10">
        <f t="shared" si="14"/>
        <v>95621</v>
      </c>
      <c r="K375" s="11" t="s">
        <v>57</v>
      </c>
      <c r="L375" s="2" t="s">
        <v>64</v>
      </c>
      <c r="M375" s="2" t="str">
        <f t="shared" si="15"/>
        <v>Terminated</v>
      </c>
      <c r="N375" s="2" t="s">
        <v>65</v>
      </c>
      <c r="O375" s="2" t="str">
        <f t="shared" si="16"/>
        <v>Follow Up</v>
      </c>
      <c r="P375" s="2" t="s">
        <v>1278</v>
      </c>
      <c r="Q375" s="2" t="str">
        <f t="shared" si="17"/>
        <v>WT</v>
      </c>
      <c r="R375" s="2" t="e">
        <f t="array" aca="1" ref="R375" ca="1">_xludf.IFS(Q375="ET", "East", Q375="WT", "West", Q375="ST","South", Q375="NR", "North")</f>
        <v>#NAME?</v>
      </c>
      <c r="S375" s="2" t="s">
        <v>96</v>
      </c>
      <c r="T375" s="2" t="str">
        <f t="shared" si="18"/>
        <v>Cairo</v>
      </c>
      <c r="U375" s="12" t="s">
        <v>85</v>
      </c>
      <c r="V375" s="12">
        <f t="shared" si="19"/>
        <v>0.15</v>
      </c>
      <c r="W375" s="13">
        <f t="shared" si="20"/>
        <v>109964.15</v>
      </c>
      <c r="X375" s="2" t="str">
        <f t="shared" si="21"/>
        <v>High</v>
      </c>
    </row>
    <row r="376" spans="1:24" ht="14.25" customHeight="1" x14ac:dyDescent="0.5">
      <c r="A376" s="2" t="s">
        <v>1279</v>
      </c>
      <c r="B376" s="2" t="s">
        <v>762</v>
      </c>
      <c r="C376" s="2" t="str">
        <f t="shared" si="11"/>
        <v>Sam Davis</v>
      </c>
      <c r="D376" s="2" t="s">
        <v>33</v>
      </c>
      <c r="E376" s="2" t="str">
        <f t="shared" si="12"/>
        <v>alex@company.com</v>
      </c>
      <c r="F376" s="2" t="s">
        <v>69</v>
      </c>
      <c r="G376" s="3">
        <v>45016</v>
      </c>
      <c r="H376" s="3" t="str">
        <f t="shared" si="13"/>
        <v>31-Mar-2023</v>
      </c>
      <c r="I376" s="10" t="s">
        <v>1280</v>
      </c>
      <c r="J376" s="10">
        <f t="shared" si="14"/>
        <v>98283</v>
      </c>
      <c r="K376" s="11" t="s">
        <v>57</v>
      </c>
      <c r="L376" s="2" t="s">
        <v>121</v>
      </c>
      <c r="M376" s="2" t="str">
        <f t="shared" si="15"/>
        <v>On Leave</v>
      </c>
      <c r="N376" s="2" t="s">
        <v>107</v>
      </c>
      <c r="O376" s="2" t="str">
        <f t="shared" si="16"/>
        <v>All Clear</v>
      </c>
      <c r="P376" s="2" t="s">
        <v>1281</v>
      </c>
      <c r="Q376" s="2" t="str">
        <f t="shared" si="17"/>
        <v>NR</v>
      </c>
      <c r="R376" s="2" t="e">
        <f t="array" aca="1" ref="R376" ca="1">_xludf.IFS(Q376="ET", "East", Q376="WT", "West", Q376="ST","South", Q376="NR", "North")</f>
        <v>#NAME?</v>
      </c>
      <c r="S376" s="2" t="s">
        <v>21</v>
      </c>
      <c r="T376" s="2" t="str">
        <f t="shared" si="18"/>
        <v>Sao Paulo</v>
      </c>
      <c r="U376" s="12" t="s">
        <v>30</v>
      </c>
      <c r="V376" s="12">
        <f t="shared" si="19"/>
        <v>0.1</v>
      </c>
      <c r="W376" s="13">
        <f t="shared" si="20"/>
        <v>108111.3</v>
      </c>
      <c r="X376" s="2" t="str">
        <f t="shared" si="21"/>
        <v>High</v>
      </c>
    </row>
    <row r="377" spans="1:24" ht="14.25" customHeight="1" x14ac:dyDescent="0.5">
      <c r="A377" s="2" t="s">
        <v>1282</v>
      </c>
      <c r="B377" s="2" t="s">
        <v>1252</v>
      </c>
      <c r="C377" s="2" t="str">
        <f t="shared" si="11"/>
        <v>Emily Johnson</v>
      </c>
      <c r="D377" s="2" t="s">
        <v>74</v>
      </c>
      <c r="E377" s="2" t="str">
        <f t="shared" si="12"/>
        <v>mike@company.com</v>
      </c>
      <c r="F377" s="2" t="s">
        <v>100</v>
      </c>
      <c r="G377" s="3">
        <v>44177</v>
      </c>
      <c r="H377" s="3" t="str">
        <f t="shared" si="13"/>
        <v>12-Dec-2020</v>
      </c>
      <c r="I377" s="10" t="s">
        <v>1283</v>
      </c>
      <c r="J377" s="10">
        <f t="shared" si="14"/>
        <v>56923</v>
      </c>
      <c r="K377" s="11" t="s">
        <v>44</v>
      </c>
      <c r="L377" s="2" t="s">
        <v>18</v>
      </c>
      <c r="M377" s="2" t="str">
        <f t="shared" si="15"/>
        <v>Active</v>
      </c>
      <c r="N377" s="2" t="s">
        <v>19</v>
      </c>
      <c r="O377" s="2" t="str">
        <f t="shared" si="16"/>
        <v>Urgent Review</v>
      </c>
      <c r="P377" s="2" t="s">
        <v>1284</v>
      </c>
      <c r="Q377" s="2" t="str">
        <f t="shared" si="17"/>
        <v>WT</v>
      </c>
      <c r="R377" s="2" t="e">
        <f t="array" aca="1" ref="R377" ca="1">_xludf.IFS(Q377="ET", "East", Q377="WT", "West", Q377="ST","South", Q377="NR", "North")</f>
        <v>#NAME?</v>
      </c>
      <c r="S377" s="2" t="s">
        <v>60</v>
      </c>
      <c r="T377" s="2" t="str">
        <f t="shared" si="18"/>
        <v>Toronto</v>
      </c>
      <c r="U377" s="12" t="s">
        <v>85</v>
      </c>
      <c r="V377" s="12">
        <f t="shared" si="19"/>
        <v>0.15</v>
      </c>
      <c r="W377" s="13">
        <f t="shared" si="20"/>
        <v>65461.45</v>
      </c>
      <c r="X377" s="2" t="str">
        <f t="shared" si="21"/>
        <v>Normal</v>
      </c>
    </row>
    <row r="378" spans="1:24" ht="14.25" customHeight="1" x14ac:dyDescent="0.5">
      <c r="A378" s="2" t="s">
        <v>1285</v>
      </c>
      <c r="B378" s="2" t="s">
        <v>92</v>
      </c>
      <c r="C378" s="2" t="str">
        <f t="shared" si="11"/>
        <v>Mike Miller</v>
      </c>
      <c r="D378" s="2" t="s">
        <v>49</v>
      </c>
      <c r="E378" s="2" t="str">
        <f t="shared" si="12"/>
        <v>emily@company.com</v>
      </c>
      <c r="F378" s="2" t="s">
        <v>100</v>
      </c>
      <c r="G378" s="3">
        <v>44781</v>
      </c>
      <c r="H378" s="3" t="str">
        <f t="shared" si="13"/>
        <v>08-Aug-2022</v>
      </c>
      <c r="I378" s="10" t="s">
        <v>1286</v>
      </c>
      <c r="J378" s="10">
        <f t="shared" si="14"/>
        <v>87591</v>
      </c>
      <c r="K378" s="11" t="s">
        <v>57</v>
      </c>
      <c r="L378" s="2" t="s">
        <v>89</v>
      </c>
      <c r="M378" s="2" t="str">
        <f t="shared" si="15"/>
        <v>Active</v>
      </c>
      <c r="N378" s="2" t="s">
        <v>28</v>
      </c>
      <c r="O378" s="2" t="str">
        <f t="shared" si="16"/>
        <v>Pending Docs</v>
      </c>
      <c r="P378" s="2" t="s">
        <v>1287</v>
      </c>
      <c r="Q378" s="2" t="str">
        <f t="shared" si="17"/>
        <v>ST</v>
      </c>
      <c r="R378" s="2" t="e">
        <f t="array" aca="1" ref="R378" ca="1">_xludf.IFS(Q378="ET", "East", Q378="WT", "West", Q378="ST","South", Q378="NR", "North")</f>
        <v>#NAME?</v>
      </c>
      <c r="S378" s="2" t="s">
        <v>53</v>
      </c>
      <c r="T378" s="2" t="str">
        <f t="shared" si="18"/>
        <v>Delhi</v>
      </c>
      <c r="U378" s="12" t="s">
        <v>39</v>
      </c>
      <c r="V378" s="12">
        <f t="shared" si="19"/>
        <v>0.05</v>
      </c>
      <c r="W378" s="13">
        <f t="shared" si="20"/>
        <v>91970.55</v>
      </c>
      <c r="X378" s="2" t="str">
        <f t="shared" si="21"/>
        <v>Normal</v>
      </c>
    </row>
    <row r="379" spans="1:24" ht="14.25" customHeight="1" x14ac:dyDescent="0.5">
      <c r="A379" s="2" t="s">
        <v>1288</v>
      </c>
      <c r="B379" s="2" t="s">
        <v>580</v>
      </c>
      <c r="C379" s="2" t="str">
        <f t="shared" si="11"/>
        <v>Emily Miller</v>
      </c>
      <c r="D379" s="2" t="s">
        <v>49</v>
      </c>
      <c r="E379" s="2" t="str">
        <f t="shared" si="12"/>
        <v>emily@company.com</v>
      </c>
      <c r="F379" s="2" t="s">
        <v>42</v>
      </c>
      <c r="G379" s="3">
        <v>45215</v>
      </c>
      <c r="H379" s="3" t="str">
        <f t="shared" si="13"/>
        <v>16-Oct-2023</v>
      </c>
      <c r="I379" s="10" t="s">
        <v>1289</v>
      </c>
      <c r="J379" s="10">
        <f t="shared" si="14"/>
        <v>102261</v>
      </c>
      <c r="K379" s="11" t="s">
        <v>44</v>
      </c>
      <c r="L379" s="2" t="s">
        <v>89</v>
      </c>
      <c r="M379" s="2" t="str">
        <f t="shared" si="15"/>
        <v>Active</v>
      </c>
      <c r="N379" s="2" t="s">
        <v>28</v>
      </c>
      <c r="O379" s="2" t="str">
        <f t="shared" si="16"/>
        <v>Pending Docs</v>
      </c>
      <c r="P379" s="2" t="s">
        <v>1290</v>
      </c>
      <c r="Q379" s="2" t="str">
        <f t="shared" si="17"/>
        <v>ET</v>
      </c>
      <c r="R379" s="2" t="e">
        <f t="array" aca="1" ref="R379" ca="1">_xludf.IFS(Q379="ET", "East", Q379="WT", "West", Q379="ST","South", Q379="NR", "North")</f>
        <v>#NAME?</v>
      </c>
      <c r="S379" s="2" t="s">
        <v>21</v>
      </c>
      <c r="T379" s="2" t="str">
        <f t="shared" si="18"/>
        <v>Sao Paulo</v>
      </c>
      <c r="U379" s="12" t="s">
        <v>22</v>
      </c>
      <c r="V379" s="12">
        <f t="shared" si="19"/>
        <v>0.2</v>
      </c>
      <c r="W379" s="13">
        <f t="shared" si="20"/>
        <v>122713.2</v>
      </c>
      <c r="X379" s="2" t="str">
        <f t="shared" si="21"/>
        <v>High</v>
      </c>
    </row>
    <row r="380" spans="1:24" ht="14.25" customHeight="1" x14ac:dyDescent="0.5">
      <c r="A380" s="2" t="s">
        <v>1291</v>
      </c>
      <c r="B380" s="2" t="s">
        <v>275</v>
      </c>
      <c r="C380" s="2" t="str">
        <f t="shared" si="11"/>
        <v>John Davis</v>
      </c>
      <c r="D380" s="2" t="s">
        <v>99</v>
      </c>
      <c r="E380" s="2" t="str">
        <f t="shared" si="12"/>
        <v>daniel@company.com</v>
      </c>
      <c r="F380" s="2" t="s">
        <v>15</v>
      </c>
      <c r="G380" s="3">
        <v>44941</v>
      </c>
      <c r="H380" s="3" t="str">
        <f t="shared" si="13"/>
        <v>15-Jan-2023</v>
      </c>
      <c r="I380" s="10" t="s">
        <v>1292</v>
      </c>
      <c r="J380" s="10">
        <f t="shared" si="14"/>
        <v>94336</v>
      </c>
      <c r="K380" s="11" t="s">
        <v>17</v>
      </c>
      <c r="L380" s="2" t="s">
        <v>64</v>
      </c>
      <c r="M380" s="2" t="str">
        <f t="shared" si="15"/>
        <v>Terminated</v>
      </c>
      <c r="N380" s="2" t="s">
        <v>19</v>
      </c>
      <c r="O380" s="2" t="str">
        <f t="shared" si="16"/>
        <v>Urgent Review</v>
      </c>
      <c r="P380" s="2" t="s">
        <v>1293</v>
      </c>
      <c r="Q380" s="2" t="str">
        <f t="shared" si="17"/>
        <v>NR</v>
      </c>
      <c r="R380" s="2" t="e">
        <f t="array" aca="1" ref="R380" ca="1">_xludf.IFS(Q380="ET", "East", Q380="WT", "West", Q380="ST","South", Q380="NR", "North")</f>
        <v>#NAME?</v>
      </c>
      <c r="S380" s="2" t="s">
        <v>21</v>
      </c>
      <c r="T380" s="2" t="str">
        <f t="shared" si="18"/>
        <v>Sao Paulo</v>
      </c>
      <c r="U380" s="12" t="s">
        <v>85</v>
      </c>
      <c r="V380" s="12">
        <f t="shared" si="19"/>
        <v>0.15</v>
      </c>
      <c r="W380" s="13">
        <f t="shared" si="20"/>
        <v>108486.39999999999</v>
      </c>
      <c r="X380" s="2" t="str">
        <f t="shared" si="21"/>
        <v>High</v>
      </c>
    </row>
    <row r="381" spans="1:24" ht="14.25" customHeight="1" x14ac:dyDescent="0.5">
      <c r="A381" s="2" t="s">
        <v>1294</v>
      </c>
      <c r="B381" s="2" t="s">
        <v>608</v>
      </c>
      <c r="C381" s="2" t="str">
        <f t="shared" si="11"/>
        <v>Katie Lewis</v>
      </c>
      <c r="D381" s="2" t="s">
        <v>125</v>
      </c>
      <c r="E381" s="2" t="str">
        <f t="shared" si="12"/>
        <v>sarah@company.com</v>
      </c>
      <c r="F381" s="2" t="s">
        <v>42</v>
      </c>
      <c r="G381" s="3">
        <v>45116</v>
      </c>
      <c r="H381" s="3" t="str">
        <f t="shared" si="13"/>
        <v>09-Jul-2023</v>
      </c>
      <c r="I381" s="10" t="s">
        <v>1295</v>
      </c>
      <c r="J381" s="10">
        <f t="shared" si="14"/>
        <v>114083</v>
      </c>
      <c r="K381" s="11" t="s">
        <v>36</v>
      </c>
      <c r="L381" s="2" t="s">
        <v>112</v>
      </c>
      <c r="M381" s="2" t="str">
        <f t="shared" si="15"/>
        <v>On Leave</v>
      </c>
      <c r="N381" s="2" t="s">
        <v>77</v>
      </c>
      <c r="O381" s="2" t="str">
        <f t="shared" si="16"/>
        <v>All Clear</v>
      </c>
      <c r="P381" s="2" t="s">
        <v>1296</v>
      </c>
      <c r="Q381" s="2" t="str">
        <f t="shared" si="17"/>
        <v>ET</v>
      </c>
      <c r="R381" s="2" t="e">
        <f t="array" aca="1" ref="R381" ca="1">_xludf.IFS(Q381="ET", "East", Q381="WT", "West", Q381="ST","South", Q381="NR", "North")</f>
        <v>#NAME?</v>
      </c>
      <c r="S381" s="2" t="s">
        <v>79</v>
      </c>
      <c r="T381" s="2" t="str">
        <f t="shared" si="18"/>
        <v>New York</v>
      </c>
      <c r="U381" s="12" t="s">
        <v>22</v>
      </c>
      <c r="V381" s="12">
        <f t="shared" si="19"/>
        <v>0.2</v>
      </c>
      <c r="W381" s="13">
        <f t="shared" si="20"/>
        <v>136899.6</v>
      </c>
      <c r="X381" s="2" t="str">
        <f t="shared" si="21"/>
        <v>High</v>
      </c>
    </row>
    <row r="382" spans="1:24" ht="14.25" customHeight="1" x14ac:dyDescent="0.5">
      <c r="A382" s="2" t="s">
        <v>1297</v>
      </c>
      <c r="B382" s="2" t="s">
        <v>249</v>
      </c>
      <c r="C382" s="2" t="str">
        <f t="shared" si="11"/>
        <v>Jane Smith</v>
      </c>
      <c r="D382" s="2" t="s">
        <v>25</v>
      </c>
      <c r="E382" s="2" t="str">
        <f t="shared" si="12"/>
        <v>chris@company.com</v>
      </c>
      <c r="F382" s="2" t="s">
        <v>50</v>
      </c>
      <c r="G382" s="3">
        <v>44044</v>
      </c>
      <c r="H382" s="3" t="str">
        <f t="shared" si="13"/>
        <v>01-Aug-2020</v>
      </c>
      <c r="I382" s="10" t="s">
        <v>1298</v>
      </c>
      <c r="J382" s="10">
        <f t="shared" si="14"/>
        <v>100948</v>
      </c>
      <c r="K382" s="11" t="s">
        <v>17</v>
      </c>
      <c r="L382" s="2" t="s">
        <v>27</v>
      </c>
      <c r="M382" s="2" t="str">
        <f t="shared" si="15"/>
        <v>On Leave</v>
      </c>
      <c r="N382" s="2" t="s">
        <v>28</v>
      </c>
      <c r="O382" s="2" t="str">
        <f t="shared" si="16"/>
        <v>Pending Docs</v>
      </c>
      <c r="P382" s="2" t="s">
        <v>1299</v>
      </c>
      <c r="Q382" s="2" t="str">
        <f t="shared" si="17"/>
        <v>NR</v>
      </c>
      <c r="R382" s="2" t="e">
        <f t="array" aca="1" ref="R382" ca="1">_xludf.IFS(Q382="ET", "East", Q382="WT", "West", Q382="ST","South", Q382="NR", "North")</f>
        <v>#NAME?</v>
      </c>
      <c r="S382" s="2" t="s">
        <v>79</v>
      </c>
      <c r="T382" s="2" t="str">
        <f t="shared" si="18"/>
        <v>New York</v>
      </c>
      <c r="U382" s="12" t="s">
        <v>22</v>
      </c>
      <c r="V382" s="12">
        <f t="shared" si="19"/>
        <v>0.2</v>
      </c>
      <c r="W382" s="13">
        <f t="shared" si="20"/>
        <v>121137.59999999999</v>
      </c>
      <c r="X382" s="2" t="str">
        <f t="shared" si="21"/>
        <v>High</v>
      </c>
    </row>
    <row r="383" spans="1:24" ht="14.25" customHeight="1" x14ac:dyDescent="0.5">
      <c r="A383" s="2" t="s">
        <v>1300</v>
      </c>
      <c r="B383" s="2" t="s">
        <v>141</v>
      </c>
      <c r="C383" s="2" t="str">
        <f t="shared" si="11"/>
        <v>Mike Clark</v>
      </c>
      <c r="D383" s="2" t="s">
        <v>25</v>
      </c>
      <c r="E383" s="2" t="str">
        <f t="shared" si="12"/>
        <v>chris@company.com</v>
      </c>
      <c r="F383" s="2" t="s">
        <v>50</v>
      </c>
      <c r="G383" s="3">
        <v>44403</v>
      </c>
      <c r="H383" s="3" t="str">
        <f t="shared" si="13"/>
        <v>26-Jul-2021</v>
      </c>
      <c r="I383" s="10" t="s">
        <v>1301</v>
      </c>
      <c r="J383" s="10">
        <f t="shared" si="14"/>
        <v>73002</v>
      </c>
      <c r="K383" s="11" t="s">
        <v>44</v>
      </c>
      <c r="L383" s="2" t="s">
        <v>121</v>
      </c>
      <c r="M383" s="2" t="str">
        <f t="shared" si="15"/>
        <v>On Leave</v>
      </c>
      <c r="N383" s="2" t="s">
        <v>28</v>
      </c>
      <c r="O383" s="2" t="str">
        <f t="shared" si="16"/>
        <v>Pending Docs</v>
      </c>
      <c r="P383" s="2" t="s">
        <v>1302</v>
      </c>
      <c r="Q383" s="2" t="str">
        <f t="shared" si="17"/>
        <v>ST</v>
      </c>
      <c r="R383" s="2" t="e">
        <f t="array" aca="1" ref="R383" ca="1">_xludf.IFS(Q383="ET", "East", Q383="WT", "West", Q383="ST","South", Q383="NR", "North")</f>
        <v>#NAME?</v>
      </c>
      <c r="S383" s="2" t="s">
        <v>38</v>
      </c>
      <c r="T383" s="2" t="str">
        <f t="shared" si="18"/>
        <v>London</v>
      </c>
      <c r="U383" s="12" t="s">
        <v>30</v>
      </c>
      <c r="V383" s="12">
        <f t="shared" si="19"/>
        <v>0.1</v>
      </c>
      <c r="W383" s="13">
        <f t="shared" si="20"/>
        <v>80302.200000000012</v>
      </c>
      <c r="X383" s="2" t="str">
        <f t="shared" si="21"/>
        <v>Normal</v>
      </c>
    </row>
    <row r="384" spans="1:24" ht="14.25" customHeight="1" x14ac:dyDescent="0.5">
      <c r="A384" s="2" t="s">
        <v>1303</v>
      </c>
      <c r="B384" s="2" t="s">
        <v>141</v>
      </c>
      <c r="C384" s="2" t="str">
        <f t="shared" si="11"/>
        <v>Mike Clark</v>
      </c>
      <c r="D384" s="2" t="s">
        <v>235</v>
      </c>
      <c r="E384" s="2" t="str">
        <f t="shared" si="12"/>
        <v>jane@company.com</v>
      </c>
      <c r="F384" s="2" t="s">
        <v>75</v>
      </c>
      <c r="G384" s="3">
        <v>44610</v>
      </c>
      <c r="H384" s="3" t="str">
        <f t="shared" si="13"/>
        <v>18-Feb-2022</v>
      </c>
      <c r="I384" s="10" t="s">
        <v>1304</v>
      </c>
      <c r="J384" s="10">
        <f t="shared" si="14"/>
        <v>113016</v>
      </c>
      <c r="K384" s="11" t="s">
        <v>44</v>
      </c>
      <c r="L384" s="2" t="s">
        <v>112</v>
      </c>
      <c r="M384" s="2" t="str">
        <f t="shared" si="15"/>
        <v>On Leave</v>
      </c>
      <c r="N384" s="2" t="s">
        <v>19</v>
      </c>
      <c r="O384" s="2" t="str">
        <f t="shared" si="16"/>
        <v>Urgent Review</v>
      </c>
      <c r="P384" s="2" t="s">
        <v>1305</v>
      </c>
      <c r="Q384" s="2" t="str">
        <f t="shared" si="17"/>
        <v>ET</v>
      </c>
      <c r="R384" s="2" t="e">
        <f t="array" aca="1" ref="R384" ca="1">_xludf.IFS(Q384="ET", "East", Q384="WT", "West", Q384="ST","South", Q384="NR", "North")</f>
        <v>#NAME?</v>
      </c>
      <c r="S384" s="2" t="s">
        <v>96</v>
      </c>
      <c r="T384" s="2" t="str">
        <f t="shared" si="18"/>
        <v>Cairo</v>
      </c>
      <c r="U384" s="12" t="s">
        <v>85</v>
      </c>
      <c r="V384" s="12">
        <f t="shared" si="19"/>
        <v>0.15</v>
      </c>
      <c r="W384" s="13">
        <f t="shared" si="20"/>
        <v>129968.4</v>
      </c>
      <c r="X384" s="2" t="str">
        <f t="shared" si="21"/>
        <v>High</v>
      </c>
    </row>
    <row r="385" spans="1:24" ht="14.25" customHeight="1" x14ac:dyDescent="0.5">
      <c r="A385" s="2" t="s">
        <v>1306</v>
      </c>
      <c r="B385" s="2" t="s">
        <v>429</v>
      </c>
      <c r="C385" s="2" t="str">
        <f t="shared" si="11"/>
        <v>Katie Miller</v>
      </c>
      <c r="D385" s="2" t="s">
        <v>93</v>
      </c>
      <c r="E385" s="2" t="str">
        <f t="shared" si="12"/>
        <v>k@ie@company.com</v>
      </c>
      <c r="F385" s="2" t="s">
        <v>50</v>
      </c>
      <c r="G385" s="3">
        <v>44092</v>
      </c>
      <c r="H385" s="3" t="str">
        <f t="shared" si="13"/>
        <v>18-Sep-2020</v>
      </c>
      <c r="I385" s="10" t="s">
        <v>1307</v>
      </c>
      <c r="J385" s="10">
        <f t="shared" si="14"/>
        <v>66672</v>
      </c>
      <c r="K385" s="11" t="s">
        <v>17</v>
      </c>
      <c r="L385" s="2" t="s">
        <v>45</v>
      </c>
      <c r="M385" s="2" t="str">
        <f t="shared" si="15"/>
        <v>Active</v>
      </c>
      <c r="N385" s="2" t="s">
        <v>77</v>
      </c>
      <c r="O385" s="2" t="str">
        <f t="shared" si="16"/>
        <v>All Clear</v>
      </c>
      <c r="P385" s="2" t="s">
        <v>1308</v>
      </c>
      <c r="Q385" s="2" t="str">
        <f t="shared" si="17"/>
        <v>WT</v>
      </c>
      <c r="R385" s="2" t="e">
        <f t="array" aca="1" ref="R385" ca="1">_xludf.IFS(Q385="ET", "East", Q385="WT", "West", Q385="ST","South", Q385="NR", "North")</f>
        <v>#NAME?</v>
      </c>
      <c r="S385" s="2" t="s">
        <v>96</v>
      </c>
      <c r="T385" s="2" t="str">
        <f t="shared" si="18"/>
        <v>Cairo</v>
      </c>
      <c r="U385" s="12" t="s">
        <v>22</v>
      </c>
      <c r="V385" s="12">
        <f t="shared" si="19"/>
        <v>0.2</v>
      </c>
      <c r="W385" s="13">
        <f t="shared" si="20"/>
        <v>80006.399999999994</v>
      </c>
      <c r="X385" s="2" t="str">
        <f t="shared" si="21"/>
        <v>Normal</v>
      </c>
    </row>
    <row r="386" spans="1:24" ht="14.25" customHeight="1" x14ac:dyDescent="0.5">
      <c r="A386" s="2" t="s">
        <v>1309</v>
      </c>
      <c r="B386" s="2" t="s">
        <v>217</v>
      </c>
      <c r="C386" s="2" t="str">
        <f t="shared" si="11"/>
        <v>Chris Smith</v>
      </c>
      <c r="D386" s="2" t="s">
        <v>125</v>
      </c>
      <c r="E386" s="2" t="str">
        <f t="shared" si="12"/>
        <v>sarah@company.com</v>
      </c>
      <c r="F386" s="2" t="s">
        <v>75</v>
      </c>
      <c r="G386" s="3">
        <v>44560</v>
      </c>
      <c r="H386" s="3" t="str">
        <f t="shared" si="13"/>
        <v>30-Dec-2021</v>
      </c>
      <c r="I386" s="10" t="s">
        <v>1310</v>
      </c>
      <c r="J386" s="10">
        <f t="shared" si="14"/>
        <v>44213</v>
      </c>
      <c r="K386" s="11" t="s">
        <v>83</v>
      </c>
      <c r="L386" s="2" t="s">
        <v>45</v>
      </c>
      <c r="M386" s="2" t="str">
        <f t="shared" si="15"/>
        <v>Active</v>
      </c>
      <c r="N386" s="2" t="s">
        <v>77</v>
      </c>
      <c r="O386" s="2" t="str">
        <f t="shared" si="16"/>
        <v>All Clear</v>
      </c>
      <c r="P386" s="2" t="s">
        <v>1311</v>
      </c>
      <c r="Q386" s="2" t="str">
        <f t="shared" si="17"/>
        <v>NR</v>
      </c>
      <c r="R386" s="2" t="e">
        <f t="array" aca="1" ref="R386" ca="1">_xludf.IFS(Q386="ET", "East", Q386="WT", "West", Q386="ST","South", Q386="NR", "North")</f>
        <v>#NAME?</v>
      </c>
      <c r="S386" s="2" t="s">
        <v>96</v>
      </c>
      <c r="T386" s="2" t="str">
        <f t="shared" si="18"/>
        <v>Cairo</v>
      </c>
      <c r="U386" s="12" t="s">
        <v>22</v>
      </c>
      <c r="V386" s="12">
        <f t="shared" si="19"/>
        <v>0.2</v>
      </c>
      <c r="W386" s="13">
        <f t="shared" si="20"/>
        <v>53055.6</v>
      </c>
      <c r="X386" s="2" t="str">
        <f t="shared" si="21"/>
        <v>Normal</v>
      </c>
    </row>
    <row r="387" spans="1:24" ht="14.25" customHeight="1" x14ac:dyDescent="0.5">
      <c r="A387" s="2" t="s">
        <v>1312</v>
      </c>
      <c r="B387" s="2" t="s">
        <v>367</v>
      </c>
      <c r="C387" s="2" t="str">
        <f t="shared" si="11"/>
        <v>Mike Taylor</v>
      </c>
      <c r="D387" s="2" t="s">
        <v>33</v>
      </c>
      <c r="E387" s="2" t="str">
        <f t="shared" si="12"/>
        <v>alex@company.com</v>
      </c>
      <c r="F387" s="2" t="s">
        <v>69</v>
      </c>
      <c r="G387" s="3">
        <v>44113</v>
      </c>
      <c r="H387" s="3" t="str">
        <f t="shared" si="13"/>
        <v>09-Oct-2020</v>
      </c>
      <c r="I387" s="10" t="s">
        <v>1313</v>
      </c>
      <c r="J387" s="10">
        <f t="shared" si="14"/>
        <v>50293</v>
      </c>
      <c r="K387" s="11" t="s">
        <v>83</v>
      </c>
      <c r="L387" s="2" t="s">
        <v>45</v>
      </c>
      <c r="M387" s="2" t="str">
        <f t="shared" si="15"/>
        <v>Active</v>
      </c>
      <c r="N387" s="2" t="s">
        <v>19</v>
      </c>
      <c r="O387" s="2" t="str">
        <f t="shared" si="16"/>
        <v>Urgent Review</v>
      </c>
      <c r="P387" s="2" t="s">
        <v>1314</v>
      </c>
      <c r="Q387" s="2" t="str">
        <f t="shared" si="17"/>
        <v>ET</v>
      </c>
      <c r="R387" s="2" t="e">
        <f t="array" aca="1" ref="R387" ca="1">_xludf.IFS(Q387="ET", "East", Q387="WT", "West", Q387="ST","South", Q387="NR", "North")</f>
        <v>#NAME?</v>
      </c>
      <c r="S387" s="2" t="s">
        <v>159</v>
      </c>
      <c r="T387" s="2" t="str">
        <f t="shared" si="18"/>
        <v>Berlin</v>
      </c>
      <c r="U387" s="12" t="s">
        <v>30</v>
      </c>
      <c r="V387" s="12">
        <f t="shared" si="19"/>
        <v>0.1</v>
      </c>
      <c r="W387" s="13">
        <f t="shared" si="20"/>
        <v>55322.3</v>
      </c>
      <c r="X387" s="2" t="str">
        <f t="shared" si="21"/>
        <v>Normal</v>
      </c>
    </row>
    <row r="388" spans="1:24" ht="14.25" customHeight="1" x14ac:dyDescent="0.5">
      <c r="A388" s="2" t="s">
        <v>1315</v>
      </c>
      <c r="B388" s="2" t="s">
        <v>502</v>
      </c>
      <c r="C388" s="2" t="str">
        <f t="shared" si="11"/>
        <v>John Moore</v>
      </c>
      <c r="D388" s="2" t="s">
        <v>33</v>
      </c>
      <c r="E388" s="2" t="str">
        <f t="shared" si="12"/>
        <v>alex@company.com</v>
      </c>
      <c r="F388" s="2" t="s">
        <v>42</v>
      </c>
      <c r="G388" s="3">
        <v>45321</v>
      </c>
      <c r="H388" s="3" t="str">
        <f t="shared" si="13"/>
        <v>30-Jan-2024</v>
      </c>
      <c r="I388" s="10" t="s">
        <v>1316</v>
      </c>
      <c r="J388" s="10">
        <f t="shared" si="14"/>
        <v>95860</v>
      </c>
      <c r="K388" s="11" t="s">
        <v>83</v>
      </c>
      <c r="L388" s="2" t="s">
        <v>64</v>
      </c>
      <c r="M388" s="2" t="str">
        <f t="shared" si="15"/>
        <v>Terminated</v>
      </c>
      <c r="N388" s="2" t="s">
        <v>77</v>
      </c>
      <c r="O388" s="2" t="str">
        <f t="shared" si="16"/>
        <v>All Clear</v>
      </c>
      <c r="P388" s="2" t="s">
        <v>1317</v>
      </c>
      <c r="Q388" s="2" t="str">
        <f t="shared" si="17"/>
        <v>WT</v>
      </c>
      <c r="R388" s="2" t="e">
        <f t="array" aca="1" ref="R388" ca="1">_xludf.IFS(Q388="ET", "East", Q388="WT", "West", Q388="ST","South", Q388="NR", "North")</f>
        <v>#NAME?</v>
      </c>
      <c r="S388" s="2" t="s">
        <v>60</v>
      </c>
      <c r="T388" s="2" t="str">
        <f t="shared" si="18"/>
        <v>Toronto</v>
      </c>
      <c r="U388" s="12" t="s">
        <v>30</v>
      </c>
      <c r="V388" s="12">
        <f t="shared" si="19"/>
        <v>0.1</v>
      </c>
      <c r="W388" s="13">
        <f t="shared" si="20"/>
        <v>105446.00000000001</v>
      </c>
      <c r="X388" s="2" t="str">
        <f t="shared" si="21"/>
        <v>High</v>
      </c>
    </row>
    <row r="389" spans="1:24" ht="14.25" customHeight="1" x14ac:dyDescent="0.5">
      <c r="A389" s="2" t="s">
        <v>1318</v>
      </c>
      <c r="B389" s="2" t="s">
        <v>268</v>
      </c>
      <c r="C389" s="2" t="str">
        <f t="shared" si="11"/>
        <v>John Brown</v>
      </c>
      <c r="D389" s="2" t="s">
        <v>25</v>
      </c>
      <c r="E389" s="2" t="str">
        <f t="shared" si="12"/>
        <v>chris@company.com</v>
      </c>
      <c r="F389" s="2" t="s">
        <v>34</v>
      </c>
      <c r="G389" s="3">
        <v>45234</v>
      </c>
      <c r="H389" s="3" t="str">
        <f t="shared" si="13"/>
        <v>04-Nov-2023</v>
      </c>
      <c r="I389" s="10" t="s">
        <v>1319</v>
      </c>
      <c r="J389" s="10">
        <f t="shared" si="14"/>
        <v>102507</v>
      </c>
      <c r="K389" s="11" t="s">
        <v>44</v>
      </c>
      <c r="L389" s="2" t="s">
        <v>89</v>
      </c>
      <c r="M389" s="2" t="str">
        <f t="shared" si="15"/>
        <v>Active</v>
      </c>
      <c r="N389" s="2" t="s">
        <v>77</v>
      </c>
      <c r="O389" s="2" t="str">
        <f t="shared" si="16"/>
        <v>All Clear</v>
      </c>
      <c r="P389" s="2" t="s">
        <v>1320</v>
      </c>
      <c r="Q389" s="2" t="str">
        <f t="shared" si="17"/>
        <v>ET</v>
      </c>
      <c r="R389" s="2" t="e">
        <f t="array" aca="1" ref="R389" ca="1">_xludf.IFS(Q389="ET", "East", Q389="WT", "West", Q389="ST","South", Q389="NR", "North")</f>
        <v>#NAME?</v>
      </c>
      <c r="S389" s="2" t="s">
        <v>96</v>
      </c>
      <c r="T389" s="2" t="str">
        <f t="shared" si="18"/>
        <v>Cairo</v>
      </c>
      <c r="U389" s="12" t="s">
        <v>39</v>
      </c>
      <c r="V389" s="12">
        <f t="shared" si="19"/>
        <v>0.05</v>
      </c>
      <c r="W389" s="13">
        <f t="shared" si="20"/>
        <v>107632.35</v>
      </c>
      <c r="X389" s="2" t="str">
        <f t="shared" si="21"/>
        <v>High</v>
      </c>
    </row>
    <row r="390" spans="1:24" ht="14.25" customHeight="1" x14ac:dyDescent="0.5">
      <c r="A390" s="2" t="s">
        <v>1321</v>
      </c>
      <c r="B390" s="2" t="s">
        <v>55</v>
      </c>
      <c r="C390" s="2" t="str">
        <f t="shared" si="11"/>
        <v>Alex Moore</v>
      </c>
      <c r="D390" s="2" t="s">
        <v>33</v>
      </c>
      <c r="E390" s="2" t="str">
        <f t="shared" si="12"/>
        <v>alex@company.com</v>
      </c>
      <c r="F390" s="2" t="s">
        <v>69</v>
      </c>
      <c r="G390" s="3">
        <v>44192</v>
      </c>
      <c r="H390" s="3" t="str">
        <f t="shared" si="13"/>
        <v>27-Dec-2020</v>
      </c>
      <c r="I390" s="10" t="s">
        <v>1322</v>
      </c>
      <c r="J390" s="10">
        <f t="shared" si="14"/>
        <v>97134</v>
      </c>
      <c r="K390" s="11" t="s">
        <v>57</v>
      </c>
      <c r="L390" s="2" t="s">
        <v>58</v>
      </c>
      <c r="M390" s="2" t="str">
        <f t="shared" si="15"/>
        <v>Terminated</v>
      </c>
      <c r="N390" s="2" t="s">
        <v>107</v>
      </c>
      <c r="O390" s="2" t="str">
        <f t="shared" si="16"/>
        <v>All Clear</v>
      </c>
      <c r="P390" s="2" t="s">
        <v>1323</v>
      </c>
      <c r="Q390" s="2" t="str">
        <f t="shared" si="17"/>
        <v>ET</v>
      </c>
      <c r="R390" s="2" t="e">
        <f t="array" aca="1" ref="R390" ca="1">_xludf.IFS(Q390="ET", "East", Q390="WT", "West", Q390="ST","South", Q390="NR", "North")</f>
        <v>#NAME?</v>
      </c>
      <c r="S390" s="2" t="s">
        <v>60</v>
      </c>
      <c r="T390" s="2" t="str">
        <f t="shared" si="18"/>
        <v>Toronto</v>
      </c>
      <c r="U390" s="12" t="s">
        <v>22</v>
      </c>
      <c r="V390" s="12">
        <f t="shared" si="19"/>
        <v>0.2</v>
      </c>
      <c r="W390" s="13">
        <f t="shared" si="20"/>
        <v>116560.8</v>
      </c>
      <c r="X390" s="2" t="str">
        <f t="shared" si="21"/>
        <v>High</v>
      </c>
    </row>
    <row r="391" spans="1:24" ht="14.25" customHeight="1" x14ac:dyDescent="0.5">
      <c r="A391" s="2" t="s">
        <v>1324</v>
      </c>
      <c r="B391" s="2" t="s">
        <v>173</v>
      </c>
      <c r="C391" s="2" t="str">
        <f t="shared" si="11"/>
        <v>Daniel Lewis</v>
      </c>
      <c r="D391" s="2" t="s">
        <v>99</v>
      </c>
      <c r="E391" s="2" t="str">
        <f t="shared" si="12"/>
        <v>daniel@company.com</v>
      </c>
      <c r="F391" s="2" t="s">
        <v>50</v>
      </c>
      <c r="G391" s="3">
        <v>45303</v>
      </c>
      <c r="H391" s="3" t="str">
        <f t="shared" si="13"/>
        <v>12-Jan-2024</v>
      </c>
      <c r="I391" s="10" t="s">
        <v>1325</v>
      </c>
      <c r="J391" s="10">
        <f t="shared" si="14"/>
        <v>42100</v>
      </c>
      <c r="K391" s="11" t="s">
        <v>44</v>
      </c>
      <c r="L391" s="2" t="s">
        <v>121</v>
      </c>
      <c r="M391" s="2" t="str">
        <f t="shared" si="15"/>
        <v>On Leave</v>
      </c>
      <c r="N391" s="2" t="s">
        <v>107</v>
      </c>
      <c r="O391" s="2" t="str">
        <f t="shared" si="16"/>
        <v>All Clear</v>
      </c>
      <c r="P391" s="2" t="s">
        <v>1326</v>
      </c>
      <c r="Q391" s="2" t="str">
        <f t="shared" si="17"/>
        <v>ET</v>
      </c>
      <c r="R391" s="2" t="e">
        <f t="array" aca="1" ref="R391" ca="1">_xludf.IFS(Q391="ET", "East", Q391="WT", "West", Q391="ST","South", Q391="NR", "North")</f>
        <v>#NAME?</v>
      </c>
      <c r="S391" s="2" t="s">
        <v>38</v>
      </c>
      <c r="T391" s="2" t="str">
        <f t="shared" si="18"/>
        <v>London</v>
      </c>
      <c r="U391" s="12" t="s">
        <v>39</v>
      </c>
      <c r="V391" s="12">
        <f t="shared" si="19"/>
        <v>0.05</v>
      </c>
      <c r="W391" s="13">
        <f t="shared" si="20"/>
        <v>44205</v>
      </c>
      <c r="X391" s="2" t="str">
        <f t="shared" si="21"/>
        <v>Normal</v>
      </c>
    </row>
    <row r="392" spans="1:24" ht="14.25" customHeight="1" x14ac:dyDescent="0.5">
      <c r="A392" s="2" t="s">
        <v>1327</v>
      </c>
      <c r="B392" s="2" t="s">
        <v>152</v>
      </c>
      <c r="C392" s="2" t="str">
        <f t="shared" si="11"/>
        <v>Sarah Moore</v>
      </c>
      <c r="D392" s="2" t="s">
        <v>49</v>
      </c>
      <c r="E392" s="2" t="str">
        <f t="shared" si="12"/>
        <v>emily@company.com</v>
      </c>
      <c r="F392" s="2" t="s">
        <v>69</v>
      </c>
      <c r="G392" s="3">
        <v>44271</v>
      </c>
      <c r="H392" s="3" t="str">
        <f t="shared" si="13"/>
        <v>16-Mar-2021</v>
      </c>
      <c r="I392" s="10" t="s">
        <v>1328</v>
      </c>
      <c r="J392" s="10">
        <f t="shared" si="14"/>
        <v>101997</v>
      </c>
      <c r="K392" s="11" t="s">
        <v>57</v>
      </c>
      <c r="L392" s="2" t="s">
        <v>89</v>
      </c>
      <c r="M392" s="2" t="str">
        <f t="shared" si="15"/>
        <v>Active</v>
      </c>
      <c r="N392" s="2" t="s">
        <v>19</v>
      </c>
      <c r="O392" s="2" t="str">
        <f t="shared" si="16"/>
        <v>Urgent Review</v>
      </c>
      <c r="P392" s="2" t="s">
        <v>1329</v>
      </c>
      <c r="Q392" s="2" t="str">
        <f t="shared" si="17"/>
        <v>NR</v>
      </c>
      <c r="R392" s="2" t="e">
        <f t="array" aca="1" ref="R392" ca="1">_xludf.IFS(Q392="ET", "East", Q392="WT", "West", Q392="ST","South", Q392="NR", "North")</f>
        <v>#NAME?</v>
      </c>
      <c r="S392" s="2" t="s">
        <v>21</v>
      </c>
      <c r="T392" s="2" t="str">
        <f t="shared" si="18"/>
        <v>Sao Paulo</v>
      </c>
      <c r="U392" s="12" t="s">
        <v>22</v>
      </c>
      <c r="V392" s="12">
        <f t="shared" si="19"/>
        <v>0.2</v>
      </c>
      <c r="W392" s="13">
        <f t="shared" si="20"/>
        <v>122396.4</v>
      </c>
      <c r="X392" s="2" t="str">
        <f t="shared" si="21"/>
        <v>High</v>
      </c>
    </row>
    <row r="393" spans="1:24" ht="14.25" customHeight="1" x14ac:dyDescent="0.5">
      <c r="A393" s="2" t="s">
        <v>1330</v>
      </c>
      <c r="B393" s="2" t="s">
        <v>181</v>
      </c>
      <c r="C393" s="2" t="str">
        <f t="shared" si="11"/>
        <v>Jane Lewis</v>
      </c>
      <c r="D393" s="2" t="s">
        <v>105</v>
      </c>
      <c r="E393" s="2" t="str">
        <f t="shared" si="12"/>
        <v>sam@company.com</v>
      </c>
      <c r="F393" s="2" t="s">
        <v>69</v>
      </c>
      <c r="G393" s="3">
        <v>43923</v>
      </c>
      <c r="H393" s="3" t="str">
        <f t="shared" si="13"/>
        <v>02-Apr-2020</v>
      </c>
      <c r="I393" s="10" t="s">
        <v>1331</v>
      </c>
      <c r="J393" s="10">
        <f t="shared" si="14"/>
        <v>68172</v>
      </c>
      <c r="K393" s="11" t="s">
        <v>17</v>
      </c>
      <c r="L393" s="2" t="s">
        <v>58</v>
      </c>
      <c r="M393" s="2" t="str">
        <f t="shared" si="15"/>
        <v>Terminated</v>
      </c>
      <c r="O393" s="2" t="str">
        <f t="shared" si="16"/>
        <v>No Notes</v>
      </c>
      <c r="P393" s="2" t="s">
        <v>1332</v>
      </c>
      <c r="Q393" s="2" t="str">
        <f t="shared" si="17"/>
        <v>WT</v>
      </c>
      <c r="R393" s="2" t="e">
        <f t="array" aca="1" ref="R393" ca="1">_xludf.IFS(Q393="ET", "East", Q393="WT", "West", Q393="ST","South", Q393="NR", "North")</f>
        <v>#NAME?</v>
      </c>
      <c r="S393" s="2" t="s">
        <v>96</v>
      </c>
      <c r="T393" s="2" t="str">
        <f t="shared" si="18"/>
        <v>Cairo</v>
      </c>
      <c r="U393" s="12" t="s">
        <v>39</v>
      </c>
      <c r="V393" s="12">
        <f t="shared" si="19"/>
        <v>0.05</v>
      </c>
      <c r="W393" s="13">
        <f t="shared" si="20"/>
        <v>71580.600000000006</v>
      </c>
      <c r="X393" s="2" t="str">
        <f t="shared" si="21"/>
        <v>Normal</v>
      </c>
    </row>
    <row r="394" spans="1:24" ht="14.25" customHeight="1" x14ac:dyDescent="0.5">
      <c r="A394" s="2" t="s">
        <v>1333</v>
      </c>
      <c r="B394" s="2" t="s">
        <v>62</v>
      </c>
      <c r="C394" s="2" t="str">
        <f t="shared" si="11"/>
        <v>Chris Brown</v>
      </c>
      <c r="D394" s="2" t="s">
        <v>74</v>
      </c>
      <c r="E394" s="2" t="str">
        <f t="shared" si="12"/>
        <v>mike@company.com</v>
      </c>
      <c r="F394" s="2" t="s">
        <v>69</v>
      </c>
      <c r="G394" s="3">
        <v>44583</v>
      </c>
      <c r="H394" s="3" t="str">
        <f t="shared" si="13"/>
        <v>22-Jan-2022</v>
      </c>
      <c r="I394" s="10" t="s">
        <v>1334</v>
      </c>
      <c r="J394" s="10">
        <f t="shared" si="14"/>
        <v>60132</v>
      </c>
      <c r="K394" s="11" t="s">
        <v>36</v>
      </c>
      <c r="L394" s="2" t="s">
        <v>58</v>
      </c>
      <c r="M394" s="2" t="str">
        <f t="shared" si="15"/>
        <v>Terminated</v>
      </c>
      <c r="N394" s="2" t="s">
        <v>28</v>
      </c>
      <c r="O394" s="2" t="str">
        <f t="shared" si="16"/>
        <v>Pending Docs</v>
      </c>
      <c r="P394" s="2" t="s">
        <v>1335</v>
      </c>
      <c r="Q394" s="2" t="str">
        <f t="shared" si="17"/>
        <v>ST</v>
      </c>
      <c r="R394" s="2" t="e">
        <f t="array" aca="1" ref="R394" ca="1">_xludf.IFS(Q394="ET", "East", Q394="WT", "West", Q394="ST","South", Q394="NR", "North")</f>
        <v>#NAME?</v>
      </c>
      <c r="S394" s="2" t="s">
        <v>38</v>
      </c>
      <c r="T394" s="2" t="str">
        <f t="shared" si="18"/>
        <v>London</v>
      </c>
      <c r="U394" s="12" t="s">
        <v>30</v>
      </c>
      <c r="V394" s="12">
        <f t="shared" si="19"/>
        <v>0.1</v>
      </c>
      <c r="W394" s="13">
        <f t="shared" si="20"/>
        <v>66145.200000000012</v>
      </c>
      <c r="X394" s="2" t="str">
        <f t="shared" si="21"/>
        <v>Normal</v>
      </c>
    </row>
    <row r="395" spans="1:24" ht="14.25" customHeight="1" x14ac:dyDescent="0.5">
      <c r="A395" s="2" t="s">
        <v>1336</v>
      </c>
      <c r="B395" s="2" t="s">
        <v>1007</v>
      </c>
      <c r="C395" s="2" t="str">
        <f t="shared" si="11"/>
        <v>Sarah Brown</v>
      </c>
      <c r="D395" s="2" t="s">
        <v>235</v>
      </c>
      <c r="E395" s="2" t="str">
        <f t="shared" si="12"/>
        <v>jane@company.com</v>
      </c>
      <c r="F395" s="2" t="s">
        <v>50</v>
      </c>
      <c r="G395" s="3">
        <v>44697</v>
      </c>
      <c r="H395" s="3" t="str">
        <f t="shared" si="13"/>
        <v>16-May-2022</v>
      </c>
      <c r="I395" s="10" t="s">
        <v>1337</v>
      </c>
      <c r="J395" s="10">
        <f t="shared" si="14"/>
        <v>58199</v>
      </c>
      <c r="K395" s="11" t="s">
        <v>57</v>
      </c>
      <c r="L395" s="2" t="s">
        <v>89</v>
      </c>
      <c r="M395" s="2" t="str">
        <f t="shared" si="15"/>
        <v>Active</v>
      </c>
      <c r="N395" s="2" t="s">
        <v>107</v>
      </c>
      <c r="O395" s="2" t="str">
        <f t="shared" si="16"/>
        <v>All Clear</v>
      </c>
      <c r="P395" s="2" t="s">
        <v>1338</v>
      </c>
      <c r="Q395" s="2" t="str">
        <f t="shared" si="17"/>
        <v>NR</v>
      </c>
      <c r="R395" s="2" t="e">
        <f t="array" aca="1" ref="R395" ca="1">_xludf.IFS(Q395="ET", "East", Q395="WT", "West", Q395="ST","South", Q395="NR", "North")</f>
        <v>#NAME?</v>
      </c>
      <c r="S395" s="2" t="s">
        <v>96</v>
      </c>
      <c r="T395" s="2" t="str">
        <f t="shared" si="18"/>
        <v>Cairo</v>
      </c>
      <c r="U395" s="12" t="s">
        <v>85</v>
      </c>
      <c r="V395" s="12">
        <f t="shared" si="19"/>
        <v>0.15</v>
      </c>
      <c r="W395" s="13">
        <f t="shared" si="20"/>
        <v>66928.849999999991</v>
      </c>
      <c r="X395" s="2" t="str">
        <f t="shared" si="21"/>
        <v>Normal</v>
      </c>
    </row>
    <row r="396" spans="1:24" ht="14.25" customHeight="1" x14ac:dyDescent="0.5">
      <c r="A396" s="2" t="s">
        <v>1339</v>
      </c>
      <c r="B396" s="2" t="s">
        <v>371</v>
      </c>
      <c r="C396" s="2" t="str">
        <f t="shared" si="11"/>
        <v>Sarah Johnson</v>
      </c>
      <c r="D396" s="2" t="s">
        <v>93</v>
      </c>
      <c r="E396" s="2" t="str">
        <f t="shared" si="12"/>
        <v>k@ie@company.com</v>
      </c>
      <c r="F396" s="2" t="s">
        <v>34</v>
      </c>
      <c r="G396" s="3">
        <v>45278</v>
      </c>
      <c r="H396" s="3" t="str">
        <f t="shared" si="13"/>
        <v>18-Dec-2023</v>
      </c>
      <c r="I396" s="10" t="s">
        <v>1340</v>
      </c>
      <c r="J396" s="10">
        <f t="shared" si="14"/>
        <v>76609</v>
      </c>
      <c r="K396" s="11" t="s">
        <v>83</v>
      </c>
      <c r="L396" s="2" t="s">
        <v>121</v>
      </c>
      <c r="M396" s="2" t="str">
        <f t="shared" si="15"/>
        <v>On Leave</v>
      </c>
      <c r="N396" s="2" t="s">
        <v>28</v>
      </c>
      <c r="O396" s="2" t="str">
        <f t="shared" si="16"/>
        <v>Pending Docs</v>
      </c>
      <c r="P396" s="2" t="s">
        <v>1341</v>
      </c>
      <c r="Q396" s="2" t="str">
        <f t="shared" si="17"/>
        <v>NR</v>
      </c>
      <c r="R396" s="2" t="e">
        <f t="array" aca="1" ref="R396" ca="1">_xludf.IFS(Q396="ET", "East", Q396="WT", "West", Q396="ST","South", Q396="NR", "North")</f>
        <v>#NAME?</v>
      </c>
      <c r="S396" s="2" t="s">
        <v>79</v>
      </c>
      <c r="T396" s="2" t="str">
        <f t="shared" si="18"/>
        <v>New York</v>
      </c>
      <c r="U396" s="12" t="s">
        <v>30</v>
      </c>
      <c r="V396" s="12">
        <f t="shared" si="19"/>
        <v>0.1</v>
      </c>
      <c r="W396" s="13">
        <f t="shared" si="20"/>
        <v>84269.900000000009</v>
      </c>
      <c r="X396" s="2" t="str">
        <f t="shared" si="21"/>
        <v>Normal</v>
      </c>
    </row>
    <row r="397" spans="1:24" ht="14.25" customHeight="1" x14ac:dyDescent="0.5">
      <c r="A397" s="2" t="s">
        <v>1342</v>
      </c>
      <c r="B397" s="2" t="s">
        <v>92</v>
      </c>
      <c r="C397" s="2" t="str">
        <f t="shared" si="11"/>
        <v>Mike Miller</v>
      </c>
      <c r="D397" s="2" t="s">
        <v>74</v>
      </c>
      <c r="E397" s="2" t="str">
        <f t="shared" si="12"/>
        <v>mike@company.com</v>
      </c>
      <c r="F397" s="2" t="s">
        <v>15</v>
      </c>
      <c r="G397" s="3">
        <v>43972</v>
      </c>
      <c r="H397" s="3" t="str">
        <f t="shared" si="13"/>
        <v>21-May-2020</v>
      </c>
      <c r="I397" s="10" t="s">
        <v>1343</v>
      </c>
      <c r="J397" s="10">
        <f t="shared" si="14"/>
        <v>82965</v>
      </c>
      <c r="K397" s="11" t="s">
        <v>44</v>
      </c>
      <c r="L397" s="2" t="s">
        <v>64</v>
      </c>
      <c r="M397" s="2" t="str">
        <f t="shared" si="15"/>
        <v>Terminated</v>
      </c>
      <c r="N397" s="2" t="s">
        <v>65</v>
      </c>
      <c r="O397" s="2" t="str">
        <f t="shared" si="16"/>
        <v>Follow Up</v>
      </c>
      <c r="P397" s="2" t="s">
        <v>1344</v>
      </c>
      <c r="Q397" s="2" t="str">
        <f t="shared" si="17"/>
        <v>NR</v>
      </c>
      <c r="R397" s="2" t="e">
        <f t="array" aca="1" ref="R397" ca="1">_xludf.IFS(Q397="ET", "East", Q397="WT", "West", Q397="ST","South", Q397="NR", "North")</f>
        <v>#NAME?</v>
      </c>
      <c r="S397" s="2" t="s">
        <v>47</v>
      </c>
      <c r="T397" s="2" t="str">
        <f t="shared" si="18"/>
        <v>Lagos</v>
      </c>
      <c r="U397" s="12" t="s">
        <v>39</v>
      </c>
      <c r="V397" s="12">
        <f t="shared" si="19"/>
        <v>0.05</v>
      </c>
      <c r="W397" s="13">
        <f t="shared" si="20"/>
        <v>87113.25</v>
      </c>
      <c r="X397" s="2" t="str">
        <f t="shared" si="21"/>
        <v>Normal</v>
      </c>
    </row>
    <row r="398" spans="1:24" ht="14.25" customHeight="1" x14ac:dyDescent="0.5">
      <c r="A398" s="2" t="s">
        <v>1345</v>
      </c>
      <c r="B398" s="2" t="s">
        <v>492</v>
      </c>
      <c r="C398" s="2" t="str">
        <f t="shared" si="11"/>
        <v>Sam Brown</v>
      </c>
      <c r="D398" s="2" t="s">
        <v>93</v>
      </c>
      <c r="E398" s="2" t="str">
        <f t="shared" si="12"/>
        <v>k@ie@company.com</v>
      </c>
      <c r="F398" s="2" t="s">
        <v>69</v>
      </c>
      <c r="G398" s="3">
        <v>45145</v>
      </c>
      <c r="H398" s="3" t="str">
        <f t="shared" si="13"/>
        <v>07-Aug-2023</v>
      </c>
      <c r="I398" s="10" t="s">
        <v>692</v>
      </c>
      <c r="J398" s="10">
        <f t="shared" si="14"/>
        <v>48016</v>
      </c>
      <c r="K398" s="11" t="s">
        <v>17</v>
      </c>
      <c r="L398" s="2" t="s">
        <v>112</v>
      </c>
      <c r="M398" s="2" t="str">
        <f t="shared" si="15"/>
        <v>On Leave</v>
      </c>
      <c r="N398" s="2" t="s">
        <v>19</v>
      </c>
      <c r="O398" s="2" t="str">
        <f t="shared" si="16"/>
        <v>Urgent Review</v>
      </c>
      <c r="P398" s="2" t="s">
        <v>1346</v>
      </c>
      <c r="Q398" s="2" t="str">
        <f t="shared" si="17"/>
        <v>ST</v>
      </c>
      <c r="R398" s="2" t="e">
        <f t="array" aca="1" ref="R398" ca="1">_xludf.IFS(Q398="ET", "East", Q398="WT", "West", Q398="ST","South", Q398="NR", "North")</f>
        <v>#NAME?</v>
      </c>
      <c r="S398" s="2" t="s">
        <v>38</v>
      </c>
      <c r="T398" s="2" t="str">
        <f t="shared" si="18"/>
        <v>London</v>
      </c>
      <c r="U398" s="12" t="s">
        <v>39</v>
      </c>
      <c r="V398" s="12">
        <f t="shared" si="19"/>
        <v>0.05</v>
      </c>
      <c r="W398" s="13">
        <f t="shared" si="20"/>
        <v>50416.800000000003</v>
      </c>
      <c r="X398" s="2" t="str">
        <f t="shared" si="21"/>
        <v>Normal</v>
      </c>
    </row>
    <row r="399" spans="1:24" ht="14.25" customHeight="1" x14ac:dyDescent="0.5">
      <c r="A399" s="2" t="s">
        <v>1347</v>
      </c>
      <c r="B399" s="2" t="s">
        <v>129</v>
      </c>
      <c r="C399" s="2" t="str">
        <f t="shared" si="11"/>
        <v>Katie Wilson</v>
      </c>
      <c r="D399" s="2" t="s">
        <v>14</v>
      </c>
      <c r="E399" s="2" t="str">
        <f t="shared" si="12"/>
        <v>john@company.com</v>
      </c>
      <c r="F399" s="2" t="s">
        <v>75</v>
      </c>
      <c r="G399" s="3">
        <v>45286</v>
      </c>
      <c r="H399" s="3" t="str">
        <f t="shared" si="13"/>
        <v>26-Dec-2023</v>
      </c>
      <c r="I399" s="10" t="s">
        <v>1348</v>
      </c>
      <c r="J399" s="10">
        <f t="shared" si="14"/>
        <v>79779</v>
      </c>
      <c r="K399" s="11" t="s">
        <v>83</v>
      </c>
      <c r="L399" s="2" t="s">
        <v>58</v>
      </c>
      <c r="M399" s="2" t="str">
        <f t="shared" si="15"/>
        <v>Terminated</v>
      </c>
      <c r="O399" s="2" t="str">
        <f t="shared" si="16"/>
        <v>No Notes</v>
      </c>
      <c r="P399" s="2" t="s">
        <v>1349</v>
      </c>
      <c r="Q399" s="2" t="str">
        <f t="shared" si="17"/>
        <v>WT</v>
      </c>
      <c r="R399" s="2" t="e">
        <f t="array" aca="1" ref="R399" ca="1">_xludf.IFS(Q399="ET", "East", Q399="WT", "West", Q399="ST","South", Q399="NR", "North")</f>
        <v>#NAME?</v>
      </c>
      <c r="S399" s="2" t="s">
        <v>96</v>
      </c>
      <c r="T399" s="2" t="str">
        <f t="shared" si="18"/>
        <v>Cairo</v>
      </c>
      <c r="U399" s="12" t="s">
        <v>85</v>
      </c>
      <c r="V399" s="12">
        <f t="shared" si="19"/>
        <v>0.15</v>
      </c>
      <c r="W399" s="13">
        <f t="shared" si="20"/>
        <v>91745.849999999991</v>
      </c>
      <c r="X399" s="2" t="str">
        <f t="shared" si="21"/>
        <v>Normal</v>
      </c>
    </row>
    <row r="400" spans="1:24" ht="14.25" customHeight="1" x14ac:dyDescent="0.5">
      <c r="A400" s="2" t="s">
        <v>1350</v>
      </c>
      <c r="B400" s="2" t="s">
        <v>234</v>
      </c>
      <c r="C400" s="2" t="str">
        <f t="shared" si="11"/>
        <v>Emily Lewis</v>
      </c>
      <c r="D400" s="2" t="s">
        <v>74</v>
      </c>
      <c r="E400" s="2" t="str">
        <f t="shared" si="12"/>
        <v>mike@company.com</v>
      </c>
      <c r="F400" s="2" t="s">
        <v>50</v>
      </c>
      <c r="G400" s="3">
        <v>44579</v>
      </c>
      <c r="H400" s="3" t="str">
        <f t="shared" si="13"/>
        <v>18-Jan-2022</v>
      </c>
      <c r="I400" s="10" t="s">
        <v>1351</v>
      </c>
      <c r="J400" s="10">
        <f t="shared" si="14"/>
        <v>71881</v>
      </c>
      <c r="K400" s="11" t="s">
        <v>17</v>
      </c>
      <c r="L400" s="2" t="s">
        <v>27</v>
      </c>
      <c r="M400" s="2" t="str">
        <f t="shared" si="15"/>
        <v>On Leave</v>
      </c>
      <c r="N400" s="2" t="s">
        <v>65</v>
      </c>
      <c r="O400" s="2" t="str">
        <f t="shared" si="16"/>
        <v>Follow Up</v>
      </c>
      <c r="P400" s="2" t="s">
        <v>1352</v>
      </c>
      <c r="Q400" s="2" t="str">
        <f t="shared" si="17"/>
        <v>WT</v>
      </c>
      <c r="R400" s="2" t="e">
        <f t="array" aca="1" ref="R400" ca="1">_xludf.IFS(Q400="ET", "East", Q400="WT", "West", Q400="ST","South", Q400="NR", "North")</f>
        <v>#NAME?</v>
      </c>
      <c r="S400" s="2" t="s">
        <v>53</v>
      </c>
      <c r="T400" s="2" t="str">
        <f t="shared" si="18"/>
        <v>Delhi</v>
      </c>
      <c r="U400" s="12" t="s">
        <v>22</v>
      </c>
      <c r="V400" s="12">
        <f t="shared" si="19"/>
        <v>0.2</v>
      </c>
      <c r="W400" s="13">
        <f t="shared" si="20"/>
        <v>86257.2</v>
      </c>
      <c r="X400" s="2" t="str">
        <f t="shared" si="21"/>
        <v>Normal</v>
      </c>
    </row>
    <row r="401" spans="1:24" ht="14.25" customHeight="1" x14ac:dyDescent="0.5">
      <c r="A401" s="2" t="s">
        <v>1353</v>
      </c>
      <c r="B401" s="2" t="s">
        <v>191</v>
      </c>
      <c r="C401" s="2" t="str">
        <f t="shared" si="11"/>
        <v>Sarah Clark</v>
      </c>
      <c r="D401" s="2" t="s">
        <v>105</v>
      </c>
      <c r="E401" s="2" t="str">
        <f t="shared" si="12"/>
        <v>sam@company.com</v>
      </c>
      <c r="F401" s="2" t="s">
        <v>69</v>
      </c>
      <c r="G401" s="3">
        <v>44483</v>
      </c>
      <c r="H401" s="3" t="str">
        <f t="shared" si="13"/>
        <v>14-Oct-2021</v>
      </c>
      <c r="I401" s="10" t="s">
        <v>1354</v>
      </c>
      <c r="J401" s="10">
        <f t="shared" si="14"/>
        <v>64472</v>
      </c>
      <c r="K401" s="11" t="s">
        <v>36</v>
      </c>
      <c r="L401" s="2" t="s">
        <v>89</v>
      </c>
      <c r="M401" s="2" t="str">
        <f t="shared" si="15"/>
        <v>Active</v>
      </c>
      <c r="N401" s="2" t="s">
        <v>65</v>
      </c>
      <c r="O401" s="2" t="str">
        <f t="shared" si="16"/>
        <v>Follow Up</v>
      </c>
      <c r="P401" s="2" t="s">
        <v>1355</v>
      </c>
      <c r="Q401" s="2" t="str">
        <f t="shared" si="17"/>
        <v>WT</v>
      </c>
      <c r="R401" s="2" t="e">
        <f t="array" aca="1" ref="R401" ca="1">_xludf.IFS(Q401="ET", "East", Q401="WT", "West", Q401="ST","South", Q401="NR", "North")</f>
        <v>#NAME?</v>
      </c>
      <c r="S401" s="2" t="s">
        <v>47</v>
      </c>
      <c r="T401" s="2" t="str">
        <f t="shared" si="18"/>
        <v>Lagos</v>
      </c>
      <c r="U401" s="12" t="s">
        <v>39</v>
      </c>
      <c r="V401" s="12">
        <f t="shared" si="19"/>
        <v>0.05</v>
      </c>
      <c r="W401" s="13">
        <f t="shared" si="20"/>
        <v>67695.600000000006</v>
      </c>
      <c r="X401" s="2" t="str">
        <f t="shared" si="21"/>
        <v>Normal</v>
      </c>
    </row>
    <row r="402" spans="1:24" ht="14.25" customHeight="1" x14ac:dyDescent="0.5">
      <c r="A402" s="2" t="s">
        <v>1356</v>
      </c>
      <c r="B402" s="2" t="s">
        <v>889</v>
      </c>
      <c r="C402" s="2" t="str">
        <f t="shared" si="11"/>
        <v>John Wilson</v>
      </c>
      <c r="D402" s="2" t="s">
        <v>25</v>
      </c>
      <c r="E402" s="2" t="str">
        <f t="shared" si="12"/>
        <v>chris@company.com</v>
      </c>
      <c r="F402" s="2" t="s">
        <v>34</v>
      </c>
      <c r="G402" s="3">
        <v>44531</v>
      </c>
      <c r="H402" s="3" t="str">
        <f t="shared" si="13"/>
        <v>01-Dec-2021</v>
      </c>
      <c r="I402" s="10" t="s">
        <v>1357</v>
      </c>
      <c r="J402" s="10">
        <f t="shared" si="14"/>
        <v>91813</v>
      </c>
      <c r="K402" s="11" t="s">
        <v>44</v>
      </c>
      <c r="L402" s="2" t="s">
        <v>89</v>
      </c>
      <c r="M402" s="2" t="str">
        <f t="shared" si="15"/>
        <v>Active</v>
      </c>
      <c r="N402" s="2" t="s">
        <v>77</v>
      </c>
      <c r="O402" s="2" t="str">
        <f t="shared" si="16"/>
        <v>All Clear</v>
      </c>
      <c r="P402" s="2" t="s">
        <v>1358</v>
      </c>
      <c r="Q402" s="2" t="str">
        <f t="shared" si="17"/>
        <v>ET</v>
      </c>
      <c r="R402" s="2" t="e">
        <f t="array" aca="1" ref="R402" ca="1">_xludf.IFS(Q402="ET", "East", Q402="WT", "West", Q402="ST","South", Q402="NR", "North")</f>
        <v>#NAME?</v>
      </c>
      <c r="S402" s="2" t="s">
        <v>38</v>
      </c>
      <c r="T402" s="2" t="str">
        <f t="shared" si="18"/>
        <v>London</v>
      </c>
      <c r="U402" s="12" t="s">
        <v>39</v>
      </c>
      <c r="V402" s="12">
        <f t="shared" si="19"/>
        <v>0.05</v>
      </c>
      <c r="W402" s="13">
        <f t="shared" si="20"/>
        <v>96403.650000000009</v>
      </c>
      <c r="X402" s="2" t="str">
        <f t="shared" si="21"/>
        <v>Normal</v>
      </c>
    </row>
    <row r="403" spans="1:24" ht="14.25" customHeight="1" x14ac:dyDescent="0.5">
      <c r="A403" s="2" t="s">
        <v>1359</v>
      </c>
      <c r="B403" s="2" t="s">
        <v>173</v>
      </c>
      <c r="C403" s="2" t="str">
        <f t="shared" si="11"/>
        <v>Daniel Lewis</v>
      </c>
      <c r="D403" s="2" t="s">
        <v>99</v>
      </c>
      <c r="E403" s="2" t="str">
        <f t="shared" si="12"/>
        <v>daniel@company.com</v>
      </c>
      <c r="F403" s="2" t="s">
        <v>15</v>
      </c>
      <c r="G403" s="3">
        <v>44828</v>
      </c>
      <c r="H403" s="3" t="str">
        <f t="shared" si="13"/>
        <v>24-Sep-2022</v>
      </c>
      <c r="I403" s="10" t="s">
        <v>1360</v>
      </c>
      <c r="J403" s="10">
        <f t="shared" si="14"/>
        <v>76021</v>
      </c>
      <c r="K403" s="11" t="s">
        <v>44</v>
      </c>
      <c r="L403" s="2" t="s">
        <v>45</v>
      </c>
      <c r="M403" s="2" t="str">
        <f t="shared" si="15"/>
        <v>Active</v>
      </c>
      <c r="N403" s="2" t="s">
        <v>65</v>
      </c>
      <c r="O403" s="2" t="str">
        <f t="shared" si="16"/>
        <v>Follow Up</v>
      </c>
      <c r="P403" s="2" t="s">
        <v>1361</v>
      </c>
      <c r="Q403" s="2" t="str">
        <f t="shared" si="17"/>
        <v>ET</v>
      </c>
      <c r="R403" s="2" t="e">
        <f t="array" aca="1" ref="R403" ca="1">_xludf.IFS(Q403="ET", "East", Q403="WT", "West", Q403="ST","South", Q403="NR", "North")</f>
        <v>#NAME?</v>
      </c>
      <c r="S403" s="2" t="s">
        <v>53</v>
      </c>
      <c r="T403" s="2" t="str">
        <f t="shared" si="18"/>
        <v>Delhi</v>
      </c>
      <c r="U403" s="12" t="s">
        <v>39</v>
      </c>
      <c r="V403" s="12">
        <f t="shared" si="19"/>
        <v>0.05</v>
      </c>
      <c r="W403" s="13">
        <f t="shared" si="20"/>
        <v>79822.05</v>
      </c>
      <c r="X403" s="2" t="str">
        <f t="shared" si="21"/>
        <v>Normal</v>
      </c>
    </row>
    <row r="404" spans="1:24" ht="14.25" customHeight="1" x14ac:dyDescent="0.5">
      <c r="A404" s="2" t="s">
        <v>1362</v>
      </c>
      <c r="B404" s="2" t="s">
        <v>98</v>
      </c>
      <c r="C404" s="2" t="str">
        <f t="shared" si="11"/>
        <v>Katie Smith</v>
      </c>
      <c r="D404" s="2" t="s">
        <v>49</v>
      </c>
      <c r="E404" s="2" t="str">
        <f t="shared" si="12"/>
        <v>emily@company.com</v>
      </c>
      <c r="F404" s="2" t="s">
        <v>50</v>
      </c>
      <c r="G404" s="3">
        <v>43879</v>
      </c>
      <c r="H404" s="3" t="str">
        <f t="shared" si="13"/>
        <v>18-Feb-2020</v>
      </c>
      <c r="I404" s="10" t="s">
        <v>1363</v>
      </c>
      <c r="J404" s="10">
        <f t="shared" si="14"/>
        <v>94131</v>
      </c>
      <c r="K404" s="11" t="s">
        <v>36</v>
      </c>
      <c r="L404" s="2" t="s">
        <v>112</v>
      </c>
      <c r="M404" s="2" t="str">
        <f t="shared" si="15"/>
        <v>On Leave</v>
      </c>
      <c r="N404" s="2" t="s">
        <v>19</v>
      </c>
      <c r="O404" s="2" t="str">
        <f t="shared" si="16"/>
        <v>Urgent Review</v>
      </c>
      <c r="P404" s="2" t="s">
        <v>1364</v>
      </c>
      <c r="Q404" s="2" t="str">
        <f t="shared" si="17"/>
        <v>ET</v>
      </c>
      <c r="R404" s="2" t="e">
        <f t="array" aca="1" ref="R404" ca="1">_xludf.IFS(Q404="ET", "East", Q404="WT", "West", Q404="ST","South", Q404="NR", "North")</f>
        <v>#NAME?</v>
      </c>
      <c r="S404" s="2" t="s">
        <v>53</v>
      </c>
      <c r="T404" s="2" t="str">
        <f t="shared" si="18"/>
        <v>Delhi</v>
      </c>
      <c r="U404" s="12" t="s">
        <v>85</v>
      </c>
      <c r="V404" s="12">
        <f t="shared" si="19"/>
        <v>0.15</v>
      </c>
      <c r="W404" s="13">
        <f t="shared" si="20"/>
        <v>108250.65</v>
      </c>
      <c r="X404" s="2" t="str">
        <f t="shared" si="21"/>
        <v>High</v>
      </c>
    </row>
    <row r="405" spans="1:24" ht="14.25" customHeight="1" x14ac:dyDescent="0.5">
      <c r="A405" s="2" t="s">
        <v>1365</v>
      </c>
      <c r="B405" s="2" t="s">
        <v>336</v>
      </c>
      <c r="C405" s="2" t="str">
        <f t="shared" si="11"/>
        <v>Alex Clark</v>
      </c>
      <c r="D405" s="2" t="s">
        <v>49</v>
      </c>
      <c r="E405" s="2" t="str">
        <f t="shared" si="12"/>
        <v>emily@company.com</v>
      </c>
      <c r="F405" s="2" t="s">
        <v>100</v>
      </c>
      <c r="G405" s="3">
        <v>45156</v>
      </c>
      <c r="H405" s="3" t="str">
        <f t="shared" si="13"/>
        <v>18-Aug-2023</v>
      </c>
      <c r="I405" s="10" t="s">
        <v>1366</v>
      </c>
      <c r="J405" s="10">
        <f t="shared" si="14"/>
        <v>64087</v>
      </c>
      <c r="K405" s="11" t="s">
        <v>44</v>
      </c>
      <c r="L405" s="2" t="s">
        <v>45</v>
      </c>
      <c r="M405" s="2" t="str">
        <f t="shared" si="15"/>
        <v>Active</v>
      </c>
      <c r="N405" s="2" t="s">
        <v>107</v>
      </c>
      <c r="O405" s="2" t="str">
        <f t="shared" si="16"/>
        <v>All Clear</v>
      </c>
      <c r="P405" s="2" t="s">
        <v>1367</v>
      </c>
      <c r="Q405" s="2" t="str">
        <f t="shared" si="17"/>
        <v>ST</v>
      </c>
      <c r="R405" s="2" t="e">
        <f t="array" aca="1" ref="R405" ca="1">_xludf.IFS(Q405="ET", "East", Q405="WT", "West", Q405="ST","South", Q405="NR", "North")</f>
        <v>#NAME?</v>
      </c>
      <c r="S405" s="2" t="s">
        <v>159</v>
      </c>
      <c r="T405" s="2" t="str">
        <f t="shared" si="18"/>
        <v>Berlin</v>
      </c>
      <c r="U405" s="12" t="s">
        <v>30</v>
      </c>
      <c r="V405" s="12">
        <f t="shared" si="19"/>
        <v>0.1</v>
      </c>
      <c r="W405" s="13">
        <f t="shared" si="20"/>
        <v>70495.700000000012</v>
      </c>
      <c r="X405" s="2" t="str">
        <f t="shared" si="21"/>
        <v>Normal</v>
      </c>
    </row>
    <row r="406" spans="1:24" ht="14.25" customHeight="1" x14ac:dyDescent="0.5">
      <c r="A406" s="2" t="s">
        <v>1368</v>
      </c>
      <c r="B406" s="2" t="s">
        <v>685</v>
      </c>
      <c r="C406" s="2" t="str">
        <f t="shared" si="11"/>
        <v>Alex Lewis</v>
      </c>
      <c r="D406" s="2" t="s">
        <v>99</v>
      </c>
      <c r="E406" s="2" t="str">
        <f t="shared" si="12"/>
        <v>daniel@company.com</v>
      </c>
      <c r="F406" s="2" t="s">
        <v>15</v>
      </c>
      <c r="G406" s="3">
        <v>44711</v>
      </c>
      <c r="H406" s="3" t="str">
        <f t="shared" si="13"/>
        <v>30-May-2022</v>
      </c>
      <c r="I406" s="10" t="s">
        <v>1369</v>
      </c>
      <c r="J406" s="10">
        <f t="shared" si="14"/>
        <v>52828</v>
      </c>
      <c r="K406" s="11" t="s">
        <v>57</v>
      </c>
      <c r="L406" s="2" t="s">
        <v>89</v>
      </c>
      <c r="M406" s="2" t="str">
        <f t="shared" si="15"/>
        <v>Active</v>
      </c>
      <c r="N406" s="2" t="s">
        <v>19</v>
      </c>
      <c r="O406" s="2" t="str">
        <f t="shared" si="16"/>
        <v>Urgent Review</v>
      </c>
      <c r="P406" s="2" t="s">
        <v>1370</v>
      </c>
      <c r="Q406" s="2" t="str">
        <f t="shared" si="17"/>
        <v>ET</v>
      </c>
      <c r="R406" s="2" t="e">
        <f t="array" aca="1" ref="R406" ca="1">_xludf.IFS(Q406="ET", "East", Q406="WT", "West", Q406="ST","South", Q406="NR", "North")</f>
        <v>#NAME?</v>
      </c>
      <c r="S406" s="2" t="s">
        <v>53</v>
      </c>
      <c r="T406" s="2" t="str">
        <f t="shared" si="18"/>
        <v>Delhi</v>
      </c>
      <c r="U406" s="12" t="s">
        <v>39</v>
      </c>
      <c r="V406" s="12">
        <f t="shared" si="19"/>
        <v>0.05</v>
      </c>
      <c r="W406" s="13">
        <f t="shared" si="20"/>
        <v>55469.4</v>
      </c>
      <c r="X406" s="2" t="str">
        <f t="shared" si="21"/>
        <v>Normal</v>
      </c>
    </row>
    <row r="407" spans="1:24" ht="14.25" customHeight="1" x14ac:dyDescent="0.5">
      <c r="A407" s="2" t="s">
        <v>1371</v>
      </c>
      <c r="B407" s="2" t="s">
        <v>584</v>
      </c>
      <c r="C407" s="2" t="str">
        <f t="shared" si="11"/>
        <v>Sam Clark</v>
      </c>
      <c r="D407" s="2" t="s">
        <v>125</v>
      </c>
      <c r="E407" s="2" t="str">
        <f t="shared" si="12"/>
        <v>sarah@company.com</v>
      </c>
      <c r="F407" s="2" t="s">
        <v>75</v>
      </c>
      <c r="G407" s="3">
        <v>45044</v>
      </c>
      <c r="H407" s="3" t="str">
        <f t="shared" si="13"/>
        <v>28-Apr-2023</v>
      </c>
      <c r="I407" s="10" t="s">
        <v>1372</v>
      </c>
      <c r="J407" s="10">
        <f t="shared" si="14"/>
        <v>101610</v>
      </c>
      <c r="K407" s="11" t="s">
        <v>17</v>
      </c>
      <c r="L407" s="2" t="s">
        <v>89</v>
      </c>
      <c r="M407" s="2" t="str">
        <f t="shared" si="15"/>
        <v>Active</v>
      </c>
      <c r="N407" s="2" t="s">
        <v>107</v>
      </c>
      <c r="O407" s="2" t="str">
        <f t="shared" si="16"/>
        <v>All Clear</v>
      </c>
      <c r="P407" s="2" t="s">
        <v>1373</v>
      </c>
      <c r="Q407" s="2" t="str">
        <f t="shared" si="17"/>
        <v>ST</v>
      </c>
      <c r="R407" s="2" t="e">
        <f t="array" aca="1" ref="R407" ca="1">_xludf.IFS(Q407="ET", "East", Q407="WT", "West", Q407="ST","South", Q407="NR", "North")</f>
        <v>#NAME?</v>
      </c>
      <c r="S407" s="2" t="s">
        <v>96</v>
      </c>
      <c r="T407" s="2" t="str">
        <f t="shared" si="18"/>
        <v>Cairo</v>
      </c>
      <c r="U407" s="12" t="s">
        <v>85</v>
      </c>
      <c r="V407" s="12">
        <f t="shared" si="19"/>
        <v>0.15</v>
      </c>
      <c r="W407" s="13">
        <f t="shared" si="20"/>
        <v>116851.49999999999</v>
      </c>
      <c r="X407" s="2" t="str">
        <f t="shared" si="21"/>
        <v>High</v>
      </c>
    </row>
    <row r="408" spans="1:24" ht="14.25" customHeight="1" x14ac:dyDescent="0.5">
      <c r="A408" s="2" t="s">
        <v>1374</v>
      </c>
      <c r="B408" s="2" t="s">
        <v>133</v>
      </c>
      <c r="C408" s="2" t="str">
        <f t="shared" si="11"/>
        <v>Jane Taylor</v>
      </c>
      <c r="D408" s="2" t="s">
        <v>14</v>
      </c>
      <c r="E408" s="2" t="str">
        <f t="shared" si="12"/>
        <v>john@company.com</v>
      </c>
      <c r="F408" s="2" t="s">
        <v>69</v>
      </c>
      <c r="G408" s="3">
        <v>44990</v>
      </c>
      <c r="H408" s="3" t="str">
        <f t="shared" si="13"/>
        <v>05-Mar-2023</v>
      </c>
      <c r="I408" s="10" t="s">
        <v>1375</v>
      </c>
      <c r="J408" s="10">
        <f t="shared" si="14"/>
        <v>41401</v>
      </c>
      <c r="K408" s="11" t="s">
        <v>83</v>
      </c>
      <c r="L408" s="2" t="s">
        <v>58</v>
      </c>
      <c r="M408" s="2" t="str">
        <f t="shared" si="15"/>
        <v>Terminated</v>
      </c>
      <c r="N408" s="2" t="s">
        <v>65</v>
      </c>
      <c r="O408" s="2" t="str">
        <f t="shared" si="16"/>
        <v>Follow Up</v>
      </c>
      <c r="P408" s="2" t="s">
        <v>1376</v>
      </c>
      <c r="Q408" s="2" t="str">
        <f t="shared" si="17"/>
        <v>WT</v>
      </c>
      <c r="R408" s="2" t="e">
        <f t="array" aca="1" ref="R408" ca="1">_xludf.IFS(Q408="ET", "East", Q408="WT", "West", Q408="ST","South", Q408="NR", "North")</f>
        <v>#NAME?</v>
      </c>
      <c r="S408" s="2" t="s">
        <v>159</v>
      </c>
      <c r="T408" s="2" t="str">
        <f t="shared" si="18"/>
        <v>Berlin</v>
      </c>
      <c r="U408" s="12" t="s">
        <v>39</v>
      </c>
      <c r="V408" s="12">
        <f t="shared" si="19"/>
        <v>0.05</v>
      </c>
      <c r="W408" s="13">
        <f t="shared" si="20"/>
        <v>43471.05</v>
      </c>
      <c r="X408" s="2" t="str">
        <f t="shared" si="21"/>
        <v>Normal</v>
      </c>
    </row>
    <row r="409" spans="1:24" ht="14.25" customHeight="1" x14ac:dyDescent="0.5">
      <c r="A409" s="2" t="s">
        <v>1377</v>
      </c>
      <c r="B409" s="2" t="s">
        <v>81</v>
      </c>
      <c r="C409" s="2" t="str">
        <f t="shared" si="11"/>
        <v>Daniel Johnson</v>
      </c>
      <c r="D409" s="2" t="s">
        <v>93</v>
      </c>
      <c r="E409" s="2" t="str">
        <f t="shared" si="12"/>
        <v>k@ie@company.com</v>
      </c>
      <c r="F409" s="2" t="s">
        <v>34</v>
      </c>
      <c r="G409" s="3">
        <v>44385</v>
      </c>
      <c r="H409" s="3" t="str">
        <f t="shared" si="13"/>
        <v>08-Jul-2021</v>
      </c>
      <c r="I409" s="10" t="s">
        <v>1378</v>
      </c>
      <c r="J409" s="10">
        <f t="shared" si="14"/>
        <v>55193</v>
      </c>
      <c r="K409" s="11" t="s">
        <v>36</v>
      </c>
      <c r="L409" s="2" t="s">
        <v>112</v>
      </c>
      <c r="M409" s="2" t="str">
        <f t="shared" si="15"/>
        <v>On Leave</v>
      </c>
      <c r="N409" s="2" t="s">
        <v>65</v>
      </c>
      <c r="O409" s="2" t="str">
        <f t="shared" si="16"/>
        <v>Follow Up</v>
      </c>
      <c r="P409" s="2" t="s">
        <v>1379</v>
      </c>
      <c r="Q409" s="2" t="str">
        <f t="shared" si="17"/>
        <v>ET</v>
      </c>
      <c r="R409" s="2" t="e">
        <f t="array" aca="1" ref="R409" ca="1">_xludf.IFS(Q409="ET", "East", Q409="WT", "West", Q409="ST","South", Q409="NR", "North")</f>
        <v>#NAME?</v>
      </c>
      <c r="S409" s="2" t="s">
        <v>79</v>
      </c>
      <c r="T409" s="2" t="str">
        <f t="shared" si="18"/>
        <v>New York</v>
      </c>
      <c r="U409" s="12" t="s">
        <v>22</v>
      </c>
      <c r="V409" s="12">
        <f t="shared" si="19"/>
        <v>0.2</v>
      </c>
      <c r="W409" s="13">
        <f t="shared" si="20"/>
        <v>66231.599999999991</v>
      </c>
      <c r="X409" s="2" t="str">
        <f t="shared" si="21"/>
        <v>Normal</v>
      </c>
    </row>
    <row r="410" spans="1:24" ht="14.25" customHeight="1" x14ac:dyDescent="0.5">
      <c r="A410" s="2" t="s">
        <v>1380</v>
      </c>
      <c r="B410" s="2" t="s">
        <v>221</v>
      </c>
      <c r="C410" s="2" t="str">
        <f t="shared" si="11"/>
        <v>Chris Moore</v>
      </c>
      <c r="D410" s="2" t="s">
        <v>105</v>
      </c>
      <c r="E410" s="2" t="str">
        <f t="shared" si="12"/>
        <v>sam@company.com</v>
      </c>
      <c r="F410" s="2" t="s">
        <v>100</v>
      </c>
      <c r="G410" s="3">
        <v>44234</v>
      </c>
      <c r="H410" s="3" t="str">
        <f t="shared" si="13"/>
        <v>07-Feb-2021</v>
      </c>
      <c r="I410" s="10" t="s">
        <v>1381</v>
      </c>
      <c r="J410" s="10">
        <f t="shared" si="14"/>
        <v>84864</v>
      </c>
      <c r="K410" s="11" t="s">
        <v>57</v>
      </c>
      <c r="L410" s="2" t="s">
        <v>18</v>
      </c>
      <c r="M410" s="2" t="str">
        <f t="shared" si="15"/>
        <v>Active</v>
      </c>
      <c r="O410" s="2" t="str">
        <f t="shared" si="16"/>
        <v>No Notes</v>
      </c>
      <c r="P410" s="2" t="s">
        <v>1382</v>
      </c>
      <c r="Q410" s="2" t="str">
        <f t="shared" si="17"/>
        <v>ET</v>
      </c>
      <c r="R410" s="2" t="e">
        <f t="array" aca="1" ref="R410" ca="1">_xludf.IFS(Q410="ET", "East", Q410="WT", "West", Q410="ST","South", Q410="NR", "North")</f>
        <v>#NAME?</v>
      </c>
      <c r="S410" s="2" t="s">
        <v>96</v>
      </c>
      <c r="T410" s="2" t="str">
        <f t="shared" si="18"/>
        <v>Cairo</v>
      </c>
      <c r="U410" s="12" t="s">
        <v>85</v>
      </c>
      <c r="V410" s="12">
        <f t="shared" si="19"/>
        <v>0.15</v>
      </c>
      <c r="W410" s="13">
        <f t="shared" si="20"/>
        <v>97593.599999999991</v>
      </c>
      <c r="X410" s="2" t="str">
        <f t="shared" si="21"/>
        <v>Normal</v>
      </c>
    </row>
    <row r="411" spans="1:24" ht="14.25" customHeight="1" x14ac:dyDescent="0.5">
      <c r="A411" s="2" t="s">
        <v>1383</v>
      </c>
      <c r="B411" s="2" t="s">
        <v>268</v>
      </c>
      <c r="C411" s="2" t="str">
        <f t="shared" si="11"/>
        <v>John Brown</v>
      </c>
      <c r="D411" s="2" t="s">
        <v>33</v>
      </c>
      <c r="E411" s="2" t="str">
        <f t="shared" si="12"/>
        <v>alex@company.com</v>
      </c>
      <c r="F411" s="2" t="s">
        <v>34</v>
      </c>
      <c r="G411" s="3">
        <v>44722</v>
      </c>
      <c r="H411" s="3" t="str">
        <f t="shared" si="13"/>
        <v>10-Jun-2022</v>
      </c>
      <c r="I411" s="10" t="s">
        <v>1384</v>
      </c>
      <c r="J411" s="10">
        <f t="shared" si="14"/>
        <v>60307</v>
      </c>
      <c r="K411" s="11" t="s">
        <v>83</v>
      </c>
      <c r="L411" s="2" t="s">
        <v>27</v>
      </c>
      <c r="M411" s="2" t="str">
        <f t="shared" si="15"/>
        <v>On Leave</v>
      </c>
      <c r="N411" s="2" t="s">
        <v>107</v>
      </c>
      <c r="O411" s="2" t="str">
        <f t="shared" si="16"/>
        <v>All Clear</v>
      </c>
      <c r="P411" s="2" t="s">
        <v>1385</v>
      </c>
      <c r="Q411" s="2" t="str">
        <f t="shared" si="17"/>
        <v>NR</v>
      </c>
      <c r="R411" s="2" t="e">
        <f t="array" aca="1" ref="R411" ca="1">_xludf.IFS(Q411="ET", "East", Q411="WT", "West", Q411="ST","South", Q411="NR", "North")</f>
        <v>#NAME?</v>
      </c>
      <c r="S411" s="2" t="s">
        <v>21</v>
      </c>
      <c r="T411" s="2" t="str">
        <f t="shared" si="18"/>
        <v>Sao Paulo</v>
      </c>
      <c r="U411" s="12" t="s">
        <v>39</v>
      </c>
      <c r="V411" s="12">
        <f t="shared" si="19"/>
        <v>0.05</v>
      </c>
      <c r="W411" s="13">
        <f t="shared" si="20"/>
        <v>63322.350000000006</v>
      </c>
      <c r="X411" s="2" t="str">
        <f t="shared" si="21"/>
        <v>Normal</v>
      </c>
    </row>
    <row r="412" spans="1:24" ht="14.25" customHeight="1" x14ac:dyDescent="0.5">
      <c r="A412" s="2" t="s">
        <v>1386</v>
      </c>
      <c r="B412" s="2" t="s">
        <v>141</v>
      </c>
      <c r="C412" s="2" t="str">
        <f t="shared" si="11"/>
        <v>Mike Clark</v>
      </c>
      <c r="D412" s="2" t="s">
        <v>74</v>
      </c>
      <c r="E412" s="2" t="str">
        <f t="shared" si="12"/>
        <v>mike@company.com</v>
      </c>
      <c r="F412" s="2" t="s">
        <v>100</v>
      </c>
      <c r="G412" s="3">
        <v>44695</v>
      </c>
      <c r="H412" s="3" t="str">
        <f t="shared" si="13"/>
        <v>14-May-2022</v>
      </c>
      <c r="I412" s="10" t="s">
        <v>1387</v>
      </c>
      <c r="J412" s="10">
        <f t="shared" si="14"/>
        <v>59611</v>
      </c>
      <c r="K412" s="11" t="s">
        <v>83</v>
      </c>
      <c r="L412" s="2" t="s">
        <v>121</v>
      </c>
      <c r="M412" s="2" t="str">
        <f t="shared" si="15"/>
        <v>On Leave</v>
      </c>
      <c r="N412" s="2" t="s">
        <v>65</v>
      </c>
      <c r="O412" s="2" t="str">
        <f t="shared" si="16"/>
        <v>Follow Up</v>
      </c>
      <c r="P412" s="2" t="s">
        <v>1388</v>
      </c>
      <c r="Q412" s="2" t="str">
        <f t="shared" si="17"/>
        <v>ST</v>
      </c>
      <c r="R412" s="2" t="e">
        <f t="array" aca="1" ref="R412" ca="1">_xludf.IFS(Q412="ET", "East", Q412="WT", "West", Q412="ST","South", Q412="NR", "North")</f>
        <v>#NAME?</v>
      </c>
      <c r="S412" s="2" t="s">
        <v>53</v>
      </c>
      <c r="T412" s="2" t="str">
        <f t="shared" si="18"/>
        <v>Delhi</v>
      </c>
      <c r="U412" s="12" t="s">
        <v>85</v>
      </c>
      <c r="V412" s="12">
        <f t="shared" si="19"/>
        <v>0.15</v>
      </c>
      <c r="W412" s="13">
        <f t="shared" si="20"/>
        <v>68552.649999999994</v>
      </c>
      <c r="X412" s="2" t="str">
        <f t="shared" si="21"/>
        <v>Normal</v>
      </c>
    </row>
    <row r="413" spans="1:24" ht="14.25" customHeight="1" x14ac:dyDescent="0.5">
      <c r="A413" s="2" t="s">
        <v>1389</v>
      </c>
      <c r="B413" s="2" t="s">
        <v>580</v>
      </c>
      <c r="C413" s="2" t="str">
        <f t="shared" si="11"/>
        <v>Emily Miller</v>
      </c>
      <c r="D413" s="2" t="s">
        <v>14</v>
      </c>
      <c r="E413" s="2" t="str">
        <f t="shared" si="12"/>
        <v>john@company.com</v>
      </c>
      <c r="F413" s="2" t="s">
        <v>50</v>
      </c>
      <c r="G413" s="3">
        <v>44432</v>
      </c>
      <c r="H413" s="3" t="str">
        <f t="shared" si="13"/>
        <v>24-Aug-2021</v>
      </c>
      <c r="I413" s="10" t="s">
        <v>1390</v>
      </c>
      <c r="J413" s="10">
        <f t="shared" si="14"/>
        <v>83791</v>
      </c>
      <c r="K413" s="11" t="s">
        <v>36</v>
      </c>
      <c r="L413" s="2" t="s">
        <v>58</v>
      </c>
      <c r="M413" s="2" t="str">
        <f t="shared" si="15"/>
        <v>Terminated</v>
      </c>
      <c r="N413" s="2" t="s">
        <v>77</v>
      </c>
      <c r="O413" s="2" t="str">
        <f t="shared" si="16"/>
        <v>All Clear</v>
      </c>
      <c r="P413" s="2" t="s">
        <v>1391</v>
      </c>
      <c r="Q413" s="2" t="str">
        <f t="shared" si="17"/>
        <v>WT</v>
      </c>
      <c r="R413" s="2" t="e">
        <f t="array" aca="1" ref="R413" ca="1">_xludf.IFS(Q413="ET", "East", Q413="WT", "West", Q413="ST","South", Q413="NR", "North")</f>
        <v>#NAME?</v>
      </c>
      <c r="S413" s="2" t="s">
        <v>79</v>
      </c>
      <c r="T413" s="2" t="str">
        <f t="shared" si="18"/>
        <v>New York</v>
      </c>
      <c r="U413" s="12" t="s">
        <v>39</v>
      </c>
      <c r="V413" s="12">
        <f t="shared" si="19"/>
        <v>0.05</v>
      </c>
      <c r="W413" s="13">
        <f t="shared" si="20"/>
        <v>87980.55</v>
      </c>
      <c r="X413" s="2" t="str">
        <f t="shared" si="21"/>
        <v>Normal</v>
      </c>
    </row>
    <row r="414" spans="1:24" ht="14.25" customHeight="1" x14ac:dyDescent="0.5">
      <c r="A414" s="2" t="s">
        <v>1392</v>
      </c>
      <c r="B414" s="2" t="s">
        <v>685</v>
      </c>
      <c r="C414" s="2" t="str">
        <f t="shared" si="11"/>
        <v>Alex Lewis</v>
      </c>
      <c r="D414" s="2" t="s">
        <v>74</v>
      </c>
      <c r="E414" s="2" t="str">
        <f t="shared" si="12"/>
        <v>mike@company.com</v>
      </c>
      <c r="F414" s="2" t="s">
        <v>100</v>
      </c>
      <c r="G414" s="3">
        <v>44171</v>
      </c>
      <c r="H414" s="3" t="str">
        <f t="shared" si="13"/>
        <v>06-Dec-2020</v>
      </c>
      <c r="I414" s="10" t="s">
        <v>1393</v>
      </c>
      <c r="J414" s="10">
        <f t="shared" si="14"/>
        <v>51950</v>
      </c>
      <c r="K414" s="11" t="s">
        <v>57</v>
      </c>
      <c r="L414" s="2" t="s">
        <v>89</v>
      </c>
      <c r="M414" s="2" t="str">
        <f t="shared" si="15"/>
        <v>Active</v>
      </c>
      <c r="N414" s="2" t="s">
        <v>28</v>
      </c>
      <c r="O414" s="2" t="str">
        <f t="shared" si="16"/>
        <v>Pending Docs</v>
      </c>
      <c r="P414" s="2" t="s">
        <v>1394</v>
      </c>
      <c r="Q414" s="2" t="str">
        <f t="shared" si="17"/>
        <v>NR</v>
      </c>
      <c r="R414" s="2" t="e">
        <f t="array" aca="1" ref="R414" ca="1">_xludf.IFS(Q414="ET", "East", Q414="WT", "West", Q414="ST","South", Q414="NR", "North")</f>
        <v>#NAME?</v>
      </c>
      <c r="S414" s="2" t="s">
        <v>47</v>
      </c>
      <c r="T414" s="2" t="str">
        <f t="shared" si="18"/>
        <v>Lagos</v>
      </c>
      <c r="U414" s="12" t="s">
        <v>30</v>
      </c>
      <c r="V414" s="12">
        <f t="shared" si="19"/>
        <v>0.1</v>
      </c>
      <c r="W414" s="13">
        <f t="shared" si="20"/>
        <v>57145.000000000007</v>
      </c>
      <c r="X414" s="2" t="str">
        <f t="shared" si="21"/>
        <v>Normal</v>
      </c>
    </row>
    <row r="415" spans="1:24" ht="14.25" customHeight="1" x14ac:dyDescent="0.5">
      <c r="A415" s="2" t="s">
        <v>1395</v>
      </c>
      <c r="B415" s="2" t="s">
        <v>73</v>
      </c>
      <c r="C415" s="2" t="str">
        <f t="shared" si="11"/>
        <v>Jane Moore</v>
      </c>
      <c r="D415" s="2" t="s">
        <v>105</v>
      </c>
      <c r="E415" s="2" t="str">
        <f t="shared" si="12"/>
        <v>sam@company.com</v>
      </c>
      <c r="F415" s="2" t="s">
        <v>75</v>
      </c>
      <c r="G415" s="3">
        <v>44534</v>
      </c>
      <c r="H415" s="3" t="str">
        <f t="shared" si="13"/>
        <v>04-Dec-2021</v>
      </c>
      <c r="I415" s="10" t="s">
        <v>1396</v>
      </c>
      <c r="J415" s="10">
        <f t="shared" si="14"/>
        <v>116240</v>
      </c>
      <c r="K415" s="11" t="s">
        <v>83</v>
      </c>
      <c r="L415" s="2" t="s">
        <v>121</v>
      </c>
      <c r="M415" s="2" t="str">
        <f t="shared" si="15"/>
        <v>On Leave</v>
      </c>
      <c r="O415" s="2" t="str">
        <f t="shared" si="16"/>
        <v>No Notes</v>
      </c>
      <c r="P415" s="2" t="s">
        <v>1397</v>
      </c>
      <c r="Q415" s="2" t="str">
        <f t="shared" si="17"/>
        <v>NR</v>
      </c>
      <c r="R415" s="2" t="e">
        <f t="array" aca="1" ref="R415" ca="1">_xludf.IFS(Q415="ET", "East", Q415="WT", "West", Q415="ST","South", Q415="NR", "North")</f>
        <v>#NAME?</v>
      </c>
      <c r="S415" s="2" t="s">
        <v>38</v>
      </c>
      <c r="T415" s="2" t="str">
        <f t="shared" si="18"/>
        <v>London</v>
      </c>
      <c r="U415" s="12" t="s">
        <v>39</v>
      </c>
      <c r="V415" s="12">
        <f t="shared" si="19"/>
        <v>0.05</v>
      </c>
      <c r="W415" s="13">
        <f t="shared" si="20"/>
        <v>122052</v>
      </c>
      <c r="X415" s="2" t="str">
        <f t="shared" si="21"/>
        <v>High</v>
      </c>
    </row>
    <row r="416" spans="1:24" ht="14.25" customHeight="1" x14ac:dyDescent="0.5">
      <c r="A416" s="2" t="s">
        <v>1398</v>
      </c>
      <c r="B416" s="2" t="s">
        <v>68</v>
      </c>
      <c r="C416" s="2" t="str">
        <f t="shared" si="11"/>
        <v>Daniel Davis</v>
      </c>
      <c r="D416" s="2" t="s">
        <v>235</v>
      </c>
      <c r="E416" s="2" t="str">
        <f t="shared" si="12"/>
        <v>jane@company.com</v>
      </c>
      <c r="F416" s="2" t="s">
        <v>75</v>
      </c>
      <c r="G416" s="3">
        <v>44148</v>
      </c>
      <c r="H416" s="3" t="str">
        <f t="shared" si="13"/>
        <v>13-Nov-2020</v>
      </c>
      <c r="I416" s="10" t="s">
        <v>1399</v>
      </c>
      <c r="J416" s="10">
        <f t="shared" si="14"/>
        <v>117403</v>
      </c>
      <c r="K416" s="11" t="s">
        <v>83</v>
      </c>
      <c r="L416" s="2" t="s">
        <v>58</v>
      </c>
      <c r="M416" s="2" t="str">
        <f t="shared" si="15"/>
        <v>Terminated</v>
      </c>
      <c r="N416" s="2" t="s">
        <v>19</v>
      </c>
      <c r="O416" s="2" t="str">
        <f t="shared" si="16"/>
        <v>Urgent Review</v>
      </c>
      <c r="P416" s="2" t="s">
        <v>1400</v>
      </c>
      <c r="Q416" s="2" t="str">
        <f t="shared" si="17"/>
        <v>WT</v>
      </c>
      <c r="R416" s="2" t="e">
        <f t="array" aca="1" ref="R416" ca="1">_xludf.IFS(Q416="ET", "East", Q416="WT", "West", Q416="ST","South", Q416="NR", "North")</f>
        <v>#NAME?</v>
      </c>
      <c r="S416" s="2" t="s">
        <v>53</v>
      </c>
      <c r="T416" s="2" t="str">
        <f t="shared" si="18"/>
        <v>Delhi</v>
      </c>
      <c r="U416" s="12" t="s">
        <v>85</v>
      </c>
      <c r="V416" s="12">
        <f t="shared" si="19"/>
        <v>0.15</v>
      </c>
      <c r="W416" s="13">
        <f t="shared" si="20"/>
        <v>135013.44999999998</v>
      </c>
      <c r="X416" s="2" t="str">
        <f t="shared" si="21"/>
        <v>High</v>
      </c>
    </row>
    <row r="417" spans="1:24" ht="14.25" customHeight="1" x14ac:dyDescent="0.5">
      <c r="A417" s="2" t="s">
        <v>1401</v>
      </c>
      <c r="B417" s="2" t="s">
        <v>98</v>
      </c>
      <c r="C417" s="2" t="str">
        <f t="shared" si="11"/>
        <v>Katie Smith</v>
      </c>
      <c r="D417" s="2" t="s">
        <v>235</v>
      </c>
      <c r="E417" s="2" t="str">
        <f t="shared" si="12"/>
        <v>jane@company.com</v>
      </c>
      <c r="F417" s="2" t="s">
        <v>42</v>
      </c>
      <c r="G417" s="3">
        <v>44448</v>
      </c>
      <c r="H417" s="3" t="str">
        <f t="shared" si="13"/>
        <v>09-Sep-2021</v>
      </c>
      <c r="I417" s="10" t="s">
        <v>1402</v>
      </c>
      <c r="J417" s="10">
        <f t="shared" si="14"/>
        <v>42745</v>
      </c>
      <c r="K417" s="11" t="s">
        <v>57</v>
      </c>
      <c r="L417" s="2" t="s">
        <v>27</v>
      </c>
      <c r="M417" s="2" t="str">
        <f t="shared" si="15"/>
        <v>On Leave</v>
      </c>
      <c r="O417" s="2" t="str">
        <f t="shared" si="16"/>
        <v>No Notes</v>
      </c>
      <c r="P417" s="2" t="s">
        <v>1403</v>
      </c>
      <c r="Q417" s="2" t="str">
        <f t="shared" si="17"/>
        <v>NR</v>
      </c>
      <c r="R417" s="2" t="e">
        <f t="array" aca="1" ref="R417" ca="1">_xludf.IFS(Q417="ET", "East", Q417="WT", "West", Q417="ST","South", Q417="NR", "North")</f>
        <v>#NAME?</v>
      </c>
      <c r="S417" s="2" t="s">
        <v>60</v>
      </c>
      <c r="T417" s="2" t="str">
        <f t="shared" si="18"/>
        <v>Toronto</v>
      </c>
      <c r="U417" s="12" t="s">
        <v>22</v>
      </c>
      <c r="V417" s="12">
        <f t="shared" si="19"/>
        <v>0.2</v>
      </c>
      <c r="W417" s="13">
        <f t="shared" si="20"/>
        <v>51294</v>
      </c>
      <c r="X417" s="2" t="str">
        <f t="shared" si="21"/>
        <v>Normal</v>
      </c>
    </row>
    <row r="418" spans="1:24" ht="14.25" customHeight="1" x14ac:dyDescent="0.5">
      <c r="A418" s="2" t="s">
        <v>1404</v>
      </c>
      <c r="B418" s="2" t="s">
        <v>580</v>
      </c>
      <c r="C418" s="2" t="str">
        <f t="shared" si="11"/>
        <v>Emily Miller</v>
      </c>
      <c r="D418" s="2" t="s">
        <v>14</v>
      </c>
      <c r="E418" s="2" t="str">
        <f t="shared" si="12"/>
        <v>john@company.com</v>
      </c>
      <c r="F418" s="2" t="s">
        <v>75</v>
      </c>
      <c r="G418" s="3">
        <v>45217</v>
      </c>
      <c r="H418" s="3" t="str">
        <f t="shared" si="13"/>
        <v>18-Oct-2023</v>
      </c>
      <c r="I418" s="10" t="s">
        <v>1405</v>
      </c>
      <c r="J418" s="10">
        <f t="shared" si="14"/>
        <v>95243</v>
      </c>
      <c r="K418" s="11" t="s">
        <v>44</v>
      </c>
      <c r="L418" s="2" t="s">
        <v>89</v>
      </c>
      <c r="M418" s="2" t="str">
        <f t="shared" si="15"/>
        <v>Active</v>
      </c>
      <c r="N418" s="2" t="s">
        <v>28</v>
      </c>
      <c r="O418" s="2" t="str">
        <f t="shared" si="16"/>
        <v>Pending Docs</v>
      </c>
      <c r="P418" s="2" t="s">
        <v>1406</v>
      </c>
      <c r="Q418" s="2" t="str">
        <f t="shared" si="17"/>
        <v>ST</v>
      </c>
      <c r="R418" s="2" t="e">
        <f t="array" aca="1" ref="R418" ca="1">_xludf.IFS(Q418="ET", "East", Q418="WT", "West", Q418="ST","South", Q418="NR", "North")</f>
        <v>#NAME?</v>
      </c>
      <c r="S418" s="2" t="s">
        <v>79</v>
      </c>
      <c r="T418" s="2" t="str">
        <f t="shared" si="18"/>
        <v>New York</v>
      </c>
      <c r="U418" s="12" t="s">
        <v>22</v>
      </c>
      <c r="V418" s="12">
        <f t="shared" si="19"/>
        <v>0.2</v>
      </c>
      <c r="W418" s="13">
        <f t="shared" si="20"/>
        <v>114291.59999999999</v>
      </c>
      <c r="X418" s="2" t="str">
        <f t="shared" si="21"/>
        <v>High</v>
      </c>
    </row>
    <row r="419" spans="1:24" ht="14.25" customHeight="1" x14ac:dyDescent="0.5">
      <c r="A419" s="2" t="s">
        <v>1407</v>
      </c>
      <c r="B419" s="2" t="s">
        <v>580</v>
      </c>
      <c r="C419" s="2" t="str">
        <f t="shared" si="11"/>
        <v>Emily Miller</v>
      </c>
      <c r="D419" s="2" t="s">
        <v>25</v>
      </c>
      <c r="E419" s="2" t="str">
        <f t="shared" si="12"/>
        <v>chris@company.com</v>
      </c>
      <c r="F419" s="2" t="s">
        <v>15</v>
      </c>
      <c r="G419" s="3">
        <v>44212</v>
      </c>
      <c r="H419" s="3" t="str">
        <f t="shared" si="13"/>
        <v>16-Jan-2021</v>
      </c>
      <c r="I419" s="10" t="s">
        <v>1408</v>
      </c>
      <c r="J419" s="10">
        <f t="shared" si="14"/>
        <v>43866</v>
      </c>
      <c r="K419" s="11" t="s">
        <v>83</v>
      </c>
      <c r="L419" s="2" t="s">
        <v>27</v>
      </c>
      <c r="M419" s="2" t="str">
        <f t="shared" si="15"/>
        <v>On Leave</v>
      </c>
      <c r="N419" s="2" t="s">
        <v>107</v>
      </c>
      <c r="O419" s="2" t="str">
        <f t="shared" si="16"/>
        <v>All Clear</v>
      </c>
      <c r="P419" s="2" t="s">
        <v>1409</v>
      </c>
      <c r="Q419" s="2" t="str">
        <f t="shared" si="17"/>
        <v>ST</v>
      </c>
      <c r="R419" s="2" t="e">
        <f t="array" aca="1" ref="R419" ca="1">_xludf.IFS(Q419="ET", "East", Q419="WT", "West", Q419="ST","South", Q419="NR", "North")</f>
        <v>#NAME?</v>
      </c>
      <c r="S419" s="2" t="s">
        <v>60</v>
      </c>
      <c r="T419" s="2" t="str">
        <f t="shared" si="18"/>
        <v>Toronto</v>
      </c>
      <c r="U419" s="12" t="s">
        <v>22</v>
      </c>
      <c r="V419" s="12">
        <f t="shared" si="19"/>
        <v>0.2</v>
      </c>
      <c r="W419" s="13">
        <f t="shared" si="20"/>
        <v>52639.199999999997</v>
      </c>
      <c r="X419" s="2" t="str">
        <f t="shared" si="21"/>
        <v>Normal</v>
      </c>
    </row>
    <row r="420" spans="1:24" ht="14.25" customHeight="1" x14ac:dyDescent="0.5">
      <c r="A420" s="2" t="s">
        <v>1410</v>
      </c>
      <c r="B420" s="2" t="s">
        <v>405</v>
      </c>
      <c r="C420" s="2" t="str">
        <f t="shared" si="11"/>
        <v>Daniel Wilson</v>
      </c>
      <c r="D420" s="2" t="s">
        <v>105</v>
      </c>
      <c r="E420" s="2" t="str">
        <f t="shared" si="12"/>
        <v>sam@company.com</v>
      </c>
      <c r="F420" s="2" t="s">
        <v>100</v>
      </c>
      <c r="G420" s="3">
        <v>44063</v>
      </c>
      <c r="H420" s="3" t="str">
        <f t="shared" si="13"/>
        <v>20-Aug-2020</v>
      </c>
      <c r="I420" s="10" t="s">
        <v>1411</v>
      </c>
      <c r="J420" s="10">
        <f t="shared" si="14"/>
        <v>72245</v>
      </c>
      <c r="K420" s="11" t="s">
        <v>17</v>
      </c>
      <c r="L420" s="2" t="s">
        <v>121</v>
      </c>
      <c r="M420" s="2" t="str">
        <f t="shared" si="15"/>
        <v>On Leave</v>
      </c>
      <c r="N420" s="2" t="s">
        <v>19</v>
      </c>
      <c r="O420" s="2" t="str">
        <f t="shared" si="16"/>
        <v>Urgent Review</v>
      </c>
      <c r="P420" s="2" t="s">
        <v>1412</v>
      </c>
      <c r="Q420" s="2" t="str">
        <f t="shared" si="17"/>
        <v>ET</v>
      </c>
      <c r="R420" s="2" t="e">
        <f t="array" aca="1" ref="R420" ca="1">_xludf.IFS(Q420="ET", "East", Q420="WT", "West", Q420="ST","South", Q420="NR", "North")</f>
        <v>#NAME?</v>
      </c>
      <c r="S420" s="2" t="s">
        <v>53</v>
      </c>
      <c r="T420" s="2" t="str">
        <f t="shared" si="18"/>
        <v>Delhi</v>
      </c>
      <c r="U420" s="12" t="s">
        <v>39</v>
      </c>
      <c r="V420" s="12">
        <f t="shared" si="19"/>
        <v>0.05</v>
      </c>
      <c r="W420" s="13">
        <f t="shared" si="20"/>
        <v>75857.25</v>
      </c>
      <c r="X420" s="2" t="str">
        <f t="shared" si="21"/>
        <v>Normal</v>
      </c>
    </row>
    <row r="421" spans="1:24" ht="14.25" customHeight="1" x14ac:dyDescent="0.5">
      <c r="A421" s="2" t="s">
        <v>1413</v>
      </c>
      <c r="B421" s="2" t="s">
        <v>55</v>
      </c>
      <c r="C421" s="2" t="str">
        <f t="shared" si="11"/>
        <v>Alex Moore</v>
      </c>
      <c r="D421" s="2" t="s">
        <v>105</v>
      </c>
      <c r="E421" s="2" t="str">
        <f t="shared" si="12"/>
        <v>sam@company.com</v>
      </c>
      <c r="F421" s="2" t="s">
        <v>75</v>
      </c>
      <c r="G421" s="3">
        <v>45198</v>
      </c>
      <c r="H421" s="3" t="str">
        <f t="shared" si="13"/>
        <v>29-Sep-2023</v>
      </c>
      <c r="I421" s="10" t="s">
        <v>1414</v>
      </c>
      <c r="J421" s="10">
        <f t="shared" si="14"/>
        <v>84724</v>
      </c>
      <c r="K421" s="11" t="s">
        <v>57</v>
      </c>
      <c r="L421" s="2" t="s">
        <v>18</v>
      </c>
      <c r="M421" s="2" t="str">
        <f t="shared" si="15"/>
        <v>Active</v>
      </c>
      <c r="N421" s="2" t="s">
        <v>19</v>
      </c>
      <c r="O421" s="2" t="str">
        <f t="shared" si="16"/>
        <v>Urgent Review</v>
      </c>
      <c r="P421" s="2" t="s">
        <v>1415</v>
      </c>
      <c r="Q421" s="2" t="str">
        <f t="shared" si="17"/>
        <v>NR</v>
      </c>
      <c r="R421" s="2" t="e">
        <f t="array" aca="1" ref="R421" ca="1">_xludf.IFS(Q421="ET", "East", Q421="WT", "West", Q421="ST","South", Q421="NR", "North")</f>
        <v>#NAME?</v>
      </c>
      <c r="S421" s="2" t="s">
        <v>60</v>
      </c>
      <c r="T421" s="2" t="str">
        <f t="shared" si="18"/>
        <v>Toronto</v>
      </c>
      <c r="U421" s="12" t="s">
        <v>30</v>
      </c>
      <c r="V421" s="12">
        <f t="shared" si="19"/>
        <v>0.1</v>
      </c>
      <c r="W421" s="13">
        <f t="shared" si="20"/>
        <v>93196.400000000009</v>
      </c>
      <c r="X421" s="2" t="str">
        <f t="shared" si="21"/>
        <v>Normal</v>
      </c>
    </row>
    <row r="422" spans="1:24" ht="14.25" customHeight="1" x14ac:dyDescent="0.5">
      <c r="A422" s="2" t="s">
        <v>1416</v>
      </c>
      <c r="B422" s="2" t="s">
        <v>191</v>
      </c>
      <c r="C422" s="2" t="str">
        <f t="shared" si="11"/>
        <v>Sarah Clark</v>
      </c>
      <c r="D422" s="2" t="s">
        <v>99</v>
      </c>
      <c r="E422" s="2" t="str">
        <f t="shared" si="12"/>
        <v>daniel@company.com</v>
      </c>
      <c r="F422" s="2" t="s">
        <v>50</v>
      </c>
      <c r="G422" s="3">
        <v>44647</v>
      </c>
      <c r="H422" s="3" t="str">
        <f t="shared" si="13"/>
        <v>27-Mar-2022</v>
      </c>
      <c r="I422" s="10" t="s">
        <v>1417</v>
      </c>
      <c r="J422" s="10">
        <f t="shared" si="14"/>
        <v>111354</v>
      </c>
      <c r="K422" s="11" t="s">
        <v>83</v>
      </c>
      <c r="L422" s="2" t="s">
        <v>58</v>
      </c>
      <c r="M422" s="2" t="str">
        <f t="shared" si="15"/>
        <v>Terminated</v>
      </c>
      <c r="N422" s="2" t="s">
        <v>107</v>
      </c>
      <c r="O422" s="2" t="str">
        <f t="shared" si="16"/>
        <v>All Clear</v>
      </c>
      <c r="P422" s="2" t="s">
        <v>1418</v>
      </c>
      <c r="Q422" s="2" t="str">
        <f t="shared" si="17"/>
        <v>ET</v>
      </c>
      <c r="R422" s="2" t="e">
        <f t="array" aca="1" ref="R422" ca="1">_xludf.IFS(Q422="ET", "East", Q422="WT", "West", Q422="ST","South", Q422="NR", "North")</f>
        <v>#NAME?</v>
      </c>
      <c r="S422" s="2" t="s">
        <v>53</v>
      </c>
      <c r="T422" s="2" t="str">
        <f t="shared" si="18"/>
        <v>Delhi</v>
      </c>
      <c r="U422" s="12" t="s">
        <v>39</v>
      </c>
      <c r="V422" s="12">
        <f t="shared" si="19"/>
        <v>0.05</v>
      </c>
      <c r="W422" s="13">
        <f t="shared" si="20"/>
        <v>116921.70000000001</v>
      </c>
      <c r="X422" s="2" t="str">
        <f t="shared" si="21"/>
        <v>High</v>
      </c>
    </row>
    <row r="423" spans="1:24" ht="14.25" customHeight="1" x14ac:dyDescent="0.5">
      <c r="A423" s="2" t="s">
        <v>1419</v>
      </c>
      <c r="B423" s="2" t="s">
        <v>1007</v>
      </c>
      <c r="C423" s="2" t="str">
        <f t="shared" si="11"/>
        <v>Sarah Brown</v>
      </c>
      <c r="D423" s="2" t="s">
        <v>25</v>
      </c>
      <c r="E423" s="2" t="str">
        <f t="shared" si="12"/>
        <v>chris@company.com</v>
      </c>
      <c r="F423" s="2" t="s">
        <v>34</v>
      </c>
      <c r="G423" s="3">
        <v>44383</v>
      </c>
      <c r="H423" s="3" t="str">
        <f t="shared" si="13"/>
        <v>06-Jul-2021</v>
      </c>
      <c r="I423" s="10" t="s">
        <v>1420</v>
      </c>
      <c r="J423" s="10">
        <f t="shared" si="14"/>
        <v>91374</v>
      </c>
      <c r="K423" s="11" t="s">
        <v>36</v>
      </c>
      <c r="L423" s="2" t="s">
        <v>64</v>
      </c>
      <c r="M423" s="2" t="str">
        <f t="shared" si="15"/>
        <v>Terminated</v>
      </c>
      <c r="O423" s="2" t="str">
        <f t="shared" si="16"/>
        <v>No Notes</v>
      </c>
      <c r="P423" s="2" t="s">
        <v>1421</v>
      </c>
      <c r="Q423" s="2" t="str">
        <f t="shared" si="17"/>
        <v>NR</v>
      </c>
      <c r="R423" s="2" t="e">
        <f t="array" aca="1" ref="R423" ca="1">_xludf.IFS(Q423="ET", "East", Q423="WT", "West", Q423="ST","South", Q423="NR", "North")</f>
        <v>#NAME?</v>
      </c>
      <c r="S423" s="2" t="s">
        <v>38</v>
      </c>
      <c r="T423" s="2" t="str">
        <f t="shared" si="18"/>
        <v>London</v>
      </c>
      <c r="U423" s="12" t="s">
        <v>22</v>
      </c>
      <c r="V423" s="12">
        <f t="shared" si="19"/>
        <v>0.2</v>
      </c>
      <c r="W423" s="13">
        <f t="shared" si="20"/>
        <v>109648.8</v>
      </c>
      <c r="X423" s="2" t="str">
        <f t="shared" si="21"/>
        <v>High</v>
      </c>
    </row>
    <row r="424" spans="1:24" ht="14.25" customHeight="1" x14ac:dyDescent="0.5">
      <c r="A424" s="2" t="s">
        <v>1422</v>
      </c>
      <c r="B424" s="2" t="s">
        <v>260</v>
      </c>
      <c r="C424" s="2" t="str">
        <f t="shared" si="11"/>
        <v>Sam Moore</v>
      </c>
      <c r="D424" s="2" t="s">
        <v>93</v>
      </c>
      <c r="E424" s="2" t="str">
        <f t="shared" si="12"/>
        <v>k@ie@company.com</v>
      </c>
      <c r="F424" s="2" t="s">
        <v>34</v>
      </c>
      <c r="G424" s="3">
        <v>44686</v>
      </c>
      <c r="H424" s="3" t="str">
        <f t="shared" si="13"/>
        <v>05-May-2022</v>
      </c>
      <c r="I424" s="10" t="s">
        <v>1423</v>
      </c>
      <c r="J424" s="10">
        <f t="shared" si="14"/>
        <v>70116</v>
      </c>
      <c r="K424" s="11" t="s">
        <v>17</v>
      </c>
      <c r="L424" s="2" t="s">
        <v>58</v>
      </c>
      <c r="M424" s="2" t="str">
        <f t="shared" si="15"/>
        <v>Terminated</v>
      </c>
      <c r="N424" s="2" t="s">
        <v>65</v>
      </c>
      <c r="O424" s="2" t="str">
        <f t="shared" si="16"/>
        <v>Follow Up</v>
      </c>
      <c r="P424" s="2" t="s">
        <v>1424</v>
      </c>
      <c r="Q424" s="2" t="str">
        <f t="shared" si="17"/>
        <v>ST</v>
      </c>
      <c r="R424" s="2" t="e">
        <f t="array" aca="1" ref="R424" ca="1">_xludf.IFS(Q424="ET", "East", Q424="WT", "West", Q424="ST","South", Q424="NR", "North")</f>
        <v>#NAME?</v>
      </c>
      <c r="S424" s="2" t="s">
        <v>47</v>
      </c>
      <c r="T424" s="2" t="str">
        <f t="shared" si="18"/>
        <v>Lagos</v>
      </c>
      <c r="U424" s="12" t="s">
        <v>85</v>
      </c>
      <c r="V424" s="12">
        <f t="shared" si="19"/>
        <v>0.15</v>
      </c>
      <c r="W424" s="13">
        <f t="shared" si="20"/>
        <v>80633.399999999994</v>
      </c>
      <c r="X424" s="2" t="str">
        <f t="shared" si="21"/>
        <v>Normal</v>
      </c>
    </row>
    <row r="425" spans="1:24" ht="14.25" customHeight="1" x14ac:dyDescent="0.5">
      <c r="A425" s="2" t="s">
        <v>1425</v>
      </c>
      <c r="B425" s="2" t="s">
        <v>418</v>
      </c>
      <c r="C425" s="2" t="str">
        <f t="shared" si="11"/>
        <v>Emily Taylor</v>
      </c>
      <c r="D425" s="2" t="s">
        <v>93</v>
      </c>
      <c r="E425" s="2" t="str">
        <f t="shared" si="12"/>
        <v>k@ie@company.com</v>
      </c>
      <c r="F425" s="2" t="s">
        <v>42</v>
      </c>
      <c r="G425" s="3">
        <v>44649</v>
      </c>
      <c r="H425" s="3" t="str">
        <f t="shared" si="13"/>
        <v>29-Mar-2022</v>
      </c>
      <c r="I425" s="10" t="s">
        <v>1426</v>
      </c>
      <c r="J425" s="10">
        <f t="shared" si="14"/>
        <v>60447</v>
      </c>
      <c r="K425" s="11" t="s">
        <v>83</v>
      </c>
      <c r="L425" s="2" t="s">
        <v>45</v>
      </c>
      <c r="M425" s="2" t="str">
        <f t="shared" si="15"/>
        <v>Active</v>
      </c>
      <c r="O425" s="2" t="str">
        <f t="shared" si="16"/>
        <v>No Notes</v>
      </c>
      <c r="P425" s="2" t="s">
        <v>1427</v>
      </c>
      <c r="Q425" s="2" t="str">
        <f t="shared" si="17"/>
        <v>ST</v>
      </c>
      <c r="R425" s="2" t="e">
        <f t="array" aca="1" ref="R425" ca="1">_xludf.IFS(Q425="ET", "East", Q425="WT", "West", Q425="ST","South", Q425="NR", "North")</f>
        <v>#NAME?</v>
      </c>
      <c r="S425" s="2" t="s">
        <v>38</v>
      </c>
      <c r="T425" s="2" t="str">
        <f t="shared" si="18"/>
        <v>London</v>
      </c>
      <c r="U425" s="12" t="s">
        <v>22</v>
      </c>
      <c r="V425" s="12">
        <f t="shared" si="19"/>
        <v>0.2</v>
      </c>
      <c r="W425" s="13">
        <f t="shared" si="20"/>
        <v>72536.399999999994</v>
      </c>
      <c r="X425" s="2" t="str">
        <f t="shared" si="21"/>
        <v>Normal</v>
      </c>
    </row>
    <row r="426" spans="1:24" ht="14.25" customHeight="1" x14ac:dyDescent="0.5">
      <c r="A426" s="2" t="s">
        <v>1428</v>
      </c>
      <c r="B426" s="2" t="s">
        <v>1429</v>
      </c>
      <c r="C426" s="2" t="str">
        <f t="shared" si="11"/>
        <v>Chris Miller</v>
      </c>
      <c r="D426" s="2" t="s">
        <v>33</v>
      </c>
      <c r="E426" s="2" t="str">
        <f t="shared" si="12"/>
        <v>alex@company.com</v>
      </c>
      <c r="F426" s="2" t="s">
        <v>34</v>
      </c>
      <c r="G426" s="3">
        <v>44013</v>
      </c>
      <c r="H426" s="3" t="str">
        <f t="shared" si="13"/>
        <v>01-Jul-2020</v>
      </c>
      <c r="I426" s="10" t="s">
        <v>1430</v>
      </c>
      <c r="J426" s="10">
        <f t="shared" si="14"/>
        <v>70431</v>
      </c>
      <c r="K426" s="11" t="s">
        <v>17</v>
      </c>
      <c r="L426" s="2" t="s">
        <v>112</v>
      </c>
      <c r="M426" s="2" t="str">
        <f t="shared" si="15"/>
        <v>On Leave</v>
      </c>
      <c r="N426" s="2" t="s">
        <v>28</v>
      </c>
      <c r="O426" s="2" t="str">
        <f t="shared" si="16"/>
        <v>Pending Docs</v>
      </c>
      <c r="P426" s="2" t="s">
        <v>1431</v>
      </c>
      <c r="Q426" s="2" t="str">
        <f t="shared" si="17"/>
        <v>ST</v>
      </c>
      <c r="R426" s="2" t="e">
        <f t="array" aca="1" ref="R426" ca="1">_xludf.IFS(Q426="ET", "East", Q426="WT", "West", Q426="ST","South", Q426="NR", "North")</f>
        <v>#NAME?</v>
      </c>
      <c r="S426" s="2" t="s">
        <v>96</v>
      </c>
      <c r="T426" s="2" t="str">
        <f t="shared" si="18"/>
        <v>Cairo</v>
      </c>
      <c r="U426" s="12" t="s">
        <v>85</v>
      </c>
      <c r="V426" s="12">
        <f t="shared" si="19"/>
        <v>0.15</v>
      </c>
      <c r="W426" s="13">
        <f t="shared" si="20"/>
        <v>80995.649999999994</v>
      </c>
      <c r="X426" s="2" t="str">
        <f t="shared" si="21"/>
        <v>Normal</v>
      </c>
    </row>
    <row r="427" spans="1:24" ht="14.25" customHeight="1" x14ac:dyDescent="0.5">
      <c r="A427" s="2" t="s">
        <v>1432</v>
      </c>
      <c r="B427" s="2" t="s">
        <v>133</v>
      </c>
      <c r="C427" s="2" t="str">
        <f t="shared" si="11"/>
        <v>Jane Taylor</v>
      </c>
      <c r="D427" s="2" t="s">
        <v>49</v>
      </c>
      <c r="E427" s="2" t="str">
        <f t="shared" si="12"/>
        <v>emily@company.com</v>
      </c>
      <c r="F427" s="2" t="s">
        <v>100</v>
      </c>
      <c r="G427" s="3">
        <v>44895</v>
      </c>
      <c r="H427" s="3" t="str">
        <f t="shared" si="13"/>
        <v>30-Nov-2022</v>
      </c>
      <c r="I427" s="10" t="s">
        <v>1433</v>
      </c>
      <c r="J427" s="10">
        <f t="shared" si="14"/>
        <v>57908</v>
      </c>
      <c r="K427" s="11" t="s">
        <v>17</v>
      </c>
      <c r="L427" s="2" t="s">
        <v>112</v>
      </c>
      <c r="M427" s="2" t="str">
        <f t="shared" si="15"/>
        <v>On Leave</v>
      </c>
      <c r="N427" s="2" t="s">
        <v>77</v>
      </c>
      <c r="O427" s="2" t="str">
        <f t="shared" si="16"/>
        <v>All Clear</v>
      </c>
      <c r="P427" s="2" t="s">
        <v>1434</v>
      </c>
      <c r="Q427" s="2" t="str">
        <f t="shared" si="17"/>
        <v>NR</v>
      </c>
      <c r="R427" s="2" t="e">
        <f t="array" aca="1" ref="R427" ca="1">_xludf.IFS(Q427="ET", "East", Q427="WT", "West", Q427="ST","South", Q427="NR", "North")</f>
        <v>#NAME?</v>
      </c>
      <c r="S427" s="2" t="s">
        <v>79</v>
      </c>
      <c r="T427" s="2" t="str">
        <f t="shared" si="18"/>
        <v>New York</v>
      </c>
      <c r="U427" s="12" t="s">
        <v>30</v>
      </c>
      <c r="V427" s="12">
        <f t="shared" si="19"/>
        <v>0.1</v>
      </c>
      <c r="W427" s="13">
        <f t="shared" si="20"/>
        <v>63698.8</v>
      </c>
      <c r="X427" s="2" t="str">
        <f t="shared" si="21"/>
        <v>Normal</v>
      </c>
    </row>
    <row r="428" spans="1:24" ht="14.25" customHeight="1" x14ac:dyDescent="0.5">
      <c r="A428" s="2" t="s">
        <v>1435</v>
      </c>
      <c r="B428" s="2" t="s">
        <v>177</v>
      </c>
      <c r="C428" s="2" t="str">
        <f t="shared" si="11"/>
        <v>Alex Miller</v>
      </c>
      <c r="D428" s="2" t="s">
        <v>235</v>
      </c>
      <c r="E428" s="2" t="str">
        <f t="shared" si="12"/>
        <v>jane@company.com</v>
      </c>
      <c r="F428" s="2" t="s">
        <v>42</v>
      </c>
      <c r="G428" s="3">
        <v>44227</v>
      </c>
      <c r="H428" s="3" t="str">
        <f t="shared" si="13"/>
        <v>31-Jan-2021</v>
      </c>
      <c r="I428" s="10" t="s">
        <v>1436</v>
      </c>
      <c r="J428" s="10">
        <f t="shared" si="14"/>
        <v>69336</v>
      </c>
      <c r="K428" s="11" t="s">
        <v>44</v>
      </c>
      <c r="L428" s="2" t="s">
        <v>45</v>
      </c>
      <c r="M428" s="2" t="str">
        <f t="shared" si="15"/>
        <v>Active</v>
      </c>
      <c r="N428" s="2" t="s">
        <v>65</v>
      </c>
      <c r="O428" s="2" t="str">
        <f t="shared" si="16"/>
        <v>Follow Up</v>
      </c>
      <c r="P428" s="2" t="s">
        <v>1437</v>
      </c>
      <c r="Q428" s="2" t="str">
        <f t="shared" si="17"/>
        <v>ST</v>
      </c>
      <c r="R428" s="2" t="e">
        <f t="array" aca="1" ref="R428" ca="1">_xludf.IFS(Q428="ET", "East", Q428="WT", "West", Q428="ST","South", Q428="NR", "North")</f>
        <v>#NAME?</v>
      </c>
      <c r="S428" s="2" t="s">
        <v>60</v>
      </c>
      <c r="T428" s="2" t="str">
        <f t="shared" si="18"/>
        <v>Toronto</v>
      </c>
      <c r="U428" s="12" t="s">
        <v>85</v>
      </c>
      <c r="V428" s="12">
        <f t="shared" si="19"/>
        <v>0.15</v>
      </c>
      <c r="W428" s="13">
        <f t="shared" si="20"/>
        <v>79736.399999999994</v>
      </c>
      <c r="X428" s="2" t="str">
        <f t="shared" si="21"/>
        <v>Normal</v>
      </c>
    </row>
    <row r="429" spans="1:24" ht="14.25" customHeight="1" x14ac:dyDescent="0.5">
      <c r="A429" s="2" t="s">
        <v>1438</v>
      </c>
      <c r="B429" s="2" t="s">
        <v>425</v>
      </c>
      <c r="C429" s="2" t="str">
        <f t="shared" si="11"/>
        <v>Daniel Smith</v>
      </c>
      <c r="D429" s="2" t="s">
        <v>93</v>
      </c>
      <c r="E429" s="2" t="str">
        <f t="shared" si="12"/>
        <v>k@ie@company.com</v>
      </c>
      <c r="F429" s="2" t="s">
        <v>100</v>
      </c>
      <c r="G429" s="3">
        <v>44609</v>
      </c>
      <c r="H429" s="3" t="str">
        <f t="shared" si="13"/>
        <v>17-Feb-2022</v>
      </c>
      <c r="I429" s="10" t="s">
        <v>1439</v>
      </c>
      <c r="J429" s="10">
        <f t="shared" si="14"/>
        <v>80992</v>
      </c>
      <c r="K429" s="11" t="s">
        <v>17</v>
      </c>
      <c r="L429" s="2" t="s">
        <v>89</v>
      </c>
      <c r="M429" s="2" t="str">
        <f t="shared" si="15"/>
        <v>Active</v>
      </c>
      <c r="O429" s="2" t="str">
        <f t="shared" si="16"/>
        <v>No Notes</v>
      </c>
      <c r="P429" s="2" t="s">
        <v>1440</v>
      </c>
      <c r="Q429" s="2" t="str">
        <f t="shared" si="17"/>
        <v>NR</v>
      </c>
      <c r="R429" s="2" t="e">
        <f t="array" aca="1" ref="R429" ca="1">_xludf.IFS(Q429="ET", "East", Q429="WT", "West", Q429="ST","South", Q429="NR", "North")</f>
        <v>#NAME?</v>
      </c>
      <c r="S429" s="2" t="s">
        <v>38</v>
      </c>
      <c r="T429" s="2" t="str">
        <f t="shared" si="18"/>
        <v>London</v>
      </c>
      <c r="U429" s="12" t="s">
        <v>39</v>
      </c>
      <c r="V429" s="12">
        <f t="shared" si="19"/>
        <v>0.05</v>
      </c>
      <c r="W429" s="13">
        <f t="shared" si="20"/>
        <v>85041.600000000006</v>
      </c>
      <c r="X429" s="2" t="str">
        <f t="shared" si="21"/>
        <v>Normal</v>
      </c>
    </row>
    <row r="430" spans="1:24" ht="14.25" customHeight="1" x14ac:dyDescent="0.5">
      <c r="A430" s="2" t="s">
        <v>1441</v>
      </c>
      <c r="B430" s="2" t="s">
        <v>1429</v>
      </c>
      <c r="C430" s="2" t="str">
        <f t="shared" si="11"/>
        <v>Chris Miller</v>
      </c>
      <c r="D430" s="2" t="s">
        <v>25</v>
      </c>
      <c r="E430" s="2" t="str">
        <f t="shared" si="12"/>
        <v>chris@company.com</v>
      </c>
      <c r="F430" s="2" t="s">
        <v>50</v>
      </c>
      <c r="G430" s="3">
        <v>44737</v>
      </c>
      <c r="H430" s="3" t="str">
        <f t="shared" si="13"/>
        <v>25-Jun-2022</v>
      </c>
      <c r="I430" s="10" t="s">
        <v>1442</v>
      </c>
      <c r="J430" s="10">
        <f t="shared" si="14"/>
        <v>95350</v>
      </c>
      <c r="K430" s="11" t="s">
        <v>44</v>
      </c>
      <c r="L430" s="2" t="s">
        <v>112</v>
      </c>
      <c r="M430" s="2" t="str">
        <f t="shared" si="15"/>
        <v>On Leave</v>
      </c>
      <c r="N430" s="2" t="s">
        <v>77</v>
      </c>
      <c r="O430" s="2" t="str">
        <f t="shared" si="16"/>
        <v>All Clear</v>
      </c>
      <c r="P430" s="2" t="s">
        <v>1443</v>
      </c>
      <c r="Q430" s="2" t="str">
        <f t="shared" si="17"/>
        <v>ET</v>
      </c>
      <c r="R430" s="2" t="e">
        <f t="array" aca="1" ref="R430" ca="1">_xludf.IFS(Q430="ET", "East", Q430="WT", "West", Q430="ST","South", Q430="NR", "North")</f>
        <v>#NAME?</v>
      </c>
      <c r="S430" s="2" t="s">
        <v>53</v>
      </c>
      <c r="T430" s="2" t="str">
        <f t="shared" si="18"/>
        <v>Delhi</v>
      </c>
      <c r="U430" s="12" t="s">
        <v>39</v>
      </c>
      <c r="V430" s="12">
        <f t="shared" si="19"/>
        <v>0.05</v>
      </c>
      <c r="W430" s="13">
        <f t="shared" si="20"/>
        <v>100117.5</v>
      </c>
      <c r="X430" s="2" t="str">
        <f t="shared" si="21"/>
        <v>High</v>
      </c>
    </row>
    <row r="431" spans="1:24" ht="14.25" customHeight="1" x14ac:dyDescent="0.5">
      <c r="A431" s="2" t="s">
        <v>1444</v>
      </c>
      <c r="B431" s="2" t="s">
        <v>584</v>
      </c>
      <c r="C431" s="2" t="str">
        <f t="shared" si="11"/>
        <v>Sam Clark</v>
      </c>
      <c r="D431" s="2" t="s">
        <v>105</v>
      </c>
      <c r="E431" s="2" t="str">
        <f t="shared" si="12"/>
        <v>sam@company.com</v>
      </c>
      <c r="F431" s="2" t="s">
        <v>42</v>
      </c>
      <c r="G431" s="3">
        <v>45187</v>
      </c>
      <c r="H431" s="3" t="str">
        <f t="shared" si="13"/>
        <v>18-Sep-2023</v>
      </c>
      <c r="I431" s="10" t="s">
        <v>1445</v>
      </c>
      <c r="J431" s="10">
        <f t="shared" si="14"/>
        <v>109561</v>
      </c>
      <c r="K431" s="11" t="s">
        <v>57</v>
      </c>
      <c r="L431" s="2" t="s">
        <v>27</v>
      </c>
      <c r="M431" s="2" t="str">
        <f t="shared" si="15"/>
        <v>On Leave</v>
      </c>
      <c r="N431" s="2" t="s">
        <v>77</v>
      </c>
      <c r="O431" s="2" t="str">
        <f t="shared" si="16"/>
        <v>All Clear</v>
      </c>
      <c r="P431" s="2" t="s">
        <v>1446</v>
      </c>
      <c r="Q431" s="2" t="str">
        <f t="shared" si="17"/>
        <v>NR</v>
      </c>
      <c r="R431" s="2" t="e">
        <f t="array" aca="1" ref="R431" ca="1">_xludf.IFS(Q431="ET", "East", Q431="WT", "West", Q431="ST","South", Q431="NR", "North")</f>
        <v>#NAME?</v>
      </c>
      <c r="S431" s="2" t="s">
        <v>38</v>
      </c>
      <c r="T431" s="2" t="str">
        <f t="shared" si="18"/>
        <v>London</v>
      </c>
      <c r="U431" s="12" t="s">
        <v>39</v>
      </c>
      <c r="V431" s="12">
        <f t="shared" si="19"/>
        <v>0.05</v>
      </c>
      <c r="W431" s="13">
        <f t="shared" si="20"/>
        <v>115039.05</v>
      </c>
      <c r="X431" s="2" t="str">
        <f t="shared" si="21"/>
        <v>High</v>
      </c>
    </row>
    <row r="432" spans="1:24" ht="14.25" customHeight="1" x14ac:dyDescent="0.5">
      <c r="A432" s="2" t="s">
        <v>1447</v>
      </c>
      <c r="B432" s="2" t="s">
        <v>73</v>
      </c>
      <c r="C432" s="2" t="str">
        <f t="shared" si="11"/>
        <v>Jane Moore</v>
      </c>
      <c r="D432" s="2" t="s">
        <v>93</v>
      </c>
      <c r="E432" s="2" t="str">
        <f t="shared" si="12"/>
        <v>k@ie@company.com</v>
      </c>
      <c r="F432" s="2" t="s">
        <v>69</v>
      </c>
      <c r="G432" s="3">
        <v>43957</v>
      </c>
      <c r="H432" s="3" t="str">
        <f t="shared" si="13"/>
        <v>06-May-2020</v>
      </c>
      <c r="I432" s="10" t="s">
        <v>1448</v>
      </c>
      <c r="J432" s="10">
        <f t="shared" si="14"/>
        <v>91955</v>
      </c>
      <c r="K432" s="11" t="s">
        <v>44</v>
      </c>
      <c r="L432" s="2" t="s">
        <v>121</v>
      </c>
      <c r="M432" s="2" t="str">
        <f t="shared" si="15"/>
        <v>On Leave</v>
      </c>
      <c r="N432" s="2" t="s">
        <v>107</v>
      </c>
      <c r="O432" s="2" t="str">
        <f t="shared" si="16"/>
        <v>All Clear</v>
      </c>
      <c r="P432" s="2" t="s">
        <v>1449</v>
      </c>
      <c r="Q432" s="2" t="str">
        <f t="shared" si="17"/>
        <v>ET</v>
      </c>
      <c r="R432" s="2" t="e">
        <f t="array" aca="1" ref="R432" ca="1">_xludf.IFS(Q432="ET", "East", Q432="WT", "West", Q432="ST","South", Q432="NR", "North")</f>
        <v>#NAME?</v>
      </c>
      <c r="S432" s="2" t="s">
        <v>38</v>
      </c>
      <c r="T432" s="2" t="str">
        <f t="shared" si="18"/>
        <v>London</v>
      </c>
      <c r="U432" s="12" t="s">
        <v>85</v>
      </c>
      <c r="V432" s="12">
        <f t="shared" si="19"/>
        <v>0.15</v>
      </c>
      <c r="W432" s="13">
        <f t="shared" si="20"/>
        <v>105748.24999999999</v>
      </c>
      <c r="X432" s="2" t="str">
        <f t="shared" si="21"/>
        <v>High</v>
      </c>
    </row>
    <row r="433" spans="1:24" ht="14.25" customHeight="1" x14ac:dyDescent="0.5">
      <c r="A433" s="2" t="s">
        <v>1450</v>
      </c>
      <c r="B433" s="2" t="s">
        <v>104</v>
      </c>
      <c r="C433" s="2" t="str">
        <f t="shared" si="11"/>
        <v>Mike Brown</v>
      </c>
      <c r="D433" s="2" t="s">
        <v>105</v>
      </c>
      <c r="E433" s="2" t="str">
        <f t="shared" si="12"/>
        <v>sam@company.com</v>
      </c>
      <c r="F433" s="2" t="s">
        <v>15</v>
      </c>
      <c r="G433" s="3">
        <v>43831</v>
      </c>
      <c r="H433" s="3" t="str">
        <f t="shared" si="13"/>
        <v>01-Jan-2020</v>
      </c>
      <c r="I433" s="10" t="s">
        <v>1451</v>
      </c>
      <c r="J433" s="10">
        <f t="shared" si="14"/>
        <v>101240</v>
      </c>
      <c r="K433" s="11" t="s">
        <v>36</v>
      </c>
      <c r="L433" s="2" t="s">
        <v>121</v>
      </c>
      <c r="M433" s="2" t="str">
        <f t="shared" si="15"/>
        <v>On Leave</v>
      </c>
      <c r="N433" s="2" t="s">
        <v>28</v>
      </c>
      <c r="O433" s="2" t="str">
        <f t="shared" si="16"/>
        <v>Pending Docs</v>
      </c>
      <c r="P433" s="2" t="s">
        <v>1452</v>
      </c>
      <c r="Q433" s="2" t="str">
        <f t="shared" si="17"/>
        <v>NR</v>
      </c>
      <c r="R433" s="2" t="e">
        <f t="array" aca="1" ref="R433" ca="1">_xludf.IFS(Q433="ET", "East", Q433="WT", "West", Q433="ST","South", Q433="NR", "North")</f>
        <v>#NAME?</v>
      </c>
      <c r="S433" s="2" t="s">
        <v>79</v>
      </c>
      <c r="T433" s="2" t="str">
        <f t="shared" si="18"/>
        <v>New York</v>
      </c>
      <c r="U433" s="12" t="s">
        <v>39</v>
      </c>
      <c r="V433" s="12">
        <f t="shared" si="19"/>
        <v>0.05</v>
      </c>
      <c r="W433" s="13">
        <f t="shared" si="20"/>
        <v>106302</v>
      </c>
      <c r="X433" s="2" t="str">
        <f t="shared" si="21"/>
        <v>High</v>
      </c>
    </row>
    <row r="434" spans="1:24" ht="14.25" customHeight="1" x14ac:dyDescent="0.5">
      <c r="A434" s="2" t="s">
        <v>1453</v>
      </c>
      <c r="B434" s="2" t="s">
        <v>580</v>
      </c>
      <c r="C434" s="2" t="str">
        <f t="shared" si="11"/>
        <v>Emily Miller</v>
      </c>
      <c r="D434" s="2" t="s">
        <v>93</v>
      </c>
      <c r="E434" s="2" t="str">
        <f t="shared" si="12"/>
        <v>k@ie@company.com</v>
      </c>
      <c r="F434" s="2" t="s">
        <v>15</v>
      </c>
      <c r="G434" s="3">
        <v>45022</v>
      </c>
      <c r="H434" s="3" t="str">
        <f t="shared" si="13"/>
        <v>06-Apr-2023</v>
      </c>
      <c r="I434" s="10" t="s">
        <v>1454</v>
      </c>
      <c r="J434" s="10">
        <f t="shared" si="14"/>
        <v>60093</v>
      </c>
      <c r="K434" s="11" t="s">
        <v>83</v>
      </c>
      <c r="L434" s="2" t="s">
        <v>112</v>
      </c>
      <c r="M434" s="2" t="str">
        <f t="shared" si="15"/>
        <v>On Leave</v>
      </c>
      <c r="N434" s="2" t="s">
        <v>28</v>
      </c>
      <c r="O434" s="2" t="str">
        <f t="shared" si="16"/>
        <v>Pending Docs</v>
      </c>
      <c r="P434" s="2" t="s">
        <v>1455</v>
      </c>
      <c r="Q434" s="2" t="str">
        <f t="shared" si="17"/>
        <v>ET</v>
      </c>
      <c r="R434" s="2" t="e">
        <f t="array" aca="1" ref="R434" ca="1">_xludf.IFS(Q434="ET", "East", Q434="WT", "West", Q434="ST","South", Q434="NR", "North")</f>
        <v>#NAME?</v>
      </c>
      <c r="S434" s="2" t="s">
        <v>47</v>
      </c>
      <c r="T434" s="2" t="str">
        <f t="shared" si="18"/>
        <v>Lagos</v>
      </c>
      <c r="U434" s="12" t="s">
        <v>39</v>
      </c>
      <c r="V434" s="12">
        <f t="shared" si="19"/>
        <v>0.05</v>
      </c>
      <c r="W434" s="13">
        <f t="shared" si="20"/>
        <v>63097.65</v>
      </c>
      <c r="X434" s="2" t="str">
        <f t="shared" si="21"/>
        <v>Normal</v>
      </c>
    </row>
    <row r="435" spans="1:24" ht="14.25" customHeight="1" x14ac:dyDescent="0.5">
      <c r="A435" s="2" t="s">
        <v>1456</v>
      </c>
      <c r="B435" s="2" t="s">
        <v>92</v>
      </c>
      <c r="C435" s="2" t="str">
        <f t="shared" si="11"/>
        <v>Mike Miller</v>
      </c>
      <c r="D435" s="2" t="s">
        <v>235</v>
      </c>
      <c r="E435" s="2" t="str">
        <f t="shared" si="12"/>
        <v>jane@company.com</v>
      </c>
      <c r="F435" s="2" t="s">
        <v>100</v>
      </c>
      <c r="G435" s="3">
        <v>43849</v>
      </c>
      <c r="H435" s="3" t="str">
        <f t="shared" si="13"/>
        <v>19-Jan-2020</v>
      </c>
      <c r="I435" s="10" t="s">
        <v>1457</v>
      </c>
      <c r="J435" s="10">
        <f t="shared" si="14"/>
        <v>46155</v>
      </c>
      <c r="K435" s="11" t="s">
        <v>57</v>
      </c>
      <c r="L435" s="2" t="s">
        <v>112</v>
      </c>
      <c r="M435" s="2" t="str">
        <f t="shared" si="15"/>
        <v>On Leave</v>
      </c>
      <c r="N435" s="2" t="s">
        <v>28</v>
      </c>
      <c r="O435" s="2" t="str">
        <f t="shared" si="16"/>
        <v>Pending Docs</v>
      </c>
      <c r="P435" s="2" t="s">
        <v>1458</v>
      </c>
      <c r="Q435" s="2" t="str">
        <f t="shared" si="17"/>
        <v>ST</v>
      </c>
      <c r="R435" s="2" t="e">
        <f t="array" aca="1" ref="R435" ca="1">_xludf.IFS(Q435="ET", "East", Q435="WT", "West", Q435="ST","South", Q435="NR", "North")</f>
        <v>#NAME?</v>
      </c>
      <c r="S435" s="2" t="s">
        <v>21</v>
      </c>
      <c r="T435" s="2" t="str">
        <f t="shared" si="18"/>
        <v>Sao Paulo</v>
      </c>
      <c r="U435" s="12" t="s">
        <v>39</v>
      </c>
      <c r="V435" s="12">
        <f t="shared" si="19"/>
        <v>0.05</v>
      </c>
      <c r="W435" s="13">
        <f t="shared" si="20"/>
        <v>48462.75</v>
      </c>
      <c r="X435" s="2" t="str">
        <f t="shared" si="21"/>
        <v>Normal</v>
      </c>
    </row>
    <row r="436" spans="1:24" ht="14.25" customHeight="1" x14ac:dyDescent="0.5">
      <c r="A436" s="2" t="s">
        <v>1459</v>
      </c>
      <c r="B436" s="2" t="s">
        <v>437</v>
      </c>
      <c r="C436" s="2" t="str">
        <f t="shared" si="11"/>
        <v>Alex Brown</v>
      </c>
      <c r="D436" s="2" t="s">
        <v>74</v>
      </c>
      <c r="E436" s="2" t="str">
        <f t="shared" si="12"/>
        <v>mike@company.com</v>
      </c>
      <c r="F436" s="2" t="s">
        <v>34</v>
      </c>
      <c r="G436" s="3">
        <v>45186</v>
      </c>
      <c r="H436" s="3" t="str">
        <f t="shared" si="13"/>
        <v>17-Sep-2023</v>
      </c>
      <c r="I436" s="10" t="s">
        <v>1460</v>
      </c>
      <c r="J436" s="10">
        <f t="shared" si="14"/>
        <v>86607</v>
      </c>
      <c r="K436" s="11" t="s">
        <v>57</v>
      </c>
      <c r="L436" s="2" t="s">
        <v>45</v>
      </c>
      <c r="M436" s="2" t="str">
        <f t="shared" si="15"/>
        <v>Active</v>
      </c>
      <c r="N436" s="2" t="s">
        <v>65</v>
      </c>
      <c r="O436" s="2" t="str">
        <f t="shared" si="16"/>
        <v>Follow Up</v>
      </c>
      <c r="P436" s="2" t="s">
        <v>1461</v>
      </c>
      <c r="Q436" s="2" t="str">
        <f t="shared" si="17"/>
        <v>ET</v>
      </c>
      <c r="R436" s="2" t="e">
        <f t="array" aca="1" ref="R436" ca="1">_xludf.IFS(Q436="ET", "East", Q436="WT", "West", Q436="ST","South", Q436="NR", "North")</f>
        <v>#NAME?</v>
      </c>
      <c r="S436" s="2" t="s">
        <v>38</v>
      </c>
      <c r="T436" s="2" t="str">
        <f t="shared" si="18"/>
        <v>London</v>
      </c>
      <c r="U436" s="12" t="s">
        <v>30</v>
      </c>
      <c r="V436" s="12">
        <f t="shared" si="19"/>
        <v>0.1</v>
      </c>
      <c r="W436" s="13">
        <f t="shared" si="20"/>
        <v>95267.700000000012</v>
      </c>
      <c r="X436" s="2" t="str">
        <f t="shared" si="21"/>
        <v>Normal</v>
      </c>
    </row>
    <row r="437" spans="1:24" ht="14.25" customHeight="1" x14ac:dyDescent="0.5">
      <c r="A437" s="2" t="s">
        <v>1462</v>
      </c>
      <c r="B437" s="2" t="s">
        <v>475</v>
      </c>
      <c r="C437" s="2" t="str">
        <f t="shared" si="11"/>
        <v>Alex Smith</v>
      </c>
      <c r="D437" s="2" t="s">
        <v>93</v>
      </c>
      <c r="E437" s="2" t="str">
        <f t="shared" si="12"/>
        <v>k@ie@company.com</v>
      </c>
      <c r="F437" s="2" t="s">
        <v>69</v>
      </c>
      <c r="G437" s="3">
        <v>44414</v>
      </c>
      <c r="H437" s="3" t="str">
        <f t="shared" si="13"/>
        <v>06-Aug-2021</v>
      </c>
      <c r="I437" s="10" t="s">
        <v>1463</v>
      </c>
      <c r="J437" s="10">
        <f t="shared" si="14"/>
        <v>73487</v>
      </c>
      <c r="K437" s="11" t="s">
        <v>36</v>
      </c>
      <c r="L437" s="2" t="s">
        <v>89</v>
      </c>
      <c r="M437" s="2" t="str">
        <f t="shared" si="15"/>
        <v>Active</v>
      </c>
      <c r="N437" s="2" t="s">
        <v>19</v>
      </c>
      <c r="O437" s="2" t="str">
        <f t="shared" si="16"/>
        <v>Urgent Review</v>
      </c>
      <c r="P437" s="2" t="s">
        <v>1464</v>
      </c>
      <c r="Q437" s="2" t="str">
        <f t="shared" si="17"/>
        <v>ST</v>
      </c>
      <c r="R437" s="2" t="e">
        <f t="array" aca="1" ref="R437" ca="1">_xludf.IFS(Q437="ET", "East", Q437="WT", "West", Q437="ST","South", Q437="NR", "North")</f>
        <v>#NAME?</v>
      </c>
      <c r="S437" s="2" t="s">
        <v>79</v>
      </c>
      <c r="T437" s="2" t="str">
        <f t="shared" si="18"/>
        <v>New York</v>
      </c>
      <c r="U437" s="12" t="s">
        <v>85</v>
      </c>
      <c r="V437" s="12">
        <f t="shared" si="19"/>
        <v>0.15</v>
      </c>
      <c r="W437" s="13">
        <f t="shared" si="20"/>
        <v>84510.049999999988</v>
      </c>
      <c r="X437" s="2" t="str">
        <f t="shared" si="21"/>
        <v>Normal</v>
      </c>
    </row>
    <row r="438" spans="1:24" ht="14.25" customHeight="1" x14ac:dyDescent="0.5">
      <c r="A438" s="2" t="s">
        <v>1465</v>
      </c>
      <c r="B438" s="2" t="s">
        <v>475</v>
      </c>
      <c r="C438" s="2" t="str">
        <f t="shared" si="11"/>
        <v>Alex Smith</v>
      </c>
      <c r="D438" s="2" t="s">
        <v>25</v>
      </c>
      <c r="E438" s="2" t="str">
        <f t="shared" si="12"/>
        <v>chris@company.com</v>
      </c>
      <c r="F438" s="2" t="s">
        <v>42</v>
      </c>
      <c r="G438" s="3">
        <v>44286</v>
      </c>
      <c r="H438" s="3" t="str">
        <f t="shared" si="13"/>
        <v>31-Mar-2021</v>
      </c>
      <c r="I438" s="10" t="s">
        <v>1466</v>
      </c>
      <c r="J438" s="10">
        <f t="shared" si="14"/>
        <v>95668</v>
      </c>
      <c r="K438" s="11" t="s">
        <v>44</v>
      </c>
      <c r="L438" s="2" t="s">
        <v>18</v>
      </c>
      <c r="M438" s="2" t="str">
        <f t="shared" si="15"/>
        <v>Active</v>
      </c>
      <c r="N438" s="2" t="s">
        <v>65</v>
      </c>
      <c r="O438" s="2" t="str">
        <f t="shared" si="16"/>
        <v>Follow Up</v>
      </c>
      <c r="P438" s="2" t="s">
        <v>1467</v>
      </c>
      <c r="Q438" s="2" t="str">
        <f t="shared" si="17"/>
        <v>ST</v>
      </c>
      <c r="R438" s="2" t="e">
        <f t="array" aca="1" ref="R438" ca="1">_xludf.IFS(Q438="ET", "East", Q438="WT", "West", Q438="ST","South", Q438="NR", "North")</f>
        <v>#NAME?</v>
      </c>
      <c r="S438" s="2" t="s">
        <v>60</v>
      </c>
      <c r="T438" s="2" t="str">
        <f t="shared" si="18"/>
        <v>Toronto</v>
      </c>
      <c r="U438" s="12" t="s">
        <v>85</v>
      </c>
      <c r="V438" s="12">
        <f t="shared" si="19"/>
        <v>0.15</v>
      </c>
      <c r="W438" s="13">
        <f t="shared" si="20"/>
        <v>110018.2</v>
      </c>
      <c r="X438" s="2" t="str">
        <f t="shared" si="21"/>
        <v>High</v>
      </c>
    </row>
    <row r="439" spans="1:24" ht="14.25" customHeight="1" x14ac:dyDescent="0.5">
      <c r="A439" s="2" t="s">
        <v>1468</v>
      </c>
      <c r="B439" s="2" t="s">
        <v>736</v>
      </c>
      <c r="C439" s="2" t="str">
        <f t="shared" si="11"/>
        <v>John Lewis</v>
      </c>
      <c r="D439" s="2" t="s">
        <v>93</v>
      </c>
      <c r="E439" s="2" t="str">
        <f t="shared" si="12"/>
        <v>k@ie@company.com</v>
      </c>
      <c r="F439" s="2" t="s">
        <v>69</v>
      </c>
      <c r="G439" s="3">
        <v>44787</v>
      </c>
      <c r="H439" s="3" t="str">
        <f t="shared" si="13"/>
        <v>14-Aug-2022</v>
      </c>
      <c r="I439" s="10" t="s">
        <v>1469</v>
      </c>
      <c r="J439" s="10">
        <f t="shared" si="14"/>
        <v>60963</v>
      </c>
      <c r="K439" s="11" t="s">
        <v>83</v>
      </c>
      <c r="L439" s="2" t="s">
        <v>112</v>
      </c>
      <c r="M439" s="2" t="str">
        <f t="shared" si="15"/>
        <v>On Leave</v>
      </c>
      <c r="O439" s="2" t="str">
        <f t="shared" si="16"/>
        <v>No Notes</v>
      </c>
      <c r="P439" s="2" t="s">
        <v>1470</v>
      </c>
      <c r="Q439" s="2" t="str">
        <f t="shared" si="17"/>
        <v>ET</v>
      </c>
      <c r="R439" s="2" t="e">
        <f t="array" aca="1" ref="R439" ca="1">_xludf.IFS(Q439="ET", "East", Q439="WT", "West", Q439="ST","South", Q439="NR", "North")</f>
        <v>#NAME?</v>
      </c>
      <c r="S439" s="2" t="s">
        <v>53</v>
      </c>
      <c r="T439" s="2" t="str">
        <f t="shared" si="18"/>
        <v>Delhi</v>
      </c>
      <c r="U439" s="12" t="s">
        <v>22</v>
      </c>
      <c r="V439" s="12">
        <f t="shared" si="19"/>
        <v>0.2</v>
      </c>
      <c r="W439" s="13">
        <f t="shared" si="20"/>
        <v>73155.599999999991</v>
      </c>
      <c r="X439" s="2" t="str">
        <f t="shared" si="21"/>
        <v>Normal</v>
      </c>
    </row>
    <row r="440" spans="1:24" ht="14.25" customHeight="1" x14ac:dyDescent="0.5">
      <c r="A440" s="2" t="s">
        <v>1471</v>
      </c>
      <c r="B440" s="2" t="s">
        <v>68</v>
      </c>
      <c r="C440" s="2" t="str">
        <f t="shared" si="11"/>
        <v>Daniel Davis</v>
      </c>
      <c r="D440" s="2" t="s">
        <v>49</v>
      </c>
      <c r="E440" s="2" t="str">
        <f t="shared" si="12"/>
        <v>emily@company.com</v>
      </c>
      <c r="F440" s="2" t="s">
        <v>69</v>
      </c>
      <c r="G440" s="3">
        <v>44963</v>
      </c>
      <c r="H440" s="3" t="str">
        <f t="shared" si="13"/>
        <v>06-Feb-2023</v>
      </c>
      <c r="I440" s="10" t="s">
        <v>1472</v>
      </c>
      <c r="J440" s="10">
        <f t="shared" si="14"/>
        <v>90124</v>
      </c>
      <c r="K440" s="11" t="s">
        <v>44</v>
      </c>
      <c r="L440" s="2" t="s">
        <v>64</v>
      </c>
      <c r="M440" s="2" t="str">
        <f t="shared" si="15"/>
        <v>Terminated</v>
      </c>
      <c r="N440" s="2" t="s">
        <v>77</v>
      </c>
      <c r="O440" s="2" t="str">
        <f t="shared" si="16"/>
        <v>All Clear</v>
      </c>
      <c r="P440" s="2" t="s">
        <v>1473</v>
      </c>
      <c r="Q440" s="2" t="str">
        <f t="shared" si="17"/>
        <v>NR</v>
      </c>
      <c r="R440" s="2" t="e">
        <f t="array" aca="1" ref="R440" ca="1">_xludf.IFS(Q440="ET", "East", Q440="WT", "West", Q440="ST","South", Q440="NR", "North")</f>
        <v>#NAME?</v>
      </c>
      <c r="S440" s="2" t="s">
        <v>96</v>
      </c>
      <c r="T440" s="2" t="str">
        <f t="shared" si="18"/>
        <v>Cairo</v>
      </c>
      <c r="U440" s="12" t="s">
        <v>85</v>
      </c>
      <c r="V440" s="12">
        <f t="shared" si="19"/>
        <v>0.15</v>
      </c>
      <c r="W440" s="13">
        <f t="shared" si="20"/>
        <v>103642.59999999999</v>
      </c>
      <c r="X440" s="2" t="str">
        <f t="shared" si="21"/>
        <v>High</v>
      </c>
    </row>
    <row r="441" spans="1:24" ht="14.25" customHeight="1" x14ac:dyDescent="0.5">
      <c r="A441" s="2" t="s">
        <v>1474</v>
      </c>
      <c r="B441" s="2" t="s">
        <v>437</v>
      </c>
      <c r="C441" s="2" t="str">
        <f t="shared" si="11"/>
        <v>Alex Brown</v>
      </c>
      <c r="D441" s="2" t="s">
        <v>235</v>
      </c>
      <c r="E441" s="2" t="str">
        <f t="shared" si="12"/>
        <v>jane@company.com</v>
      </c>
      <c r="F441" s="2" t="s">
        <v>34</v>
      </c>
      <c r="G441" s="3">
        <v>45122</v>
      </c>
      <c r="H441" s="3" t="str">
        <f t="shared" si="13"/>
        <v>15-Jul-2023</v>
      </c>
      <c r="I441" s="10" t="s">
        <v>1475</v>
      </c>
      <c r="J441" s="10">
        <f t="shared" si="14"/>
        <v>92870</v>
      </c>
      <c r="K441" s="11" t="s">
        <v>17</v>
      </c>
      <c r="L441" s="2" t="s">
        <v>112</v>
      </c>
      <c r="M441" s="2" t="str">
        <f t="shared" si="15"/>
        <v>On Leave</v>
      </c>
      <c r="N441" s="2" t="s">
        <v>77</v>
      </c>
      <c r="O441" s="2" t="str">
        <f t="shared" si="16"/>
        <v>All Clear</v>
      </c>
      <c r="P441" s="2" t="s">
        <v>1476</v>
      </c>
      <c r="Q441" s="2" t="str">
        <f t="shared" si="17"/>
        <v>NR</v>
      </c>
      <c r="R441" s="2" t="e">
        <f t="array" aca="1" ref="R441" ca="1">_xludf.IFS(Q441="ET", "East", Q441="WT", "West", Q441="ST","South", Q441="NR", "North")</f>
        <v>#NAME?</v>
      </c>
      <c r="S441" s="2" t="s">
        <v>21</v>
      </c>
      <c r="T441" s="2" t="str">
        <f t="shared" si="18"/>
        <v>Sao Paulo</v>
      </c>
      <c r="U441" s="12" t="s">
        <v>30</v>
      </c>
      <c r="V441" s="12">
        <f t="shared" si="19"/>
        <v>0.1</v>
      </c>
      <c r="W441" s="13">
        <f t="shared" si="20"/>
        <v>102157.00000000001</v>
      </c>
      <c r="X441" s="2" t="str">
        <f t="shared" si="21"/>
        <v>High</v>
      </c>
    </row>
    <row r="442" spans="1:24" ht="14.25" customHeight="1" x14ac:dyDescent="0.5">
      <c r="A442" s="2" t="s">
        <v>1477</v>
      </c>
      <c r="B442" s="2" t="s">
        <v>1029</v>
      </c>
      <c r="C442" s="2" t="str">
        <f t="shared" si="11"/>
        <v>John Miller</v>
      </c>
      <c r="D442" s="2" t="s">
        <v>25</v>
      </c>
      <c r="E442" s="2" t="str">
        <f t="shared" si="12"/>
        <v>chris@company.com</v>
      </c>
      <c r="F442" s="2" t="s">
        <v>42</v>
      </c>
      <c r="G442" s="3">
        <v>44275</v>
      </c>
      <c r="H442" s="3" t="str">
        <f t="shared" si="13"/>
        <v>20-Mar-2021</v>
      </c>
      <c r="I442" s="10" t="s">
        <v>1478</v>
      </c>
      <c r="J442" s="10">
        <f t="shared" si="14"/>
        <v>96547</v>
      </c>
      <c r="K442" s="11" t="s">
        <v>44</v>
      </c>
      <c r="L442" s="2" t="s">
        <v>18</v>
      </c>
      <c r="M442" s="2" t="str">
        <f t="shared" si="15"/>
        <v>Active</v>
      </c>
      <c r="N442" s="2" t="s">
        <v>19</v>
      </c>
      <c r="O442" s="2" t="str">
        <f t="shared" si="16"/>
        <v>Urgent Review</v>
      </c>
      <c r="P442" s="2" t="s">
        <v>1479</v>
      </c>
      <c r="Q442" s="2" t="str">
        <f t="shared" si="17"/>
        <v>WT</v>
      </c>
      <c r="R442" s="2" t="e">
        <f t="array" aca="1" ref="R442" ca="1">_xludf.IFS(Q442="ET", "East", Q442="WT", "West", Q442="ST","South", Q442="NR", "North")</f>
        <v>#NAME?</v>
      </c>
      <c r="S442" s="2" t="s">
        <v>159</v>
      </c>
      <c r="T442" s="2" t="str">
        <f t="shared" si="18"/>
        <v>Berlin</v>
      </c>
      <c r="U442" s="12" t="s">
        <v>85</v>
      </c>
      <c r="V442" s="12">
        <f t="shared" si="19"/>
        <v>0.15</v>
      </c>
      <c r="W442" s="13">
        <f t="shared" si="20"/>
        <v>111029.04999999999</v>
      </c>
      <c r="X442" s="2" t="str">
        <f t="shared" si="21"/>
        <v>High</v>
      </c>
    </row>
    <row r="443" spans="1:24" ht="14.25" customHeight="1" x14ac:dyDescent="0.5">
      <c r="A443" s="2" t="s">
        <v>1480</v>
      </c>
      <c r="B443" s="2" t="s">
        <v>73</v>
      </c>
      <c r="C443" s="2" t="str">
        <f t="shared" si="11"/>
        <v>Jane Moore</v>
      </c>
      <c r="D443" s="2" t="s">
        <v>99</v>
      </c>
      <c r="E443" s="2" t="str">
        <f t="shared" si="12"/>
        <v>daniel@company.com</v>
      </c>
      <c r="F443" s="2" t="s">
        <v>50</v>
      </c>
      <c r="G443" s="3">
        <v>45094</v>
      </c>
      <c r="H443" s="3" t="str">
        <f t="shared" si="13"/>
        <v>17-Jun-2023</v>
      </c>
      <c r="I443" s="10" t="s">
        <v>1481</v>
      </c>
      <c r="J443" s="10">
        <f t="shared" si="14"/>
        <v>104110</v>
      </c>
      <c r="K443" s="11" t="s">
        <v>57</v>
      </c>
      <c r="L443" s="2" t="s">
        <v>45</v>
      </c>
      <c r="M443" s="2" t="str">
        <f t="shared" si="15"/>
        <v>Active</v>
      </c>
      <c r="O443" s="2" t="str">
        <f t="shared" si="16"/>
        <v>No Notes</v>
      </c>
      <c r="P443" s="2" t="s">
        <v>1482</v>
      </c>
      <c r="Q443" s="2" t="str">
        <f t="shared" si="17"/>
        <v>NR</v>
      </c>
      <c r="R443" s="2" t="e">
        <f t="array" aca="1" ref="R443" ca="1">_xludf.IFS(Q443="ET", "East", Q443="WT", "West", Q443="ST","South", Q443="NR", "North")</f>
        <v>#NAME?</v>
      </c>
      <c r="S443" s="2" t="s">
        <v>21</v>
      </c>
      <c r="T443" s="2" t="str">
        <f t="shared" si="18"/>
        <v>Sao Paulo</v>
      </c>
      <c r="U443" s="12" t="s">
        <v>30</v>
      </c>
      <c r="V443" s="12">
        <f t="shared" si="19"/>
        <v>0.1</v>
      </c>
      <c r="W443" s="13">
        <f t="shared" si="20"/>
        <v>114521.00000000001</v>
      </c>
      <c r="X443" s="2" t="str">
        <f t="shared" si="21"/>
        <v>High</v>
      </c>
    </row>
    <row r="444" spans="1:24" ht="14.25" customHeight="1" x14ac:dyDescent="0.5">
      <c r="A444" s="2" t="s">
        <v>1483</v>
      </c>
      <c r="B444" s="2" t="s">
        <v>145</v>
      </c>
      <c r="C444" s="2" t="str">
        <f t="shared" si="11"/>
        <v>Mike Davis</v>
      </c>
      <c r="D444" s="2" t="s">
        <v>25</v>
      </c>
      <c r="E444" s="2" t="str">
        <f t="shared" si="12"/>
        <v>chris@company.com</v>
      </c>
      <c r="F444" s="2" t="s">
        <v>34</v>
      </c>
      <c r="G444" s="3">
        <v>45155</v>
      </c>
      <c r="H444" s="3" t="str">
        <f t="shared" si="13"/>
        <v>17-Aug-2023</v>
      </c>
      <c r="I444" s="10" t="s">
        <v>1484</v>
      </c>
      <c r="J444" s="10">
        <f t="shared" si="14"/>
        <v>93554</v>
      </c>
      <c r="K444" s="11" t="s">
        <v>83</v>
      </c>
      <c r="L444" s="2" t="s">
        <v>18</v>
      </c>
      <c r="M444" s="2" t="str">
        <f t="shared" si="15"/>
        <v>Active</v>
      </c>
      <c r="N444" s="2" t="s">
        <v>19</v>
      </c>
      <c r="O444" s="2" t="str">
        <f t="shared" si="16"/>
        <v>Urgent Review</v>
      </c>
      <c r="P444" s="2" t="s">
        <v>1485</v>
      </c>
      <c r="Q444" s="2" t="str">
        <f t="shared" si="17"/>
        <v>WT</v>
      </c>
      <c r="R444" s="2" t="e">
        <f t="array" aca="1" ref="R444" ca="1">_xludf.IFS(Q444="ET", "East", Q444="WT", "West", Q444="ST","South", Q444="NR", "North")</f>
        <v>#NAME?</v>
      </c>
      <c r="S444" s="2" t="s">
        <v>53</v>
      </c>
      <c r="T444" s="2" t="str">
        <f t="shared" si="18"/>
        <v>Delhi</v>
      </c>
      <c r="U444" s="12" t="s">
        <v>30</v>
      </c>
      <c r="V444" s="12">
        <f t="shared" si="19"/>
        <v>0.1</v>
      </c>
      <c r="W444" s="13">
        <f t="shared" si="20"/>
        <v>102909.40000000001</v>
      </c>
      <c r="X444" s="2" t="str">
        <f t="shared" si="21"/>
        <v>High</v>
      </c>
    </row>
    <row r="445" spans="1:24" ht="14.25" customHeight="1" x14ac:dyDescent="0.5">
      <c r="A445" s="2" t="s">
        <v>1486</v>
      </c>
      <c r="B445" s="2" t="s">
        <v>32</v>
      </c>
      <c r="C445" s="2" t="str">
        <f t="shared" si="11"/>
        <v>Sarah Lewis</v>
      </c>
      <c r="D445" s="2" t="s">
        <v>49</v>
      </c>
      <c r="E445" s="2" t="str">
        <f t="shared" si="12"/>
        <v>emily@company.com</v>
      </c>
      <c r="F445" s="2" t="s">
        <v>69</v>
      </c>
      <c r="G445" s="3">
        <v>44432</v>
      </c>
      <c r="H445" s="3" t="str">
        <f t="shared" si="13"/>
        <v>24-Aug-2021</v>
      </c>
      <c r="I445" s="10" t="s">
        <v>1487</v>
      </c>
      <c r="J445" s="10">
        <f t="shared" si="14"/>
        <v>60936</v>
      </c>
      <c r="K445" s="11" t="s">
        <v>44</v>
      </c>
      <c r="L445" s="2" t="s">
        <v>45</v>
      </c>
      <c r="M445" s="2" t="str">
        <f t="shared" si="15"/>
        <v>Active</v>
      </c>
      <c r="N445" s="2" t="s">
        <v>77</v>
      </c>
      <c r="O445" s="2" t="str">
        <f t="shared" si="16"/>
        <v>All Clear</v>
      </c>
      <c r="P445" s="2" t="s">
        <v>1488</v>
      </c>
      <c r="Q445" s="2" t="str">
        <f t="shared" si="17"/>
        <v>NR</v>
      </c>
      <c r="R445" s="2" t="e">
        <f t="array" aca="1" ref="R445" ca="1">_xludf.IFS(Q445="ET", "East", Q445="WT", "West", Q445="ST","South", Q445="NR", "North")</f>
        <v>#NAME?</v>
      </c>
      <c r="S445" s="2" t="s">
        <v>21</v>
      </c>
      <c r="T445" s="2" t="str">
        <f t="shared" si="18"/>
        <v>Sao Paulo</v>
      </c>
      <c r="U445" s="12" t="s">
        <v>85</v>
      </c>
      <c r="V445" s="12">
        <f t="shared" si="19"/>
        <v>0.15</v>
      </c>
      <c r="W445" s="13">
        <f t="shared" si="20"/>
        <v>70076.399999999994</v>
      </c>
      <c r="X445" s="2" t="str">
        <f t="shared" si="21"/>
        <v>Normal</v>
      </c>
    </row>
    <row r="446" spans="1:24" ht="14.25" customHeight="1" x14ac:dyDescent="0.5">
      <c r="A446" s="2" t="s">
        <v>1489</v>
      </c>
      <c r="B446" s="2" t="s">
        <v>73</v>
      </c>
      <c r="C446" s="2" t="str">
        <f t="shared" si="11"/>
        <v>Jane Moore</v>
      </c>
      <c r="D446" s="2" t="s">
        <v>74</v>
      </c>
      <c r="E446" s="2" t="str">
        <f t="shared" si="12"/>
        <v>mike@company.com</v>
      </c>
      <c r="F446" s="2" t="s">
        <v>69</v>
      </c>
      <c r="G446" s="3">
        <v>43933</v>
      </c>
      <c r="H446" s="3" t="str">
        <f t="shared" si="13"/>
        <v>12-Apr-2020</v>
      </c>
      <c r="I446" s="10" t="s">
        <v>1490</v>
      </c>
      <c r="J446" s="10">
        <f t="shared" si="14"/>
        <v>44426</v>
      </c>
      <c r="K446" s="11" t="s">
        <v>83</v>
      </c>
      <c r="L446" s="2" t="s">
        <v>27</v>
      </c>
      <c r="M446" s="2" t="str">
        <f t="shared" si="15"/>
        <v>On Leave</v>
      </c>
      <c r="N446" s="2" t="s">
        <v>65</v>
      </c>
      <c r="O446" s="2" t="str">
        <f t="shared" si="16"/>
        <v>Follow Up</v>
      </c>
      <c r="P446" s="2" t="s">
        <v>1491</v>
      </c>
      <c r="Q446" s="2" t="str">
        <f t="shared" si="17"/>
        <v>NR</v>
      </c>
      <c r="R446" s="2" t="e">
        <f t="array" aca="1" ref="R446" ca="1">_xludf.IFS(Q446="ET", "East", Q446="WT", "West", Q446="ST","South", Q446="NR", "North")</f>
        <v>#NAME?</v>
      </c>
      <c r="S446" s="2" t="s">
        <v>53</v>
      </c>
      <c r="T446" s="2" t="str">
        <f t="shared" si="18"/>
        <v>Delhi</v>
      </c>
      <c r="U446" s="12" t="s">
        <v>22</v>
      </c>
      <c r="V446" s="12">
        <f t="shared" si="19"/>
        <v>0.2</v>
      </c>
      <c r="W446" s="13">
        <f t="shared" si="20"/>
        <v>53311.199999999997</v>
      </c>
      <c r="X446" s="2" t="str">
        <f t="shared" si="21"/>
        <v>Normal</v>
      </c>
    </row>
    <row r="447" spans="1:24" ht="14.25" customHeight="1" x14ac:dyDescent="0.5">
      <c r="A447" s="2" t="s">
        <v>1492</v>
      </c>
      <c r="B447" s="2" t="s">
        <v>133</v>
      </c>
      <c r="C447" s="2" t="str">
        <f t="shared" si="11"/>
        <v>Jane Taylor</v>
      </c>
      <c r="D447" s="2" t="s">
        <v>235</v>
      </c>
      <c r="E447" s="2" t="str">
        <f t="shared" si="12"/>
        <v>jane@company.com</v>
      </c>
      <c r="F447" s="2" t="s">
        <v>50</v>
      </c>
      <c r="G447" s="3">
        <v>44818</v>
      </c>
      <c r="H447" s="3" t="str">
        <f t="shared" si="13"/>
        <v>14-Sep-2022</v>
      </c>
      <c r="I447" s="10" t="s">
        <v>1493</v>
      </c>
      <c r="J447" s="10">
        <f t="shared" si="14"/>
        <v>67606</v>
      </c>
      <c r="K447" s="11" t="s">
        <v>83</v>
      </c>
      <c r="L447" s="2" t="s">
        <v>45</v>
      </c>
      <c r="M447" s="2" t="str">
        <f t="shared" si="15"/>
        <v>Active</v>
      </c>
      <c r="N447" s="2" t="s">
        <v>28</v>
      </c>
      <c r="O447" s="2" t="str">
        <f t="shared" si="16"/>
        <v>Pending Docs</v>
      </c>
      <c r="P447" s="2" t="s">
        <v>1494</v>
      </c>
      <c r="Q447" s="2" t="str">
        <f t="shared" si="17"/>
        <v>ST</v>
      </c>
      <c r="R447" s="2" t="e">
        <f t="array" aca="1" ref="R447" ca="1">_xludf.IFS(Q447="ET", "East", Q447="WT", "West", Q447="ST","South", Q447="NR", "North")</f>
        <v>#NAME?</v>
      </c>
      <c r="S447" s="2" t="s">
        <v>79</v>
      </c>
      <c r="T447" s="2" t="str">
        <f t="shared" si="18"/>
        <v>New York</v>
      </c>
      <c r="U447" s="12" t="s">
        <v>39</v>
      </c>
      <c r="V447" s="12">
        <f t="shared" si="19"/>
        <v>0.05</v>
      </c>
      <c r="W447" s="13">
        <f t="shared" si="20"/>
        <v>70986.3</v>
      </c>
      <c r="X447" s="2" t="str">
        <f t="shared" si="21"/>
        <v>Normal</v>
      </c>
    </row>
    <row r="448" spans="1:24" ht="14.25" customHeight="1" x14ac:dyDescent="0.5">
      <c r="A448" s="2" t="s">
        <v>1495</v>
      </c>
      <c r="B448" s="2" t="s">
        <v>275</v>
      </c>
      <c r="C448" s="2" t="str">
        <f t="shared" si="11"/>
        <v>John Davis</v>
      </c>
      <c r="D448" s="2" t="s">
        <v>99</v>
      </c>
      <c r="E448" s="2" t="str">
        <f t="shared" si="12"/>
        <v>daniel@company.com</v>
      </c>
      <c r="F448" s="2" t="s">
        <v>69</v>
      </c>
      <c r="G448" s="3">
        <v>45104</v>
      </c>
      <c r="H448" s="3" t="str">
        <f t="shared" si="13"/>
        <v>27-Jun-2023</v>
      </c>
      <c r="I448" s="10" t="s">
        <v>1496</v>
      </c>
      <c r="J448" s="10">
        <f t="shared" si="14"/>
        <v>87832</v>
      </c>
      <c r="K448" s="11" t="s">
        <v>17</v>
      </c>
      <c r="L448" s="2" t="s">
        <v>27</v>
      </c>
      <c r="M448" s="2" t="str">
        <f t="shared" si="15"/>
        <v>On Leave</v>
      </c>
      <c r="N448" s="2" t="s">
        <v>77</v>
      </c>
      <c r="O448" s="2" t="str">
        <f t="shared" si="16"/>
        <v>All Clear</v>
      </c>
      <c r="P448" s="2" t="s">
        <v>1497</v>
      </c>
      <c r="Q448" s="2" t="str">
        <f t="shared" si="17"/>
        <v>WT</v>
      </c>
      <c r="R448" s="2" t="e">
        <f t="array" aca="1" ref="R448" ca="1">_xludf.IFS(Q448="ET", "East", Q448="WT", "West", Q448="ST","South", Q448="NR", "North")</f>
        <v>#NAME?</v>
      </c>
      <c r="S448" s="2" t="s">
        <v>159</v>
      </c>
      <c r="T448" s="2" t="str">
        <f t="shared" si="18"/>
        <v>Berlin</v>
      </c>
      <c r="U448" s="12" t="s">
        <v>39</v>
      </c>
      <c r="V448" s="12">
        <f t="shared" si="19"/>
        <v>0.05</v>
      </c>
      <c r="W448" s="13">
        <f t="shared" si="20"/>
        <v>92223.6</v>
      </c>
      <c r="X448" s="2" t="str">
        <f t="shared" si="21"/>
        <v>Normal</v>
      </c>
    </row>
    <row r="449" spans="1:24" ht="14.25" customHeight="1" x14ac:dyDescent="0.5">
      <c r="A449" s="2" t="s">
        <v>1498</v>
      </c>
      <c r="B449" s="2" t="s">
        <v>98</v>
      </c>
      <c r="C449" s="2" t="str">
        <f t="shared" si="11"/>
        <v>Katie Smith</v>
      </c>
      <c r="D449" s="2" t="s">
        <v>49</v>
      </c>
      <c r="E449" s="2" t="str">
        <f t="shared" si="12"/>
        <v>emily@company.com</v>
      </c>
      <c r="F449" s="2" t="s">
        <v>69</v>
      </c>
      <c r="G449" s="3">
        <v>45307</v>
      </c>
      <c r="H449" s="3" t="str">
        <f t="shared" si="13"/>
        <v>16-Jan-2024</v>
      </c>
      <c r="I449" s="10" t="s">
        <v>1499</v>
      </c>
      <c r="J449" s="10">
        <f t="shared" si="14"/>
        <v>68151</v>
      </c>
      <c r="K449" s="11" t="s">
        <v>17</v>
      </c>
      <c r="L449" s="2" t="s">
        <v>27</v>
      </c>
      <c r="M449" s="2" t="str">
        <f t="shared" si="15"/>
        <v>On Leave</v>
      </c>
      <c r="N449" s="2" t="s">
        <v>107</v>
      </c>
      <c r="O449" s="2" t="str">
        <f t="shared" si="16"/>
        <v>All Clear</v>
      </c>
      <c r="P449" s="2" t="s">
        <v>1500</v>
      </c>
      <c r="Q449" s="2" t="str">
        <f t="shared" si="17"/>
        <v>NR</v>
      </c>
      <c r="R449" s="2" t="e">
        <f t="array" aca="1" ref="R449" ca="1">_xludf.IFS(Q449="ET", "East", Q449="WT", "West", Q449="ST","South", Q449="NR", "North")</f>
        <v>#NAME?</v>
      </c>
      <c r="S449" s="2" t="s">
        <v>38</v>
      </c>
      <c r="T449" s="2" t="str">
        <f t="shared" si="18"/>
        <v>London</v>
      </c>
      <c r="U449" s="12" t="s">
        <v>85</v>
      </c>
      <c r="V449" s="12">
        <f t="shared" si="19"/>
        <v>0.15</v>
      </c>
      <c r="W449" s="13">
        <f t="shared" si="20"/>
        <v>78373.649999999994</v>
      </c>
      <c r="X449" s="2" t="str">
        <f t="shared" si="21"/>
        <v>Normal</v>
      </c>
    </row>
    <row r="450" spans="1:24" ht="14.25" customHeight="1" x14ac:dyDescent="0.5">
      <c r="A450" s="2" t="s">
        <v>1501</v>
      </c>
      <c r="B450" s="2" t="s">
        <v>245</v>
      </c>
      <c r="C450" s="2" t="str">
        <f t="shared" si="11"/>
        <v>Katie Moore</v>
      </c>
      <c r="D450" s="2" t="s">
        <v>49</v>
      </c>
      <c r="E450" s="2" t="str">
        <f t="shared" si="12"/>
        <v>emily@company.com</v>
      </c>
      <c r="F450" s="2" t="s">
        <v>69</v>
      </c>
      <c r="G450" s="3">
        <v>44350</v>
      </c>
      <c r="H450" s="3" t="str">
        <f t="shared" si="13"/>
        <v>03-Jun-2021</v>
      </c>
      <c r="I450" s="10" t="s">
        <v>1502</v>
      </c>
      <c r="J450" s="10">
        <f t="shared" si="14"/>
        <v>119303</v>
      </c>
      <c r="K450" s="11" t="s">
        <v>57</v>
      </c>
      <c r="L450" s="2" t="s">
        <v>45</v>
      </c>
      <c r="M450" s="2" t="str">
        <f t="shared" si="15"/>
        <v>Active</v>
      </c>
      <c r="N450" s="2" t="s">
        <v>28</v>
      </c>
      <c r="O450" s="2" t="str">
        <f t="shared" si="16"/>
        <v>Pending Docs</v>
      </c>
      <c r="P450" s="2" t="s">
        <v>1503</v>
      </c>
      <c r="Q450" s="2" t="str">
        <f t="shared" si="17"/>
        <v>WT</v>
      </c>
      <c r="R450" s="2" t="e">
        <f t="array" aca="1" ref="R450" ca="1">_xludf.IFS(Q450="ET", "East", Q450="WT", "West", Q450="ST","South", Q450="NR", "North")</f>
        <v>#NAME?</v>
      </c>
      <c r="S450" s="2" t="s">
        <v>38</v>
      </c>
      <c r="T450" s="2" t="str">
        <f t="shared" si="18"/>
        <v>London</v>
      </c>
      <c r="U450" s="12" t="s">
        <v>85</v>
      </c>
      <c r="V450" s="12">
        <f t="shared" si="19"/>
        <v>0.15</v>
      </c>
      <c r="W450" s="13">
        <f t="shared" si="20"/>
        <v>137198.44999999998</v>
      </c>
      <c r="X450" s="2" t="str">
        <f t="shared" si="21"/>
        <v>High</v>
      </c>
    </row>
    <row r="451" spans="1:24" ht="14.25" customHeight="1" x14ac:dyDescent="0.5">
      <c r="A451" s="2" t="s">
        <v>1504</v>
      </c>
      <c r="B451" s="2" t="s">
        <v>405</v>
      </c>
      <c r="C451" s="2" t="str">
        <f t="shared" si="11"/>
        <v>Daniel Wilson</v>
      </c>
      <c r="D451" s="2" t="s">
        <v>14</v>
      </c>
      <c r="E451" s="2" t="str">
        <f t="shared" si="12"/>
        <v>john@company.com</v>
      </c>
      <c r="F451" s="2" t="s">
        <v>15</v>
      </c>
      <c r="G451" s="3">
        <v>45007</v>
      </c>
      <c r="H451" s="3" t="str">
        <f t="shared" si="13"/>
        <v>22-Mar-2023</v>
      </c>
      <c r="I451" s="10" t="s">
        <v>1505</v>
      </c>
      <c r="J451" s="10">
        <f t="shared" si="14"/>
        <v>51308</v>
      </c>
      <c r="K451" s="11" t="s">
        <v>36</v>
      </c>
      <c r="L451" s="2" t="s">
        <v>64</v>
      </c>
      <c r="M451" s="2" t="str">
        <f t="shared" si="15"/>
        <v>Terminated</v>
      </c>
      <c r="N451" s="2" t="s">
        <v>77</v>
      </c>
      <c r="O451" s="2" t="str">
        <f t="shared" si="16"/>
        <v>All Clear</v>
      </c>
      <c r="P451" s="2" t="s">
        <v>1506</v>
      </c>
      <c r="Q451" s="2" t="str">
        <f t="shared" si="17"/>
        <v>ST</v>
      </c>
      <c r="R451" s="2" t="e">
        <f t="array" aca="1" ref="R451" ca="1">_xludf.IFS(Q451="ET", "East", Q451="WT", "West", Q451="ST","South", Q451="NR", "North")</f>
        <v>#NAME?</v>
      </c>
      <c r="S451" s="2" t="s">
        <v>21</v>
      </c>
      <c r="T451" s="2" t="str">
        <f t="shared" si="18"/>
        <v>Sao Paulo</v>
      </c>
      <c r="U451" s="12" t="s">
        <v>30</v>
      </c>
      <c r="V451" s="12">
        <f t="shared" si="19"/>
        <v>0.1</v>
      </c>
      <c r="W451" s="13">
        <f t="shared" si="20"/>
        <v>56438.8</v>
      </c>
      <c r="X451" s="2" t="str">
        <f t="shared" si="21"/>
        <v>Normal</v>
      </c>
    </row>
    <row r="452" spans="1:24" ht="14.25" customHeight="1" x14ac:dyDescent="0.5">
      <c r="A452" s="2" t="s">
        <v>1507</v>
      </c>
      <c r="B452" s="2" t="s">
        <v>156</v>
      </c>
      <c r="C452" s="2" t="str">
        <f t="shared" si="11"/>
        <v>Sam Smith</v>
      </c>
      <c r="D452" s="2" t="s">
        <v>235</v>
      </c>
      <c r="E452" s="2" t="str">
        <f t="shared" si="12"/>
        <v>jane@company.com</v>
      </c>
      <c r="F452" s="2" t="s">
        <v>34</v>
      </c>
      <c r="G452" s="3">
        <v>44689</v>
      </c>
      <c r="H452" s="3" t="str">
        <f t="shared" si="13"/>
        <v>08-May-2022</v>
      </c>
      <c r="I452" s="10" t="s">
        <v>1508</v>
      </c>
      <c r="J452" s="10">
        <f t="shared" si="14"/>
        <v>102522</v>
      </c>
      <c r="K452" s="11" t="s">
        <v>83</v>
      </c>
      <c r="L452" s="2" t="s">
        <v>58</v>
      </c>
      <c r="M452" s="2" t="str">
        <f t="shared" si="15"/>
        <v>Terminated</v>
      </c>
      <c r="N452" s="2" t="s">
        <v>65</v>
      </c>
      <c r="O452" s="2" t="str">
        <f t="shared" si="16"/>
        <v>Follow Up</v>
      </c>
      <c r="P452" s="2" t="s">
        <v>1509</v>
      </c>
      <c r="Q452" s="2" t="str">
        <f t="shared" si="17"/>
        <v>ST</v>
      </c>
      <c r="R452" s="2" t="e">
        <f t="array" aca="1" ref="R452" ca="1">_xludf.IFS(Q452="ET", "East", Q452="WT", "West", Q452="ST","South", Q452="NR", "North")</f>
        <v>#NAME?</v>
      </c>
      <c r="S452" s="2" t="s">
        <v>79</v>
      </c>
      <c r="T452" s="2" t="str">
        <f t="shared" si="18"/>
        <v>New York</v>
      </c>
      <c r="U452" s="12" t="s">
        <v>85</v>
      </c>
      <c r="V452" s="12">
        <f t="shared" si="19"/>
        <v>0.15</v>
      </c>
      <c r="W452" s="13">
        <f t="shared" si="20"/>
        <v>117900.29999999999</v>
      </c>
      <c r="X452" s="2" t="str">
        <f t="shared" si="21"/>
        <v>High</v>
      </c>
    </row>
    <row r="453" spans="1:24" ht="14.25" customHeight="1" x14ac:dyDescent="0.5">
      <c r="A453" s="2" t="s">
        <v>1510</v>
      </c>
      <c r="B453" s="2" t="s">
        <v>1252</v>
      </c>
      <c r="C453" s="2" t="str">
        <f t="shared" si="11"/>
        <v>Emily Johnson</v>
      </c>
      <c r="D453" s="2" t="s">
        <v>25</v>
      </c>
      <c r="E453" s="2" t="str">
        <f t="shared" si="12"/>
        <v>chris@company.com</v>
      </c>
      <c r="F453" s="2" t="s">
        <v>75</v>
      </c>
      <c r="G453" s="3">
        <v>44004</v>
      </c>
      <c r="H453" s="3" t="str">
        <f t="shared" si="13"/>
        <v>22-Jun-2020</v>
      </c>
      <c r="I453" s="10" t="s">
        <v>1511</v>
      </c>
      <c r="J453" s="10">
        <f t="shared" si="14"/>
        <v>85671</v>
      </c>
      <c r="K453" s="11" t="s">
        <v>36</v>
      </c>
      <c r="L453" s="2" t="s">
        <v>45</v>
      </c>
      <c r="M453" s="2" t="str">
        <f t="shared" si="15"/>
        <v>Active</v>
      </c>
      <c r="N453" s="2" t="s">
        <v>19</v>
      </c>
      <c r="O453" s="2" t="str">
        <f t="shared" si="16"/>
        <v>Urgent Review</v>
      </c>
      <c r="P453" s="2" t="s">
        <v>1512</v>
      </c>
      <c r="Q453" s="2" t="str">
        <f t="shared" si="17"/>
        <v>WT</v>
      </c>
      <c r="R453" s="2" t="e">
        <f t="array" aca="1" ref="R453" ca="1">_xludf.IFS(Q453="ET", "East", Q453="WT", "West", Q453="ST","South", Q453="NR", "North")</f>
        <v>#NAME?</v>
      </c>
      <c r="S453" s="2" t="s">
        <v>159</v>
      </c>
      <c r="T453" s="2" t="str">
        <f t="shared" si="18"/>
        <v>Berlin</v>
      </c>
      <c r="U453" s="12" t="s">
        <v>30</v>
      </c>
      <c r="V453" s="12">
        <f t="shared" si="19"/>
        <v>0.1</v>
      </c>
      <c r="W453" s="13">
        <f t="shared" si="20"/>
        <v>94238.1</v>
      </c>
      <c r="X453" s="2" t="str">
        <f t="shared" si="21"/>
        <v>Normal</v>
      </c>
    </row>
    <row r="454" spans="1:24" ht="14.25" customHeight="1" x14ac:dyDescent="0.5">
      <c r="A454" s="2" t="s">
        <v>1513</v>
      </c>
      <c r="B454" s="2" t="s">
        <v>588</v>
      </c>
      <c r="C454" s="2" t="str">
        <f t="shared" si="11"/>
        <v>Emily Moore</v>
      </c>
      <c r="D454" s="2" t="s">
        <v>105</v>
      </c>
      <c r="E454" s="2" t="str">
        <f t="shared" si="12"/>
        <v>sam@company.com</v>
      </c>
      <c r="F454" s="2" t="s">
        <v>34</v>
      </c>
      <c r="G454" s="3">
        <v>45197</v>
      </c>
      <c r="H454" s="3" t="str">
        <f t="shared" si="13"/>
        <v>28-Sep-2023</v>
      </c>
      <c r="I454" s="10" t="s">
        <v>1514</v>
      </c>
      <c r="J454" s="10">
        <f t="shared" si="14"/>
        <v>42204</v>
      </c>
      <c r="K454" s="11" t="s">
        <v>57</v>
      </c>
      <c r="L454" s="2" t="s">
        <v>112</v>
      </c>
      <c r="M454" s="2" t="str">
        <f t="shared" si="15"/>
        <v>On Leave</v>
      </c>
      <c r="N454" s="2" t="s">
        <v>28</v>
      </c>
      <c r="O454" s="2" t="str">
        <f t="shared" si="16"/>
        <v>Pending Docs</v>
      </c>
      <c r="P454" s="2" t="s">
        <v>1515</v>
      </c>
      <c r="Q454" s="2" t="str">
        <f t="shared" si="17"/>
        <v>ST</v>
      </c>
      <c r="R454" s="2" t="e">
        <f t="array" aca="1" ref="R454" ca="1">_xludf.IFS(Q454="ET", "East", Q454="WT", "West", Q454="ST","South", Q454="NR", "North")</f>
        <v>#NAME?</v>
      </c>
      <c r="S454" s="2" t="s">
        <v>38</v>
      </c>
      <c r="T454" s="2" t="str">
        <f t="shared" si="18"/>
        <v>London</v>
      </c>
      <c r="U454" s="12" t="s">
        <v>22</v>
      </c>
      <c r="V454" s="12">
        <f t="shared" si="19"/>
        <v>0.2</v>
      </c>
      <c r="W454" s="13">
        <f t="shared" si="20"/>
        <v>50644.799999999996</v>
      </c>
      <c r="X454" s="2" t="str">
        <f t="shared" si="21"/>
        <v>Normal</v>
      </c>
    </row>
    <row r="455" spans="1:24" ht="14.25" customHeight="1" x14ac:dyDescent="0.5">
      <c r="A455" s="2" t="s">
        <v>1516</v>
      </c>
      <c r="B455" s="2" t="s">
        <v>137</v>
      </c>
      <c r="C455" s="2" t="str">
        <f t="shared" si="11"/>
        <v>Katie Johnson</v>
      </c>
      <c r="D455" s="2" t="s">
        <v>74</v>
      </c>
      <c r="E455" s="2" t="str">
        <f t="shared" si="12"/>
        <v>mike@company.com</v>
      </c>
      <c r="F455" s="2" t="s">
        <v>50</v>
      </c>
      <c r="G455" s="3">
        <v>44835</v>
      </c>
      <c r="H455" s="3" t="str">
        <f t="shared" si="13"/>
        <v>01-Oct-2022</v>
      </c>
      <c r="I455" s="10" t="s">
        <v>1517</v>
      </c>
      <c r="J455" s="10">
        <f t="shared" si="14"/>
        <v>71131</v>
      </c>
      <c r="K455" s="11" t="s">
        <v>83</v>
      </c>
      <c r="L455" s="2" t="s">
        <v>64</v>
      </c>
      <c r="M455" s="2" t="str">
        <f t="shared" si="15"/>
        <v>Terminated</v>
      </c>
      <c r="N455" s="2" t="s">
        <v>65</v>
      </c>
      <c r="O455" s="2" t="str">
        <f t="shared" si="16"/>
        <v>Follow Up</v>
      </c>
      <c r="P455" s="2" t="s">
        <v>1518</v>
      </c>
      <c r="Q455" s="2" t="str">
        <f t="shared" si="17"/>
        <v>ET</v>
      </c>
      <c r="R455" s="2" t="e">
        <f t="array" aca="1" ref="R455" ca="1">_xludf.IFS(Q455="ET", "East", Q455="WT", "West", Q455="ST","South", Q455="NR", "North")</f>
        <v>#NAME?</v>
      </c>
      <c r="S455" s="2" t="s">
        <v>60</v>
      </c>
      <c r="T455" s="2" t="str">
        <f t="shared" si="18"/>
        <v>Toronto</v>
      </c>
      <c r="U455" s="12" t="s">
        <v>85</v>
      </c>
      <c r="V455" s="12">
        <f t="shared" si="19"/>
        <v>0.15</v>
      </c>
      <c r="W455" s="13">
        <f t="shared" si="20"/>
        <v>81800.649999999994</v>
      </c>
      <c r="X455" s="2" t="str">
        <f t="shared" si="21"/>
        <v>Normal</v>
      </c>
    </row>
    <row r="456" spans="1:24" ht="14.25" customHeight="1" x14ac:dyDescent="0.5">
      <c r="A456" s="2" t="s">
        <v>1519</v>
      </c>
      <c r="B456" s="2" t="s">
        <v>492</v>
      </c>
      <c r="C456" s="2" t="str">
        <f t="shared" si="11"/>
        <v>Sam Brown</v>
      </c>
      <c r="D456" s="2" t="s">
        <v>105</v>
      </c>
      <c r="E456" s="2" t="str">
        <f t="shared" si="12"/>
        <v>sam@company.com</v>
      </c>
      <c r="F456" s="2" t="s">
        <v>69</v>
      </c>
      <c r="G456" s="3">
        <v>44261</v>
      </c>
      <c r="H456" s="3" t="str">
        <f t="shared" si="13"/>
        <v>06-Mar-2021</v>
      </c>
      <c r="I456" s="10" t="s">
        <v>1520</v>
      </c>
      <c r="J456" s="10">
        <f t="shared" si="14"/>
        <v>92428</v>
      </c>
      <c r="K456" s="11" t="s">
        <v>83</v>
      </c>
      <c r="L456" s="2" t="s">
        <v>64</v>
      </c>
      <c r="M456" s="2" t="str">
        <f t="shared" si="15"/>
        <v>Terminated</v>
      </c>
      <c r="O456" s="2" t="str">
        <f t="shared" si="16"/>
        <v>No Notes</v>
      </c>
      <c r="P456" s="2" t="s">
        <v>1521</v>
      </c>
      <c r="Q456" s="2" t="str">
        <f t="shared" si="17"/>
        <v>ET</v>
      </c>
      <c r="R456" s="2" t="e">
        <f t="array" aca="1" ref="R456" ca="1">_xludf.IFS(Q456="ET", "East", Q456="WT", "West", Q456="ST","South", Q456="NR", "North")</f>
        <v>#NAME?</v>
      </c>
      <c r="S456" s="2" t="s">
        <v>47</v>
      </c>
      <c r="T456" s="2" t="str">
        <f t="shared" si="18"/>
        <v>Lagos</v>
      </c>
      <c r="U456" s="12" t="s">
        <v>39</v>
      </c>
      <c r="V456" s="12">
        <f t="shared" si="19"/>
        <v>0.05</v>
      </c>
      <c r="W456" s="13">
        <f t="shared" si="20"/>
        <v>97049.400000000009</v>
      </c>
      <c r="X456" s="2" t="str">
        <f t="shared" si="21"/>
        <v>Normal</v>
      </c>
    </row>
    <row r="457" spans="1:24" ht="14.25" customHeight="1" x14ac:dyDescent="0.5">
      <c r="A457" s="2" t="s">
        <v>1522</v>
      </c>
      <c r="B457" s="2" t="s">
        <v>502</v>
      </c>
      <c r="C457" s="2" t="str">
        <f t="shared" si="11"/>
        <v>John Moore</v>
      </c>
      <c r="D457" s="2" t="s">
        <v>25</v>
      </c>
      <c r="E457" s="2" t="str">
        <f t="shared" si="12"/>
        <v>chris@company.com</v>
      </c>
      <c r="F457" s="2" t="s">
        <v>34</v>
      </c>
      <c r="G457" s="3">
        <v>44557</v>
      </c>
      <c r="H457" s="3" t="str">
        <f t="shared" si="13"/>
        <v>27-Dec-2021</v>
      </c>
      <c r="I457" s="10" t="s">
        <v>1523</v>
      </c>
      <c r="J457" s="10">
        <f t="shared" si="14"/>
        <v>73870</v>
      </c>
      <c r="K457" s="11" t="s">
        <v>36</v>
      </c>
      <c r="L457" s="2" t="s">
        <v>112</v>
      </c>
      <c r="M457" s="2" t="str">
        <f t="shared" si="15"/>
        <v>On Leave</v>
      </c>
      <c r="N457" s="2" t="s">
        <v>107</v>
      </c>
      <c r="O457" s="2" t="str">
        <f t="shared" si="16"/>
        <v>All Clear</v>
      </c>
      <c r="P457" s="2" t="s">
        <v>1524</v>
      </c>
      <c r="Q457" s="2" t="str">
        <f t="shared" si="17"/>
        <v>ST</v>
      </c>
      <c r="R457" s="2" t="e">
        <f t="array" aca="1" ref="R457" ca="1">_xludf.IFS(Q457="ET", "East", Q457="WT", "West", Q457="ST","South", Q457="NR", "North")</f>
        <v>#NAME?</v>
      </c>
      <c r="S457" s="2" t="s">
        <v>47</v>
      </c>
      <c r="T457" s="2" t="str">
        <f t="shared" si="18"/>
        <v>Lagos</v>
      </c>
      <c r="U457" s="12" t="s">
        <v>39</v>
      </c>
      <c r="V457" s="12">
        <f t="shared" si="19"/>
        <v>0.05</v>
      </c>
      <c r="W457" s="13">
        <f t="shared" si="20"/>
        <v>77563.5</v>
      </c>
      <c r="X457" s="2" t="str">
        <f t="shared" si="21"/>
        <v>Normal</v>
      </c>
    </row>
    <row r="458" spans="1:24" ht="14.25" customHeight="1" x14ac:dyDescent="0.5">
      <c r="A458" s="2" t="s">
        <v>1525</v>
      </c>
      <c r="B458" s="2" t="s">
        <v>343</v>
      </c>
      <c r="C458" s="2" t="str">
        <f t="shared" si="11"/>
        <v>Daniel Moore</v>
      </c>
      <c r="D458" s="2" t="s">
        <v>25</v>
      </c>
      <c r="E458" s="2" t="str">
        <f t="shared" si="12"/>
        <v>chris@company.com</v>
      </c>
      <c r="F458" s="2" t="s">
        <v>15</v>
      </c>
      <c r="G458" s="3">
        <v>44680</v>
      </c>
      <c r="H458" s="3" t="str">
        <f t="shared" si="13"/>
        <v>29-Apr-2022</v>
      </c>
      <c r="I458" s="10" t="s">
        <v>1526</v>
      </c>
      <c r="J458" s="10">
        <f t="shared" si="14"/>
        <v>89067</v>
      </c>
      <c r="K458" s="11" t="s">
        <v>44</v>
      </c>
      <c r="L458" s="2" t="s">
        <v>58</v>
      </c>
      <c r="M458" s="2" t="str">
        <f t="shared" si="15"/>
        <v>Terminated</v>
      </c>
      <c r="N458" s="2" t="s">
        <v>28</v>
      </c>
      <c r="O458" s="2" t="str">
        <f t="shared" si="16"/>
        <v>Pending Docs</v>
      </c>
      <c r="P458" s="2" t="s">
        <v>1527</v>
      </c>
      <c r="Q458" s="2" t="str">
        <f t="shared" si="17"/>
        <v>ET</v>
      </c>
      <c r="R458" s="2" t="e">
        <f t="array" aca="1" ref="R458" ca="1">_xludf.IFS(Q458="ET", "East", Q458="WT", "West", Q458="ST","South", Q458="NR", "North")</f>
        <v>#NAME?</v>
      </c>
      <c r="S458" s="2" t="s">
        <v>38</v>
      </c>
      <c r="T458" s="2" t="str">
        <f t="shared" si="18"/>
        <v>London</v>
      </c>
      <c r="U458" s="12" t="s">
        <v>85</v>
      </c>
      <c r="V458" s="12">
        <f t="shared" si="19"/>
        <v>0.15</v>
      </c>
      <c r="W458" s="13">
        <f t="shared" si="20"/>
        <v>102427.04999999999</v>
      </c>
      <c r="X458" s="2" t="str">
        <f t="shared" si="21"/>
        <v>High</v>
      </c>
    </row>
    <row r="459" spans="1:24" ht="14.25" customHeight="1" x14ac:dyDescent="0.5">
      <c r="A459" s="2" t="s">
        <v>1528</v>
      </c>
      <c r="B459" s="2" t="s">
        <v>315</v>
      </c>
      <c r="C459" s="2" t="str">
        <f t="shared" si="11"/>
        <v>Katie Davis</v>
      </c>
      <c r="D459" s="2" t="s">
        <v>235</v>
      </c>
      <c r="E459" s="2" t="str">
        <f t="shared" si="12"/>
        <v>jane@company.com</v>
      </c>
      <c r="F459" s="2" t="s">
        <v>50</v>
      </c>
      <c r="G459" s="3">
        <v>45178</v>
      </c>
      <c r="H459" s="3" t="str">
        <f t="shared" si="13"/>
        <v>09-Sep-2023</v>
      </c>
      <c r="I459" s="10" t="s">
        <v>1529</v>
      </c>
      <c r="J459" s="10">
        <f t="shared" si="14"/>
        <v>98585</v>
      </c>
      <c r="K459" s="11" t="s">
        <v>17</v>
      </c>
      <c r="L459" s="2" t="s">
        <v>64</v>
      </c>
      <c r="M459" s="2" t="str">
        <f t="shared" si="15"/>
        <v>Terminated</v>
      </c>
      <c r="N459" s="2" t="s">
        <v>19</v>
      </c>
      <c r="O459" s="2" t="str">
        <f t="shared" si="16"/>
        <v>Urgent Review</v>
      </c>
      <c r="P459" s="2" t="s">
        <v>1530</v>
      </c>
      <c r="Q459" s="2" t="str">
        <f t="shared" si="17"/>
        <v>NR</v>
      </c>
      <c r="R459" s="2" t="e">
        <f t="array" aca="1" ref="R459" ca="1">_xludf.IFS(Q459="ET", "East", Q459="WT", "West", Q459="ST","South", Q459="NR", "North")</f>
        <v>#NAME?</v>
      </c>
      <c r="S459" s="2" t="s">
        <v>159</v>
      </c>
      <c r="T459" s="2" t="str">
        <f t="shared" si="18"/>
        <v>Berlin</v>
      </c>
      <c r="U459" s="12" t="s">
        <v>30</v>
      </c>
      <c r="V459" s="12">
        <f t="shared" si="19"/>
        <v>0.1</v>
      </c>
      <c r="W459" s="13">
        <f t="shared" si="20"/>
        <v>108443.50000000001</v>
      </c>
      <c r="X459" s="2" t="str">
        <f t="shared" si="21"/>
        <v>High</v>
      </c>
    </row>
    <row r="460" spans="1:24" ht="14.25" customHeight="1" x14ac:dyDescent="0.5">
      <c r="A460" s="2" t="s">
        <v>1531</v>
      </c>
      <c r="B460" s="2" t="s">
        <v>762</v>
      </c>
      <c r="C460" s="2" t="str">
        <f t="shared" si="11"/>
        <v>Sam Davis</v>
      </c>
      <c r="D460" s="2" t="s">
        <v>25</v>
      </c>
      <c r="E460" s="2" t="str">
        <f t="shared" si="12"/>
        <v>chris@company.com</v>
      </c>
      <c r="F460" s="2" t="s">
        <v>100</v>
      </c>
      <c r="G460" s="3">
        <v>44820</v>
      </c>
      <c r="H460" s="3" t="str">
        <f t="shared" si="13"/>
        <v>16-Sep-2022</v>
      </c>
      <c r="I460" s="10" t="s">
        <v>1532</v>
      </c>
      <c r="J460" s="10">
        <f t="shared" si="14"/>
        <v>61607</v>
      </c>
      <c r="K460" s="11" t="s">
        <v>44</v>
      </c>
      <c r="L460" s="2" t="s">
        <v>27</v>
      </c>
      <c r="M460" s="2" t="str">
        <f t="shared" si="15"/>
        <v>On Leave</v>
      </c>
      <c r="O460" s="2" t="str">
        <f t="shared" si="16"/>
        <v>No Notes</v>
      </c>
      <c r="P460" s="2" t="s">
        <v>1533</v>
      </c>
      <c r="Q460" s="2" t="str">
        <f t="shared" si="17"/>
        <v>WT</v>
      </c>
      <c r="R460" s="2" t="e">
        <f t="array" aca="1" ref="R460" ca="1">_xludf.IFS(Q460="ET", "East", Q460="WT", "West", Q460="ST","South", Q460="NR", "North")</f>
        <v>#NAME?</v>
      </c>
      <c r="S460" s="2" t="s">
        <v>96</v>
      </c>
      <c r="T460" s="2" t="str">
        <f t="shared" si="18"/>
        <v>Cairo</v>
      </c>
      <c r="U460" s="12" t="s">
        <v>39</v>
      </c>
      <c r="V460" s="12">
        <f t="shared" si="19"/>
        <v>0.05</v>
      </c>
      <c r="W460" s="13">
        <f t="shared" si="20"/>
        <v>64687.350000000006</v>
      </c>
      <c r="X460" s="2" t="str">
        <f t="shared" si="21"/>
        <v>Normal</v>
      </c>
    </row>
    <row r="461" spans="1:24" ht="14.25" customHeight="1" x14ac:dyDescent="0.5">
      <c r="A461" s="2" t="s">
        <v>1534</v>
      </c>
      <c r="B461" s="2" t="s">
        <v>482</v>
      </c>
      <c r="C461" s="2" t="str">
        <f t="shared" si="11"/>
        <v>Emily Davis</v>
      </c>
      <c r="D461" s="2" t="s">
        <v>14</v>
      </c>
      <c r="E461" s="2" t="str">
        <f t="shared" si="12"/>
        <v>john@company.com</v>
      </c>
      <c r="F461" s="2" t="s">
        <v>34</v>
      </c>
      <c r="G461" s="3">
        <v>44469</v>
      </c>
      <c r="H461" s="3" t="str">
        <f t="shared" si="13"/>
        <v>30-Sep-2021</v>
      </c>
      <c r="I461" s="10" t="s">
        <v>1535</v>
      </c>
      <c r="J461" s="10">
        <f t="shared" si="14"/>
        <v>64968</v>
      </c>
      <c r="K461" s="11" t="s">
        <v>36</v>
      </c>
      <c r="L461" s="2" t="s">
        <v>121</v>
      </c>
      <c r="M461" s="2" t="str">
        <f t="shared" si="15"/>
        <v>On Leave</v>
      </c>
      <c r="N461" s="2" t="s">
        <v>65</v>
      </c>
      <c r="O461" s="2" t="str">
        <f t="shared" si="16"/>
        <v>Follow Up</v>
      </c>
      <c r="P461" s="2" t="s">
        <v>1536</v>
      </c>
      <c r="Q461" s="2" t="str">
        <f t="shared" si="17"/>
        <v>NR</v>
      </c>
      <c r="R461" s="2" t="e">
        <f t="array" aca="1" ref="R461" ca="1">_xludf.IFS(Q461="ET", "East", Q461="WT", "West", Q461="ST","South", Q461="NR", "North")</f>
        <v>#NAME?</v>
      </c>
      <c r="S461" s="2" t="s">
        <v>38</v>
      </c>
      <c r="T461" s="2" t="str">
        <f t="shared" si="18"/>
        <v>London</v>
      </c>
      <c r="U461" s="12" t="s">
        <v>30</v>
      </c>
      <c r="V461" s="12">
        <f t="shared" si="19"/>
        <v>0.1</v>
      </c>
      <c r="W461" s="13">
        <f t="shared" si="20"/>
        <v>71464.800000000003</v>
      </c>
      <c r="X461" s="2" t="str">
        <f t="shared" si="21"/>
        <v>Normal</v>
      </c>
    </row>
    <row r="462" spans="1:24" ht="14.25" customHeight="1" x14ac:dyDescent="0.5">
      <c r="A462" s="2" t="s">
        <v>1537</v>
      </c>
      <c r="B462" s="2" t="s">
        <v>720</v>
      </c>
      <c r="C462" s="2" t="str">
        <f t="shared" si="11"/>
        <v>Sam Lewis</v>
      </c>
      <c r="D462" s="2" t="s">
        <v>99</v>
      </c>
      <c r="E462" s="2" t="str">
        <f t="shared" si="12"/>
        <v>daniel@company.com</v>
      </c>
      <c r="F462" s="2" t="s">
        <v>100</v>
      </c>
      <c r="G462" s="3">
        <v>44250</v>
      </c>
      <c r="H462" s="3" t="str">
        <f t="shared" si="13"/>
        <v>23-Feb-2021</v>
      </c>
      <c r="I462" s="10" t="s">
        <v>1538</v>
      </c>
      <c r="J462" s="10">
        <f t="shared" si="14"/>
        <v>51908</v>
      </c>
      <c r="K462" s="11" t="s">
        <v>17</v>
      </c>
      <c r="L462" s="2" t="s">
        <v>58</v>
      </c>
      <c r="M462" s="2" t="str">
        <f t="shared" si="15"/>
        <v>Terminated</v>
      </c>
      <c r="N462" s="2" t="s">
        <v>107</v>
      </c>
      <c r="O462" s="2" t="str">
        <f t="shared" si="16"/>
        <v>All Clear</v>
      </c>
      <c r="P462" s="2" t="s">
        <v>1539</v>
      </c>
      <c r="Q462" s="2" t="str">
        <f t="shared" si="17"/>
        <v>WT</v>
      </c>
      <c r="R462" s="2" t="e">
        <f t="array" aca="1" ref="R462" ca="1">_xludf.IFS(Q462="ET", "East", Q462="WT", "West", Q462="ST","South", Q462="NR", "North")</f>
        <v>#NAME?</v>
      </c>
      <c r="S462" s="2" t="s">
        <v>96</v>
      </c>
      <c r="T462" s="2" t="str">
        <f t="shared" si="18"/>
        <v>Cairo</v>
      </c>
      <c r="U462" s="12" t="s">
        <v>85</v>
      </c>
      <c r="V462" s="12">
        <f t="shared" si="19"/>
        <v>0.15</v>
      </c>
      <c r="W462" s="13">
        <f t="shared" si="20"/>
        <v>59694.2</v>
      </c>
      <c r="X462" s="2" t="str">
        <f t="shared" si="21"/>
        <v>Normal</v>
      </c>
    </row>
    <row r="463" spans="1:24" ht="14.25" customHeight="1" x14ac:dyDescent="0.5">
      <c r="A463" s="2" t="s">
        <v>1540</v>
      </c>
      <c r="B463" s="2" t="s">
        <v>336</v>
      </c>
      <c r="C463" s="2" t="str">
        <f t="shared" si="11"/>
        <v>Alex Clark</v>
      </c>
      <c r="D463" s="2" t="s">
        <v>25</v>
      </c>
      <c r="E463" s="2" t="str">
        <f t="shared" si="12"/>
        <v>chris@company.com</v>
      </c>
      <c r="F463" s="2" t="s">
        <v>69</v>
      </c>
      <c r="G463" s="3">
        <v>44424</v>
      </c>
      <c r="H463" s="3" t="str">
        <f t="shared" si="13"/>
        <v>16-Aug-2021</v>
      </c>
      <c r="I463" s="10" t="s">
        <v>1541</v>
      </c>
      <c r="J463" s="10">
        <f t="shared" si="14"/>
        <v>66423</v>
      </c>
      <c r="K463" s="11" t="s">
        <v>44</v>
      </c>
      <c r="L463" s="2" t="s">
        <v>89</v>
      </c>
      <c r="M463" s="2" t="str">
        <f t="shared" si="15"/>
        <v>Active</v>
      </c>
      <c r="N463" s="2" t="s">
        <v>19</v>
      </c>
      <c r="O463" s="2" t="str">
        <f t="shared" si="16"/>
        <v>Urgent Review</v>
      </c>
      <c r="P463" s="2" t="s">
        <v>1542</v>
      </c>
      <c r="Q463" s="2" t="str">
        <f t="shared" si="17"/>
        <v>ST</v>
      </c>
      <c r="R463" s="2" t="e">
        <f t="array" aca="1" ref="R463" ca="1">_xludf.IFS(Q463="ET", "East", Q463="WT", "West", Q463="ST","South", Q463="NR", "North")</f>
        <v>#NAME?</v>
      </c>
      <c r="S463" s="2" t="s">
        <v>96</v>
      </c>
      <c r="T463" s="2" t="str">
        <f t="shared" si="18"/>
        <v>Cairo</v>
      </c>
      <c r="U463" s="12" t="s">
        <v>85</v>
      </c>
      <c r="V463" s="12">
        <f t="shared" si="19"/>
        <v>0.15</v>
      </c>
      <c r="W463" s="13">
        <f t="shared" si="20"/>
        <v>76386.45</v>
      </c>
      <c r="X463" s="2" t="str">
        <f t="shared" si="21"/>
        <v>Normal</v>
      </c>
    </row>
    <row r="464" spans="1:24" ht="14.25" customHeight="1" x14ac:dyDescent="0.5">
      <c r="A464" s="2" t="s">
        <v>1543</v>
      </c>
      <c r="B464" s="2" t="s">
        <v>141</v>
      </c>
      <c r="C464" s="2" t="str">
        <f t="shared" si="11"/>
        <v>Mike Clark</v>
      </c>
      <c r="D464" s="2" t="s">
        <v>105</v>
      </c>
      <c r="E464" s="2" t="str">
        <f t="shared" si="12"/>
        <v>sam@company.com</v>
      </c>
      <c r="F464" s="2" t="s">
        <v>15</v>
      </c>
      <c r="G464" s="3">
        <v>44315</v>
      </c>
      <c r="H464" s="3" t="str">
        <f t="shared" si="13"/>
        <v>29-Apr-2021</v>
      </c>
      <c r="I464" s="10" t="s">
        <v>1544</v>
      </c>
      <c r="J464" s="10">
        <f t="shared" si="14"/>
        <v>114707</v>
      </c>
      <c r="K464" s="11" t="s">
        <v>17</v>
      </c>
      <c r="L464" s="2" t="s">
        <v>112</v>
      </c>
      <c r="M464" s="2" t="str">
        <f t="shared" si="15"/>
        <v>On Leave</v>
      </c>
      <c r="N464" s="2" t="s">
        <v>65</v>
      </c>
      <c r="O464" s="2" t="str">
        <f t="shared" si="16"/>
        <v>Follow Up</v>
      </c>
      <c r="P464" s="2" t="s">
        <v>1545</v>
      </c>
      <c r="Q464" s="2" t="str">
        <f t="shared" si="17"/>
        <v>NR</v>
      </c>
      <c r="R464" s="2" t="e">
        <f t="array" aca="1" ref="R464" ca="1">_xludf.IFS(Q464="ET", "East", Q464="WT", "West", Q464="ST","South", Q464="NR", "North")</f>
        <v>#NAME?</v>
      </c>
      <c r="S464" s="2" t="s">
        <v>53</v>
      </c>
      <c r="T464" s="2" t="str">
        <f t="shared" si="18"/>
        <v>Delhi</v>
      </c>
      <c r="U464" s="12" t="s">
        <v>39</v>
      </c>
      <c r="V464" s="12">
        <f t="shared" si="19"/>
        <v>0.05</v>
      </c>
      <c r="W464" s="13">
        <f t="shared" si="20"/>
        <v>120442.35</v>
      </c>
      <c r="X464" s="2" t="str">
        <f t="shared" si="21"/>
        <v>High</v>
      </c>
    </row>
    <row r="465" spans="1:24" ht="14.25" customHeight="1" x14ac:dyDescent="0.5">
      <c r="A465" s="2" t="s">
        <v>1546</v>
      </c>
      <c r="B465" s="2" t="s">
        <v>73</v>
      </c>
      <c r="C465" s="2" t="str">
        <f t="shared" si="11"/>
        <v>Jane Moore</v>
      </c>
      <c r="D465" s="2" t="s">
        <v>25</v>
      </c>
      <c r="E465" s="2" t="str">
        <f t="shared" si="12"/>
        <v>chris@company.com</v>
      </c>
      <c r="F465" s="2" t="s">
        <v>15</v>
      </c>
      <c r="G465" s="3">
        <v>44242</v>
      </c>
      <c r="H465" s="3" t="str">
        <f t="shared" si="13"/>
        <v>15-Feb-2021</v>
      </c>
      <c r="I465" s="10" t="s">
        <v>1547</v>
      </c>
      <c r="J465" s="10">
        <f t="shared" si="14"/>
        <v>118257</v>
      </c>
      <c r="K465" s="11" t="s">
        <v>83</v>
      </c>
      <c r="L465" s="2" t="s">
        <v>58</v>
      </c>
      <c r="M465" s="2" t="str">
        <f t="shared" si="15"/>
        <v>Terminated</v>
      </c>
      <c r="N465" s="2" t="s">
        <v>65</v>
      </c>
      <c r="O465" s="2" t="str">
        <f t="shared" si="16"/>
        <v>Follow Up</v>
      </c>
      <c r="P465" s="2" t="s">
        <v>1548</v>
      </c>
      <c r="Q465" s="2" t="str">
        <f t="shared" si="17"/>
        <v>ST</v>
      </c>
      <c r="R465" s="2" t="e">
        <f t="array" aca="1" ref="R465" ca="1">_xludf.IFS(Q465="ET", "East", Q465="WT", "West", Q465="ST","South", Q465="NR", "North")</f>
        <v>#NAME?</v>
      </c>
      <c r="S465" s="2" t="s">
        <v>53</v>
      </c>
      <c r="T465" s="2" t="str">
        <f t="shared" si="18"/>
        <v>Delhi</v>
      </c>
      <c r="U465" s="12" t="s">
        <v>85</v>
      </c>
      <c r="V465" s="12">
        <f t="shared" si="19"/>
        <v>0.15</v>
      </c>
      <c r="W465" s="13">
        <f t="shared" si="20"/>
        <v>135995.54999999999</v>
      </c>
      <c r="X465" s="2" t="str">
        <f t="shared" si="21"/>
        <v>High</v>
      </c>
    </row>
    <row r="466" spans="1:24" ht="14.25" customHeight="1" x14ac:dyDescent="0.5">
      <c r="A466" s="2" t="s">
        <v>1549</v>
      </c>
      <c r="B466" s="2" t="s">
        <v>453</v>
      </c>
      <c r="C466" s="2" t="str">
        <f t="shared" si="11"/>
        <v>Chris Wilson</v>
      </c>
      <c r="D466" s="2" t="s">
        <v>14</v>
      </c>
      <c r="E466" s="2" t="str">
        <f t="shared" si="12"/>
        <v>john@company.com</v>
      </c>
      <c r="F466" s="2" t="s">
        <v>34</v>
      </c>
      <c r="G466" s="3">
        <v>44766</v>
      </c>
      <c r="H466" s="3" t="str">
        <f t="shared" si="13"/>
        <v>24-Jul-2022</v>
      </c>
      <c r="I466" s="10" t="s">
        <v>1550</v>
      </c>
      <c r="J466" s="10">
        <f t="shared" si="14"/>
        <v>101215</v>
      </c>
      <c r="K466" s="11" t="s">
        <v>44</v>
      </c>
      <c r="L466" s="2" t="s">
        <v>45</v>
      </c>
      <c r="M466" s="2" t="str">
        <f t="shared" si="15"/>
        <v>Active</v>
      </c>
      <c r="N466" s="2" t="s">
        <v>28</v>
      </c>
      <c r="O466" s="2" t="str">
        <f t="shared" si="16"/>
        <v>Pending Docs</v>
      </c>
      <c r="P466" s="2" t="s">
        <v>1551</v>
      </c>
      <c r="Q466" s="2" t="str">
        <f t="shared" si="17"/>
        <v>ST</v>
      </c>
      <c r="R466" s="2" t="e">
        <f t="array" aca="1" ref="R466" ca="1">_xludf.IFS(Q466="ET", "East", Q466="WT", "West", Q466="ST","South", Q466="NR", "North")</f>
        <v>#NAME?</v>
      </c>
      <c r="S466" s="2" t="s">
        <v>159</v>
      </c>
      <c r="T466" s="2" t="str">
        <f t="shared" si="18"/>
        <v>Berlin</v>
      </c>
      <c r="U466" s="12" t="s">
        <v>22</v>
      </c>
      <c r="V466" s="12">
        <f t="shared" si="19"/>
        <v>0.2</v>
      </c>
      <c r="W466" s="13">
        <f t="shared" si="20"/>
        <v>121458</v>
      </c>
      <c r="X466" s="2" t="str">
        <f t="shared" si="21"/>
        <v>High</v>
      </c>
    </row>
    <row r="467" spans="1:24" ht="14.25" customHeight="1" x14ac:dyDescent="0.5">
      <c r="A467" s="2" t="s">
        <v>1552</v>
      </c>
      <c r="B467" s="2" t="s">
        <v>62</v>
      </c>
      <c r="C467" s="2" t="str">
        <f t="shared" si="11"/>
        <v>Chris Brown</v>
      </c>
      <c r="D467" s="2" t="s">
        <v>93</v>
      </c>
      <c r="E467" s="2" t="str">
        <f t="shared" si="12"/>
        <v>k@ie@company.com</v>
      </c>
      <c r="F467" s="2" t="s">
        <v>50</v>
      </c>
      <c r="G467" s="3">
        <v>44938</v>
      </c>
      <c r="H467" s="3" t="str">
        <f t="shared" si="13"/>
        <v>12-Jan-2023</v>
      </c>
      <c r="I467" s="10" t="s">
        <v>1553</v>
      </c>
      <c r="J467" s="10">
        <f t="shared" si="14"/>
        <v>95835</v>
      </c>
      <c r="K467" s="11" t="s">
        <v>17</v>
      </c>
      <c r="L467" s="2" t="s">
        <v>121</v>
      </c>
      <c r="M467" s="2" t="str">
        <f t="shared" si="15"/>
        <v>On Leave</v>
      </c>
      <c r="N467" s="2" t="s">
        <v>28</v>
      </c>
      <c r="O467" s="2" t="str">
        <f t="shared" si="16"/>
        <v>Pending Docs</v>
      </c>
      <c r="P467" s="2" t="s">
        <v>1554</v>
      </c>
      <c r="Q467" s="2" t="str">
        <f t="shared" si="17"/>
        <v>WT</v>
      </c>
      <c r="R467" s="2" t="e">
        <f t="array" aca="1" ref="R467" ca="1">_xludf.IFS(Q467="ET", "East", Q467="WT", "West", Q467="ST","South", Q467="NR", "North")</f>
        <v>#NAME?</v>
      </c>
      <c r="S467" s="2" t="s">
        <v>96</v>
      </c>
      <c r="T467" s="2" t="str">
        <f t="shared" si="18"/>
        <v>Cairo</v>
      </c>
      <c r="U467" s="12" t="s">
        <v>22</v>
      </c>
      <c r="V467" s="12">
        <f t="shared" si="19"/>
        <v>0.2</v>
      </c>
      <c r="W467" s="13">
        <f t="shared" si="20"/>
        <v>115002</v>
      </c>
      <c r="X467" s="2" t="str">
        <f t="shared" si="21"/>
        <v>High</v>
      </c>
    </row>
    <row r="468" spans="1:24" ht="14.25" customHeight="1" x14ac:dyDescent="0.5">
      <c r="A468" s="2" t="s">
        <v>1555</v>
      </c>
      <c r="B468" s="2" t="s">
        <v>425</v>
      </c>
      <c r="C468" s="2" t="str">
        <f t="shared" si="11"/>
        <v>Daniel Smith</v>
      </c>
      <c r="D468" s="2" t="s">
        <v>93</v>
      </c>
      <c r="E468" s="2" t="str">
        <f t="shared" si="12"/>
        <v>k@ie@company.com</v>
      </c>
      <c r="F468" s="2" t="s">
        <v>50</v>
      </c>
      <c r="G468" s="3">
        <v>44967</v>
      </c>
      <c r="H468" s="3" t="str">
        <f t="shared" si="13"/>
        <v>10-Feb-2023</v>
      </c>
      <c r="I468" s="10" t="s">
        <v>1556</v>
      </c>
      <c r="J468" s="10">
        <f t="shared" si="14"/>
        <v>89429</v>
      </c>
      <c r="K468" s="11" t="s">
        <v>17</v>
      </c>
      <c r="L468" s="2" t="s">
        <v>58</v>
      </c>
      <c r="M468" s="2" t="str">
        <f t="shared" si="15"/>
        <v>Terminated</v>
      </c>
      <c r="N468" s="2" t="s">
        <v>19</v>
      </c>
      <c r="O468" s="2" t="str">
        <f t="shared" si="16"/>
        <v>Urgent Review</v>
      </c>
      <c r="P468" s="2" t="s">
        <v>1557</v>
      </c>
      <c r="Q468" s="2" t="str">
        <f t="shared" si="17"/>
        <v>WT</v>
      </c>
      <c r="R468" s="2" t="e">
        <f t="array" aca="1" ref="R468" ca="1">_xludf.IFS(Q468="ET", "East", Q468="WT", "West", Q468="ST","South", Q468="NR", "North")</f>
        <v>#NAME?</v>
      </c>
      <c r="S468" s="2" t="s">
        <v>60</v>
      </c>
      <c r="T468" s="2" t="str">
        <f t="shared" si="18"/>
        <v>Toronto</v>
      </c>
      <c r="U468" s="12" t="s">
        <v>39</v>
      </c>
      <c r="V468" s="12">
        <f t="shared" si="19"/>
        <v>0.05</v>
      </c>
      <c r="W468" s="13">
        <f t="shared" si="20"/>
        <v>93900.45</v>
      </c>
      <c r="X468" s="2" t="str">
        <f t="shared" si="21"/>
        <v>Normal</v>
      </c>
    </row>
    <row r="469" spans="1:24" ht="14.25" customHeight="1" x14ac:dyDescent="0.5">
      <c r="A469" s="2" t="s">
        <v>1558</v>
      </c>
      <c r="B469" s="2" t="s">
        <v>601</v>
      </c>
      <c r="C469" s="2" t="str">
        <f t="shared" si="11"/>
        <v>Sarah Smith</v>
      </c>
      <c r="D469" s="2" t="s">
        <v>49</v>
      </c>
      <c r="E469" s="2" t="str">
        <f t="shared" si="12"/>
        <v>emily@company.com</v>
      </c>
      <c r="F469" s="2" t="s">
        <v>15</v>
      </c>
      <c r="G469" s="3">
        <v>44162</v>
      </c>
      <c r="H469" s="3" t="str">
        <f t="shared" si="13"/>
        <v>27-Nov-2020</v>
      </c>
      <c r="I469" s="10" t="s">
        <v>1559</v>
      </c>
      <c r="J469" s="10">
        <f t="shared" si="14"/>
        <v>78458</v>
      </c>
      <c r="K469" s="11" t="s">
        <v>17</v>
      </c>
      <c r="L469" s="2" t="s">
        <v>27</v>
      </c>
      <c r="M469" s="2" t="str">
        <f t="shared" si="15"/>
        <v>On Leave</v>
      </c>
      <c r="N469" s="2" t="s">
        <v>77</v>
      </c>
      <c r="O469" s="2" t="str">
        <f t="shared" si="16"/>
        <v>All Clear</v>
      </c>
      <c r="P469" s="2" t="s">
        <v>1560</v>
      </c>
      <c r="Q469" s="2" t="str">
        <f t="shared" si="17"/>
        <v>WT</v>
      </c>
      <c r="R469" s="2" t="e">
        <f t="array" aca="1" ref="R469" ca="1">_xludf.IFS(Q469="ET", "East", Q469="WT", "West", Q469="ST","South", Q469="NR", "North")</f>
        <v>#NAME?</v>
      </c>
      <c r="S469" s="2" t="s">
        <v>159</v>
      </c>
      <c r="T469" s="2" t="str">
        <f t="shared" si="18"/>
        <v>Berlin</v>
      </c>
      <c r="U469" s="12" t="s">
        <v>22</v>
      </c>
      <c r="V469" s="12">
        <f t="shared" si="19"/>
        <v>0.2</v>
      </c>
      <c r="W469" s="13">
        <f t="shared" si="20"/>
        <v>94149.599999999991</v>
      </c>
      <c r="X469" s="2" t="str">
        <f t="shared" si="21"/>
        <v>Normal</v>
      </c>
    </row>
    <row r="470" spans="1:24" ht="14.25" customHeight="1" x14ac:dyDescent="0.5">
      <c r="A470" s="2" t="s">
        <v>1561</v>
      </c>
      <c r="B470" s="2" t="s">
        <v>98</v>
      </c>
      <c r="C470" s="2" t="str">
        <f t="shared" si="11"/>
        <v>Katie Smith</v>
      </c>
      <c r="D470" s="2" t="s">
        <v>74</v>
      </c>
      <c r="E470" s="2" t="str">
        <f t="shared" si="12"/>
        <v>mike@company.com</v>
      </c>
      <c r="F470" s="2" t="s">
        <v>50</v>
      </c>
      <c r="G470" s="3">
        <v>45232</v>
      </c>
      <c r="H470" s="3" t="str">
        <f t="shared" si="13"/>
        <v>02-Nov-2023</v>
      </c>
      <c r="I470" s="10" t="s">
        <v>1562</v>
      </c>
      <c r="J470" s="10">
        <f t="shared" si="14"/>
        <v>86169</v>
      </c>
      <c r="K470" s="11" t="s">
        <v>44</v>
      </c>
      <c r="L470" s="2" t="s">
        <v>121</v>
      </c>
      <c r="M470" s="2" t="str">
        <f t="shared" si="15"/>
        <v>On Leave</v>
      </c>
      <c r="N470" s="2" t="s">
        <v>77</v>
      </c>
      <c r="O470" s="2" t="str">
        <f t="shared" si="16"/>
        <v>All Clear</v>
      </c>
      <c r="P470" s="2" t="s">
        <v>1563</v>
      </c>
      <c r="Q470" s="2" t="str">
        <f t="shared" si="17"/>
        <v>NR</v>
      </c>
      <c r="R470" s="2" t="e">
        <f t="array" aca="1" ref="R470" ca="1">_xludf.IFS(Q470="ET", "East", Q470="WT", "West", Q470="ST","South", Q470="NR", "North")</f>
        <v>#NAME?</v>
      </c>
      <c r="S470" s="2" t="s">
        <v>38</v>
      </c>
      <c r="T470" s="2" t="str">
        <f t="shared" si="18"/>
        <v>London</v>
      </c>
      <c r="U470" s="12" t="s">
        <v>30</v>
      </c>
      <c r="V470" s="12">
        <f t="shared" si="19"/>
        <v>0.1</v>
      </c>
      <c r="W470" s="13">
        <f t="shared" si="20"/>
        <v>94785.900000000009</v>
      </c>
      <c r="X470" s="2" t="str">
        <f t="shared" si="21"/>
        <v>Normal</v>
      </c>
    </row>
    <row r="471" spans="1:24" ht="14.25" customHeight="1" x14ac:dyDescent="0.5">
      <c r="A471" s="2" t="s">
        <v>1564</v>
      </c>
      <c r="B471" s="2" t="s">
        <v>889</v>
      </c>
      <c r="C471" s="2" t="str">
        <f t="shared" si="11"/>
        <v>John Wilson</v>
      </c>
      <c r="D471" s="2" t="s">
        <v>33</v>
      </c>
      <c r="E471" s="2" t="str">
        <f t="shared" si="12"/>
        <v>alex@company.com</v>
      </c>
      <c r="F471" s="2" t="s">
        <v>15</v>
      </c>
      <c r="G471" s="3">
        <v>44485</v>
      </c>
      <c r="H471" s="3" t="str">
        <f t="shared" si="13"/>
        <v>16-Oct-2021</v>
      </c>
      <c r="I471" s="10" t="s">
        <v>1565</v>
      </c>
      <c r="J471" s="10">
        <f t="shared" si="14"/>
        <v>47659</v>
      </c>
      <c r="K471" s="11" t="s">
        <v>57</v>
      </c>
      <c r="L471" s="2" t="s">
        <v>45</v>
      </c>
      <c r="M471" s="2" t="str">
        <f t="shared" si="15"/>
        <v>Active</v>
      </c>
      <c r="N471" s="2" t="s">
        <v>65</v>
      </c>
      <c r="O471" s="2" t="str">
        <f t="shared" si="16"/>
        <v>Follow Up</v>
      </c>
      <c r="P471" s="2" t="s">
        <v>1566</v>
      </c>
      <c r="Q471" s="2" t="str">
        <f t="shared" si="17"/>
        <v>ET</v>
      </c>
      <c r="R471" s="2" t="e">
        <f t="array" aca="1" ref="R471" ca="1">_xludf.IFS(Q471="ET", "East", Q471="WT", "West", Q471="ST","South", Q471="NR", "North")</f>
        <v>#NAME?</v>
      </c>
      <c r="S471" s="2" t="s">
        <v>21</v>
      </c>
      <c r="T471" s="2" t="str">
        <f t="shared" si="18"/>
        <v>Sao Paulo</v>
      </c>
      <c r="U471" s="12" t="s">
        <v>39</v>
      </c>
      <c r="V471" s="12">
        <f t="shared" si="19"/>
        <v>0.05</v>
      </c>
      <c r="W471" s="13">
        <f t="shared" si="20"/>
        <v>50041.950000000004</v>
      </c>
      <c r="X471" s="2" t="str">
        <f t="shared" si="21"/>
        <v>Normal</v>
      </c>
    </row>
    <row r="472" spans="1:24" ht="14.25" customHeight="1" x14ac:dyDescent="0.5">
      <c r="A472" s="2" t="s">
        <v>1567</v>
      </c>
      <c r="B472" s="2" t="s">
        <v>198</v>
      </c>
      <c r="C472" s="2" t="str">
        <f t="shared" si="11"/>
        <v>Jane Davis</v>
      </c>
      <c r="D472" s="2" t="s">
        <v>99</v>
      </c>
      <c r="E472" s="2" t="str">
        <f t="shared" si="12"/>
        <v>daniel@company.com</v>
      </c>
      <c r="F472" s="2" t="s">
        <v>34</v>
      </c>
      <c r="G472" s="3">
        <v>43871</v>
      </c>
      <c r="H472" s="3" t="str">
        <f t="shared" si="13"/>
        <v>10-Feb-2020</v>
      </c>
      <c r="I472" s="10" t="s">
        <v>1568</v>
      </c>
      <c r="J472" s="10">
        <f t="shared" si="14"/>
        <v>100614</v>
      </c>
      <c r="K472" s="11" t="s">
        <v>44</v>
      </c>
      <c r="L472" s="2" t="s">
        <v>18</v>
      </c>
      <c r="M472" s="2" t="str">
        <f t="shared" si="15"/>
        <v>Active</v>
      </c>
      <c r="N472" s="2" t="s">
        <v>28</v>
      </c>
      <c r="O472" s="2" t="str">
        <f t="shared" si="16"/>
        <v>Pending Docs</v>
      </c>
      <c r="P472" s="2" t="s">
        <v>1569</v>
      </c>
      <c r="Q472" s="2" t="str">
        <f t="shared" si="17"/>
        <v>WT</v>
      </c>
      <c r="R472" s="2" t="e">
        <f t="array" aca="1" ref="R472" ca="1">_xludf.IFS(Q472="ET", "East", Q472="WT", "West", Q472="ST","South", Q472="NR", "North")</f>
        <v>#NAME?</v>
      </c>
      <c r="S472" s="2" t="s">
        <v>60</v>
      </c>
      <c r="T472" s="2" t="str">
        <f t="shared" si="18"/>
        <v>Toronto</v>
      </c>
      <c r="U472" s="12" t="s">
        <v>39</v>
      </c>
      <c r="V472" s="12">
        <f t="shared" si="19"/>
        <v>0.05</v>
      </c>
      <c r="W472" s="13">
        <f t="shared" si="20"/>
        <v>105644.70000000001</v>
      </c>
      <c r="X472" s="2" t="str">
        <f t="shared" si="21"/>
        <v>High</v>
      </c>
    </row>
    <row r="473" spans="1:24" ht="14.25" customHeight="1" x14ac:dyDescent="0.5">
      <c r="A473" s="2" t="s">
        <v>1570</v>
      </c>
      <c r="B473" s="2" t="s">
        <v>221</v>
      </c>
      <c r="C473" s="2" t="str">
        <f t="shared" si="11"/>
        <v>Chris Moore</v>
      </c>
      <c r="D473" s="2" t="s">
        <v>125</v>
      </c>
      <c r="E473" s="2" t="str">
        <f t="shared" si="12"/>
        <v>sarah@company.com</v>
      </c>
      <c r="F473" s="2" t="s">
        <v>75</v>
      </c>
      <c r="G473" s="3">
        <v>44789</v>
      </c>
      <c r="H473" s="3" t="str">
        <f t="shared" si="13"/>
        <v>16-Aug-2022</v>
      </c>
      <c r="I473" s="10" t="s">
        <v>1571</v>
      </c>
      <c r="J473" s="10">
        <f t="shared" si="14"/>
        <v>117240</v>
      </c>
      <c r="K473" s="11" t="s">
        <v>36</v>
      </c>
      <c r="L473" s="2" t="s">
        <v>112</v>
      </c>
      <c r="M473" s="2" t="str">
        <f t="shared" si="15"/>
        <v>On Leave</v>
      </c>
      <c r="N473" s="2" t="s">
        <v>107</v>
      </c>
      <c r="O473" s="2" t="str">
        <f t="shared" si="16"/>
        <v>All Clear</v>
      </c>
      <c r="P473" s="2" t="s">
        <v>1572</v>
      </c>
      <c r="Q473" s="2" t="str">
        <f t="shared" si="17"/>
        <v>WT</v>
      </c>
      <c r="R473" s="2" t="e">
        <f t="array" aca="1" ref="R473" ca="1">_xludf.IFS(Q473="ET", "East", Q473="WT", "West", Q473="ST","South", Q473="NR", "North")</f>
        <v>#NAME?</v>
      </c>
      <c r="S473" s="2" t="s">
        <v>79</v>
      </c>
      <c r="T473" s="2" t="str">
        <f t="shared" si="18"/>
        <v>New York</v>
      </c>
      <c r="U473" s="12" t="s">
        <v>30</v>
      </c>
      <c r="V473" s="12">
        <f t="shared" si="19"/>
        <v>0.1</v>
      </c>
      <c r="W473" s="13">
        <f t="shared" si="20"/>
        <v>128964.00000000001</v>
      </c>
      <c r="X473" s="2" t="str">
        <f t="shared" si="21"/>
        <v>High</v>
      </c>
    </row>
    <row r="474" spans="1:24" ht="14.25" customHeight="1" x14ac:dyDescent="0.5">
      <c r="A474" s="2" t="s">
        <v>1573</v>
      </c>
      <c r="B474" s="2" t="s">
        <v>41</v>
      </c>
      <c r="C474" s="2" t="str">
        <f t="shared" si="11"/>
        <v>Sam Wilson</v>
      </c>
      <c r="D474" s="2" t="s">
        <v>49</v>
      </c>
      <c r="E474" s="2" t="str">
        <f t="shared" si="12"/>
        <v>emily@company.com</v>
      </c>
      <c r="F474" s="2" t="s">
        <v>15</v>
      </c>
      <c r="G474" s="3">
        <v>43935</v>
      </c>
      <c r="H474" s="3" t="str">
        <f t="shared" si="13"/>
        <v>14-Apr-2020</v>
      </c>
      <c r="I474" s="10" t="s">
        <v>1574</v>
      </c>
      <c r="J474" s="10">
        <f t="shared" si="14"/>
        <v>72793</v>
      </c>
      <c r="K474" s="11" t="s">
        <v>44</v>
      </c>
      <c r="L474" s="2" t="s">
        <v>121</v>
      </c>
      <c r="M474" s="2" t="str">
        <f t="shared" si="15"/>
        <v>On Leave</v>
      </c>
      <c r="N474" s="2" t="s">
        <v>107</v>
      </c>
      <c r="O474" s="2" t="str">
        <f t="shared" si="16"/>
        <v>All Clear</v>
      </c>
      <c r="P474" s="2" t="s">
        <v>1575</v>
      </c>
      <c r="Q474" s="2" t="str">
        <f t="shared" si="17"/>
        <v>NR</v>
      </c>
      <c r="R474" s="2" t="e">
        <f t="array" aca="1" ref="R474" ca="1">_xludf.IFS(Q474="ET", "East", Q474="WT", "West", Q474="ST","South", Q474="NR", "North")</f>
        <v>#NAME?</v>
      </c>
      <c r="S474" s="2" t="s">
        <v>47</v>
      </c>
      <c r="T474" s="2" t="str">
        <f t="shared" si="18"/>
        <v>Lagos</v>
      </c>
      <c r="U474" s="12" t="s">
        <v>22</v>
      </c>
      <c r="V474" s="12">
        <f t="shared" si="19"/>
        <v>0.2</v>
      </c>
      <c r="W474" s="13">
        <f t="shared" si="20"/>
        <v>87351.599999999991</v>
      </c>
      <c r="X474" s="2" t="str">
        <f t="shared" si="21"/>
        <v>Normal</v>
      </c>
    </row>
    <row r="475" spans="1:24" ht="14.25" customHeight="1" x14ac:dyDescent="0.5">
      <c r="A475" s="2" t="s">
        <v>1576</v>
      </c>
      <c r="B475" s="2" t="s">
        <v>308</v>
      </c>
      <c r="C475" s="2" t="str">
        <f t="shared" si="11"/>
        <v>Sam Miller</v>
      </c>
      <c r="D475" s="2" t="s">
        <v>74</v>
      </c>
      <c r="E475" s="2" t="str">
        <f t="shared" si="12"/>
        <v>mike@company.com</v>
      </c>
      <c r="F475" s="2" t="s">
        <v>100</v>
      </c>
      <c r="G475" s="3">
        <v>44032</v>
      </c>
      <c r="H475" s="3" t="str">
        <f t="shared" si="13"/>
        <v>20-Jul-2020</v>
      </c>
      <c r="I475" s="10" t="s">
        <v>1577</v>
      </c>
      <c r="J475" s="10">
        <f t="shared" si="14"/>
        <v>86473</v>
      </c>
      <c r="K475" s="11" t="s">
        <v>17</v>
      </c>
      <c r="L475" s="2" t="s">
        <v>112</v>
      </c>
      <c r="M475" s="2" t="str">
        <f t="shared" si="15"/>
        <v>On Leave</v>
      </c>
      <c r="N475" s="2" t="s">
        <v>65</v>
      </c>
      <c r="O475" s="2" t="str">
        <f t="shared" si="16"/>
        <v>Follow Up</v>
      </c>
      <c r="P475" s="2" t="s">
        <v>1578</v>
      </c>
      <c r="Q475" s="2" t="str">
        <f t="shared" si="17"/>
        <v>WT</v>
      </c>
      <c r="R475" s="2" t="e">
        <f t="array" aca="1" ref="R475" ca="1">_xludf.IFS(Q475="ET", "East", Q475="WT", "West", Q475="ST","South", Q475="NR", "North")</f>
        <v>#NAME?</v>
      </c>
      <c r="S475" s="2" t="s">
        <v>38</v>
      </c>
      <c r="T475" s="2" t="str">
        <f t="shared" si="18"/>
        <v>London</v>
      </c>
      <c r="U475" s="12" t="s">
        <v>22</v>
      </c>
      <c r="V475" s="12">
        <f t="shared" si="19"/>
        <v>0.2</v>
      </c>
      <c r="W475" s="13">
        <f t="shared" si="20"/>
        <v>103767.59999999999</v>
      </c>
      <c r="X475" s="2" t="str">
        <f t="shared" si="21"/>
        <v>High</v>
      </c>
    </row>
    <row r="476" spans="1:24" ht="14.25" customHeight="1" x14ac:dyDescent="0.5">
      <c r="A476" s="2" t="s">
        <v>1579</v>
      </c>
      <c r="B476" s="2" t="s">
        <v>264</v>
      </c>
      <c r="C476" s="2" t="str">
        <f t="shared" si="11"/>
        <v>Daniel Brown</v>
      </c>
      <c r="D476" s="2" t="s">
        <v>93</v>
      </c>
      <c r="E476" s="2" t="str">
        <f t="shared" si="12"/>
        <v>k@ie@company.com</v>
      </c>
      <c r="F476" s="2" t="s">
        <v>50</v>
      </c>
      <c r="G476" s="3">
        <v>44280</v>
      </c>
      <c r="H476" s="3" t="str">
        <f t="shared" si="13"/>
        <v>25-Mar-2021</v>
      </c>
      <c r="I476" s="10" t="s">
        <v>1580</v>
      </c>
      <c r="J476" s="10">
        <f t="shared" si="14"/>
        <v>95751</v>
      </c>
      <c r="K476" s="11" t="s">
        <v>83</v>
      </c>
      <c r="L476" s="2" t="s">
        <v>58</v>
      </c>
      <c r="M476" s="2" t="str">
        <f t="shared" si="15"/>
        <v>Terminated</v>
      </c>
      <c r="N476" s="2" t="s">
        <v>28</v>
      </c>
      <c r="O476" s="2" t="str">
        <f t="shared" si="16"/>
        <v>Pending Docs</v>
      </c>
      <c r="P476" s="2" t="s">
        <v>1581</v>
      </c>
      <c r="Q476" s="2" t="str">
        <f t="shared" si="17"/>
        <v>NR</v>
      </c>
      <c r="R476" s="2" t="e">
        <f t="array" aca="1" ref="R476" ca="1">_xludf.IFS(Q476="ET", "East", Q476="WT", "West", Q476="ST","South", Q476="NR", "North")</f>
        <v>#NAME?</v>
      </c>
      <c r="S476" s="2" t="s">
        <v>38</v>
      </c>
      <c r="T476" s="2" t="str">
        <f t="shared" si="18"/>
        <v>London</v>
      </c>
      <c r="U476" s="12" t="s">
        <v>22</v>
      </c>
      <c r="V476" s="12">
        <f t="shared" si="19"/>
        <v>0.2</v>
      </c>
      <c r="W476" s="13">
        <f t="shared" si="20"/>
        <v>114901.2</v>
      </c>
      <c r="X476" s="2" t="str">
        <f t="shared" si="21"/>
        <v>High</v>
      </c>
    </row>
    <row r="477" spans="1:24" ht="14.25" customHeight="1" x14ac:dyDescent="0.5">
      <c r="A477" s="2" t="s">
        <v>1582</v>
      </c>
      <c r="B477" s="2" t="s">
        <v>1007</v>
      </c>
      <c r="C477" s="2" t="str">
        <f t="shared" si="11"/>
        <v>Sarah Brown</v>
      </c>
      <c r="D477" s="2" t="s">
        <v>105</v>
      </c>
      <c r="E477" s="2" t="str">
        <f t="shared" si="12"/>
        <v>sam@company.com</v>
      </c>
      <c r="F477" s="2" t="s">
        <v>15</v>
      </c>
      <c r="G477" s="3">
        <v>45120</v>
      </c>
      <c r="H477" s="3" t="str">
        <f t="shared" si="13"/>
        <v>13-Jul-2023</v>
      </c>
      <c r="I477" s="10" t="s">
        <v>1583</v>
      </c>
      <c r="J477" s="10">
        <f t="shared" si="14"/>
        <v>118915</v>
      </c>
      <c r="K477" s="11" t="s">
        <v>44</v>
      </c>
      <c r="L477" s="2" t="s">
        <v>64</v>
      </c>
      <c r="M477" s="2" t="str">
        <f t="shared" si="15"/>
        <v>Terminated</v>
      </c>
      <c r="N477" s="2" t="s">
        <v>19</v>
      </c>
      <c r="O477" s="2" t="str">
        <f t="shared" si="16"/>
        <v>Urgent Review</v>
      </c>
      <c r="P477" s="2" t="s">
        <v>1584</v>
      </c>
      <c r="Q477" s="2" t="str">
        <f t="shared" si="17"/>
        <v>ST</v>
      </c>
      <c r="R477" s="2" t="e">
        <f t="array" aca="1" ref="R477" ca="1">_xludf.IFS(Q477="ET", "East", Q477="WT", "West", Q477="ST","South", Q477="NR", "North")</f>
        <v>#NAME?</v>
      </c>
      <c r="S477" s="2" t="s">
        <v>38</v>
      </c>
      <c r="T477" s="2" t="str">
        <f t="shared" si="18"/>
        <v>London</v>
      </c>
      <c r="U477" s="12" t="s">
        <v>39</v>
      </c>
      <c r="V477" s="12">
        <f t="shared" si="19"/>
        <v>0.05</v>
      </c>
      <c r="W477" s="13">
        <f t="shared" si="20"/>
        <v>124860.75</v>
      </c>
      <c r="X477" s="2" t="str">
        <f t="shared" si="21"/>
        <v>High</v>
      </c>
    </row>
    <row r="478" spans="1:24" ht="14.25" customHeight="1" x14ac:dyDescent="0.5">
      <c r="A478" s="2" t="s">
        <v>1585</v>
      </c>
      <c r="B478" s="2" t="s">
        <v>202</v>
      </c>
      <c r="C478" s="2" t="str">
        <f t="shared" si="11"/>
        <v>Chris Lewis</v>
      </c>
      <c r="D478" s="2" t="s">
        <v>125</v>
      </c>
      <c r="E478" s="2" t="str">
        <f t="shared" si="12"/>
        <v>sarah@company.com</v>
      </c>
      <c r="F478" s="2" t="s">
        <v>15</v>
      </c>
      <c r="G478" s="3">
        <v>44740</v>
      </c>
      <c r="H478" s="3" t="str">
        <f t="shared" si="13"/>
        <v>28-Jun-2022</v>
      </c>
      <c r="I478" s="10" t="s">
        <v>1586</v>
      </c>
      <c r="J478" s="10">
        <f t="shared" si="14"/>
        <v>94254</v>
      </c>
      <c r="K478" s="11" t="s">
        <v>44</v>
      </c>
      <c r="L478" s="2" t="s">
        <v>45</v>
      </c>
      <c r="M478" s="2" t="str">
        <f t="shared" si="15"/>
        <v>Active</v>
      </c>
      <c r="N478" s="2" t="s">
        <v>19</v>
      </c>
      <c r="O478" s="2" t="str">
        <f t="shared" si="16"/>
        <v>Urgent Review</v>
      </c>
      <c r="P478" s="2" t="s">
        <v>1587</v>
      </c>
      <c r="Q478" s="2" t="str">
        <f t="shared" si="17"/>
        <v>WT</v>
      </c>
      <c r="R478" s="2" t="e">
        <f t="array" aca="1" ref="R478" ca="1">_xludf.IFS(Q478="ET", "East", Q478="WT", "West", Q478="ST","South", Q478="NR", "North")</f>
        <v>#NAME?</v>
      </c>
      <c r="S478" s="2" t="s">
        <v>60</v>
      </c>
      <c r="T478" s="2" t="str">
        <f t="shared" si="18"/>
        <v>Toronto</v>
      </c>
      <c r="U478" s="12" t="s">
        <v>39</v>
      </c>
      <c r="V478" s="12">
        <f t="shared" si="19"/>
        <v>0.05</v>
      </c>
      <c r="W478" s="13">
        <f t="shared" si="20"/>
        <v>98966.7</v>
      </c>
      <c r="X478" s="2" t="str">
        <f t="shared" si="21"/>
        <v>Normal</v>
      </c>
    </row>
    <row r="479" spans="1:24" ht="14.25" customHeight="1" x14ac:dyDescent="0.5">
      <c r="A479" s="2" t="s">
        <v>1588</v>
      </c>
      <c r="B479" s="2" t="s">
        <v>475</v>
      </c>
      <c r="C479" s="2" t="str">
        <f t="shared" si="11"/>
        <v>Alex Smith</v>
      </c>
      <c r="D479" s="2" t="s">
        <v>74</v>
      </c>
      <c r="E479" s="2" t="str">
        <f t="shared" si="12"/>
        <v>mike@company.com</v>
      </c>
      <c r="F479" s="2" t="s">
        <v>34</v>
      </c>
      <c r="G479" s="3">
        <v>44040</v>
      </c>
      <c r="H479" s="3" t="str">
        <f t="shared" si="13"/>
        <v>28-Jul-2020</v>
      </c>
      <c r="I479" s="10" t="s">
        <v>1589</v>
      </c>
      <c r="J479" s="10">
        <f t="shared" si="14"/>
        <v>47006</v>
      </c>
      <c r="K479" s="11" t="s">
        <v>17</v>
      </c>
      <c r="L479" s="2" t="s">
        <v>18</v>
      </c>
      <c r="M479" s="2" t="str">
        <f t="shared" si="15"/>
        <v>Active</v>
      </c>
      <c r="N479" s="2" t="s">
        <v>19</v>
      </c>
      <c r="O479" s="2" t="str">
        <f t="shared" si="16"/>
        <v>Urgent Review</v>
      </c>
      <c r="P479" s="2" t="s">
        <v>1590</v>
      </c>
      <c r="Q479" s="2" t="str">
        <f t="shared" si="17"/>
        <v>WT</v>
      </c>
      <c r="R479" s="2" t="e">
        <f t="array" aca="1" ref="R479" ca="1">_xludf.IFS(Q479="ET", "East", Q479="WT", "West", Q479="ST","South", Q479="NR", "North")</f>
        <v>#NAME?</v>
      </c>
      <c r="S479" s="2" t="s">
        <v>79</v>
      </c>
      <c r="T479" s="2" t="str">
        <f t="shared" si="18"/>
        <v>New York</v>
      </c>
      <c r="U479" s="12" t="s">
        <v>22</v>
      </c>
      <c r="V479" s="12">
        <f t="shared" si="19"/>
        <v>0.2</v>
      </c>
      <c r="W479" s="13">
        <f t="shared" si="20"/>
        <v>56407.199999999997</v>
      </c>
      <c r="X479" s="2" t="str">
        <f t="shared" si="21"/>
        <v>Normal</v>
      </c>
    </row>
    <row r="480" spans="1:24" ht="14.25" customHeight="1" x14ac:dyDescent="0.5">
      <c r="A480" s="2" t="s">
        <v>1591</v>
      </c>
      <c r="B480" s="2" t="s">
        <v>304</v>
      </c>
      <c r="C480" s="2" t="str">
        <f t="shared" si="11"/>
        <v>Alex Wilson</v>
      </c>
      <c r="D480" s="2" t="s">
        <v>74</v>
      </c>
      <c r="E480" s="2" t="str">
        <f t="shared" si="12"/>
        <v>mike@company.com</v>
      </c>
      <c r="F480" s="2" t="s">
        <v>50</v>
      </c>
      <c r="G480" s="3">
        <v>44393</v>
      </c>
      <c r="H480" s="3" t="str">
        <f t="shared" si="13"/>
        <v>16-Jul-2021</v>
      </c>
      <c r="I480" s="10" t="s">
        <v>1592</v>
      </c>
      <c r="J480" s="10">
        <f t="shared" si="14"/>
        <v>114218</v>
      </c>
      <c r="K480" s="11" t="s">
        <v>83</v>
      </c>
      <c r="L480" s="2" t="s">
        <v>45</v>
      </c>
      <c r="M480" s="2" t="str">
        <f t="shared" si="15"/>
        <v>Active</v>
      </c>
      <c r="N480" s="2" t="s">
        <v>107</v>
      </c>
      <c r="O480" s="2" t="str">
        <f t="shared" si="16"/>
        <v>All Clear</v>
      </c>
      <c r="P480" s="2" t="s">
        <v>1593</v>
      </c>
      <c r="Q480" s="2" t="str">
        <f t="shared" si="17"/>
        <v>ST</v>
      </c>
      <c r="R480" s="2" t="e">
        <f t="array" aca="1" ref="R480" ca="1">_xludf.IFS(Q480="ET", "East", Q480="WT", "West", Q480="ST","South", Q480="NR", "North")</f>
        <v>#NAME?</v>
      </c>
      <c r="S480" s="2" t="s">
        <v>21</v>
      </c>
      <c r="T480" s="2" t="str">
        <f t="shared" si="18"/>
        <v>Sao Paulo</v>
      </c>
      <c r="U480" s="12" t="s">
        <v>85</v>
      </c>
      <c r="V480" s="12">
        <f t="shared" si="19"/>
        <v>0.15</v>
      </c>
      <c r="W480" s="13">
        <f t="shared" si="20"/>
        <v>131350.69999999998</v>
      </c>
      <c r="X480" s="2" t="str">
        <f t="shared" si="21"/>
        <v>High</v>
      </c>
    </row>
    <row r="481" spans="1:24" ht="14.25" customHeight="1" x14ac:dyDescent="0.5">
      <c r="A481" s="2" t="s">
        <v>1594</v>
      </c>
      <c r="B481" s="2" t="s">
        <v>177</v>
      </c>
      <c r="C481" s="2" t="str">
        <f t="shared" si="11"/>
        <v>Alex Miller</v>
      </c>
      <c r="D481" s="2" t="s">
        <v>49</v>
      </c>
      <c r="E481" s="2" t="str">
        <f t="shared" si="12"/>
        <v>emily@company.com</v>
      </c>
      <c r="F481" s="2" t="s">
        <v>75</v>
      </c>
      <c r="G481" s="3">
        <v>44972</v>
      </c>
      <c r="H481" s="3" t="str">
        <f t="shared" si="13"/>
        <v>15-Feb-2023</v>
      </c>
      <c r="I481" s="10" t="s">
        <v>1595</v>
      </c>
      <c r="J481" s="10">
        <f t="shared" si="14"/>
        <v>105344</v>
      </c>
      <c r="K481" s="11" t="s">
        <v>83</v>
      </c>
      <c r="L481" s="2" t="s">
        <v>112</v>
      </c>
      <c r="M481" s="2" t="str">
        <f t="shared" si="15"/>
        <v>On Leave</v>
      </c>
      <c r="N481" s="2" t="s">
        <v>28</v>
      </c>
      <c r="O481" s="2" t="str">
        <f t="shared" si="16"/>
        <v>Pending Docs</v>
      </c>
      <c r="P481" s="2" t="s">
        <v>1596</v>
      </c>
      <c r="Q481" s="2" t="str">
        <f t="shared" si="17"/>
        <v>ST</v>
      </c>
      <c r="R481" s="2" t="e">
        <f t="array" aca="1" ref="R481" ca="1">_xludf.IFS(Q481="ET", "East", Q481="WT", "West", Q481="ST","South", Q481="NR", "North")</f>
        <v>#NAME?</v>
      </c>
      <c r="S481" s="2" t="s">
        <v>159</v>
      </c>
      <c r="T481" s="2" t="str">
        <f t="shared" si="18"/>
        <v>Berlin</v>
      </c>
      <c r="U481" s="12" t="s">
        <v>22</v>
      </c>
      <c r="V481" s="12">
        <f t="shared" si="19"/>
        <v>0.2</v>
      </c>
      <c r="W481" s="13">
        <f t="shared" si="20"/>
        <v>126412.79999999999</v>
      </c>
      <c r="X481" s="2" t="str">
        <f t="shared" si="21"/>
        <v>High</v>
      </c>
    </row>
    <row r="482" spans="1:24" ht="14.25" customHeight="1" x14ac:dyDescent="0.5">
      <c r="A482" s="2" t="s">
        <v>1597</v>
      </c>
      <c r="B482" s="2" t="s">
        <v>98</v>
      </c>
      <c r="C482" s="2" t="str">
        <f t="shared" si="11"/>
        <v>Katie Smith</v>
      </c>
      <c r="D482" s="2" t="s">
        <v>125</v>
      </c>
      <c r="E482" s="2" t="str">
        <f t="shared" si="12"/>
        <v>sarah@company.com</v>
      </c>
      <c r="F482" s="2" t="s">
        <v>34</v>
      </c>
      <c r="G482" s="3">
        <v>44543</v>
      </c>
      <c r="H482" s="3" t="str">
        <f t="shared" si="13"/>
        <v>13-Dec-2021</v>
      </c>
      <c r="I482" s="10" t="s">
        <v>1598</v>
      </c>
      <c r="J482" s="10">
        <f t="shared" si="14"/>
        <v>73840</v>
      </c>
      <c r="K482" s="11" t="s">
        <v>36</v>
      </c>
      <c r="L482" s="2" t="s">
        <v>45</v>
      </c>
      <c r="M482" s="2" t="str">
        <f t="shared" si="15"/>
        <v>Active</v>
      </c>
      <c r="N482" s="2" t="s">
        <v>28</v>
      </c>
      <c r="O482" s="2" t="str">
        <f t="shared" si="16"/>
        <v>Pending Docs</v>
      </c>
      <c r="P482" s="2" t="s">
        <v>1599</v>
      </c>
      <c r="Q482" s="2" t="str">
        <f t="shared" si="17"/>
        <v>ST</v>
      </c>
      <c r="R482" s="2" t="e">
        <f t="array" aca="1" ref="R482" ca="1">_xludf.IFS(Q482="ET", "East", Q482="WT", "West", Q482="ST","South", Q482="NR", "North")</f>
        <v>#NAME?</v>
      </c>
      <c r="S482" s="2" t="s">
        <v>53</v>
      </c>
      <c r="T482" s="2" t="str">
        <f t="shared" si="18"/>
        <v>Delhi</v>
      </c>
      <c r="U482" s="12" t="s">
        <v>30</v>
      </c>
      <c r="V482" s="12">
        <f t="shared" si="19"/>
        <v>0.1</v>
      </c>
      <c r="W482" s="13">
        <f t="shared" si="20"/>
        <v>81224</v>
      </c>
      <c r="X482" s="2" t="str">
        <f t="shared" si="21"/>
        <v>Normal</v>
      </c>
    </row>
    <row r="483" spans="1:24" ht="14.25" customHeight="1" x14ac:dyDescent="0.5">
      <c r="A483" s="2" t="s">
        <v>1600</v>
      </c>
      <c r="B483" s="2" t="s">
        <v>698</v>
      </c>
      <c r="C483" s="2" t="str">
        <f t="shared" si="11"/>
        <v>Emily Wilson</v>
      </c>
      <c r="D483" s="2" t="s">
        <v>235</v>
      </c>
      <c r="E483" s="2" t="str">
        <f t="shared" si="12"/>
        <v>jane@company.com</v>
      </c>
      <c r="F483" s="2" t="s">
        <v>75</v>
      </c>
      <c r="G483" s="3">
        <v>45231</v>
      </c>
      <c r="H483" s="3" t="str">
        <f t="shared" si="13"/>
        <v>01-Nov-2023</v>
      </c>
      <c r="I483" s="10" t="s">
        <v>1601</v>
      </c>
      <c r="J483" s="10">
        <f t="shared" si="14"/>
        <v>72430</v>
      </c>
      <c r="K483" s="11" t="s">
        <v>44</v>
      </c>
      <c r="L483" s="2" t="s">
        <v>18</v>
      </c>
      <c r="M483" s="2" t="str">
        <f t="shared" si="15"/>
        <v>Active</v>
      </c>
      <c r="N483" s="2" t="s">
        <v>107</v>
      </c>
      <c r="O483" s="2" t="str">
        <f t="shared" si="16"/>
        <v>All Clear</v>
      </c>
      <c r="P483" s="2" t="s">
        <v>1602</v>
      </c>
      <c r="Q483" s="2" t="str">
        <f t="shared" si="17"/>
        <v>WT</v>
      </c>
      <c r="R483" s="2" t="e">
        <f t="array" aca="1" ref="R483" ca="1">_xludf.IFS(Q483="ET", "East", Q483="WT", "West", Q483="ST","South", Q483="NR", "North")</f>
        <v>#NAME?</v>
      </c>
      <c r="S483" s="2" t="s">
        <v>79</v>
      </c>
      <c r="T483" s="2" t="str">
        <f t="shared" si="18"/>
        <v>New York</v>
      </c>
      <c r="U483" s="12" t="s">
        <v>39</v>
      </c>
      <c r="V483" s="12">
        <f t="shared" si="19"/>
        <v>0.05</v>
      </c>
      <c r="W483" s="13">
        <f t="shared" si="20"/>
        <v>76051.5</v>
      </c>
      <c r="X483" s="2" t="str">
        <f t="shared" si="21"/>
        <v>Normal</v>
      </c>
    </row>
    <row r="484" spans="1:24" ht="14.25" customHeight="1" x14ac:dyDescent="0.5">
      <c r="A484" s="2" t="s">
        <v>1603</v>
      </c>
      <c r="B484" s="2" t="s">
        <v>293</v>
      </c>
      <c r="C484" s="2" t="str">
        <f t="shared" si="11"/>
        <v>John Taylor</v>
      </c>
      <c r="D484" s="2" t="s">
        <v>33</v>
      </c>
      <c r="E484" s="2" t="str">
        <f t="shared" si="12"/>
        <v>alex@company.com</v>
      </c>
      <c r="F484" s="2" t="s">
        <v>34</v>
      </c>
      <c r="G484" s="3">
        <v>44601</v>
      </c>
      <c r="H484" s="3" t="str">
        <f t="shared" si="13"/>
        <v>09-Feb-2022</v>
      </c>
      <c r="I484" s="10" t="s">
        <v>1604</v>
      </c>
      <c r="J484" s="10">
        <f t="shared" si="14"/>
        <v>63091</v>
      </c>
      <c r="K484" s="11" t="s">
        <v>83</v>
      </c>
      <c r="L484" s="2" t="s">
        <v>64</v>
      </c>
      <c r="M484" s="2" t="str">
        <f t="shared" si="15"/>
        <v>Terminated</v>
      </c>
      <c r="N484" s="2" t="s">
        <v>19</v>
      </c>
      <c r="O484" s="2" t="str">
        <f t="shared" si="16"/>
        <v>Urgent Review</v>
      </c>
      <c r="P484" s="2" t="s">
        <v>1605</v>
      </c>
      <c r="Q484" s="2" t="str">
        <f t="shared" si="17"/>
        <v>ET</v>
      </c>
      <c r="R484" s="2" t="e">
        <f t="array" aca="1" ref="R484" ca="1">_xludf.IFS(Q484="ET", "East", Q484="WT", "West", Q484="ST","South", Q484="NR", "North")</f>
        <v>#NAME?</v>
      </c>
      <c r="S484" s="2" t="s">
        <v>60</v>
      </c>
      <c r="T484" s="2" t="str">
        <f t="shared" si="18"/>
        <v>Toronto</v>
      </c>
      <c r="U484" s="12" t="s">
        <v>30</v>
      </c>
      <c r="V484" s="12">
        <f t="shared" si="19"/>
        <v>0.1</v>
      </c>
      <c r="W484" s="13">
        <f t="shared" si="20"/>
        <v>69400.100000000006</v>
      </c>
      <c r="X484" s="2" t="str">
        <f t="shared" si="21"/>
        <v>Normal</v>
      </c>
    </row>
    <row r="485" spans="1:24" ht="14.25" customHeight="1" x14ac:dyDescent="0.5">
      <c r="A485" s="2" t="s">
        <v>1606</v>
      </c>
      <c r="B485" s="2" t="s">
        <v>81</v>
      </c>
      <c r="C485" s="2" t="str">
        <f t="shared" si="11"/>
        <v>Daniel Johnson</v>
      </c>
      <c r="D485" s="2" t="s">
        <v>235</v>
      </c>
      <c r="E485" s="2" t="str">
        <f t="shared" si="12"/>
        <v>jane@company.com</v>
      </c>
      <c r="F485" s="2" t="s">
        <v>50</v>
      </c>
      <c r="G485" s="3">
        <v>44938</v>
      </c>
      <c r="H485" s="3" t="str">
        <f t="shared" si="13"/>
        <v>12-Jan-2023</v>
      </c>
      <c r="I485" s="10" t="s">
        <v>1607</v>
      </c>
      <c r="J485" s="10">
        <f t="shared" si="14"/>
        <v>72983</v>
      </c>
      <c r="K485" s="11" t="s">
        <v>83</v>
      </c>
      <c r="L485" s="2" t="s">
        <v>58</v>
      </c>
      <c r="M485" s="2" t="str">
        <f t="shared" si="15"/>
        <v>Terminated</v>
      </c>
      <c r="N485" s="2" t="s">
        <v>19</v>
      </c>
      <c r="O485" s="2" t="str">
        <f t="shared" si="16"/>
        <v>Urgent Review</v>
      </c>
      <c r="P485" s="2" t="s">
        <v>1608</v>
      </c>
      <c r="Q485" s="2" t="str">
        <f t="shared" si="17"/>
        <v>ET</v>
      </c>
      <c r="R485" s="2" t="e">
        <f t="array" aca="1" ref="R485" ca="1">_xludf.IFS(Q485="ET", "East", Q485="WT", "West", Q485="ST","South", Q485="NR", "North")</f>
        <v>#NAME?</v>
      </c>
      <c r="S485" s="2" t="s">
        <v>38</v>
      </c>
      <c r="T485" s="2" t="str">
        <f t="shared" si="18"/>
        <v>London</v>
      </c>
      <c r="U485" s="12" t="s">
        <v>30</v>
      </c>
      <c r="V485" s="12">
        <f t="shared" si="19"/>
        <v>0.1</v>
      </c>
      <c r="W485" s="13">
        <f t="shared" si="20"/>
        <v>80281.3</v>
      </c>
      <c r="X485" s="2" t="str">
        <f t="shared" si="21"/>
        <v>Normal</v>
      </c>
    </row>
    <row r="486" spans="1:24" ht="14.25" customHeight="1" x14ac:dyDescent="0.5">
      <c r="A486" s="2" t="s">
        <v>1609</v>
      </c>
      <c r="B486" s="2" t="s">
        <v>145</v>
      </c>
      <c r="C486" s="2" t="str">
        <f t="shared" si="11"/>
        <v>Mike Davis</v>
      </c>
      <c r="D486" s="2" t="s">
        <v>125</v>
      </c>
      <c r="E486" s="2" t="str">
        <f t="shared" si="12"/>
        <v>sarah@company.com</v>
      </c>
      <c r="F486" s="2" t="s">
        <v>42</v>
      </c>
      <c r="G486" s="3">
        <v>44284</v>
      </c>
      <c r="H486" s="3" t="str">
        <f t="shared" si="13"/>
        <v>29-Mar-2021</v>
      </c>
      <c r="I486" s="10" t="s">
        <v>1610</v>
      </c>
      <c r="J486" s="10">
        <f t="shared" si="14"/>
        <v>63989</v>
      </c>
      <c r="K486" s="11" t="s">
        <v>57</v>
      </c>
      <c r="L486" s="2" t="s">
        <v>27</v>
      </c>
      <c r="M486" s="2" t="str">
        <f t="shared" si="15"/>
        <v>On Leave</v>
      </c>
      <c r="N486" s="2" t="s">
        <v>65</v>
      </c>
      <c r="O486" s="2" t="str">
        <f t="shared" si="16"/>
        <v>Follow Up</v>
      </c>
      <c r="P486" s="2" t="s">
        <v>1611</v>
      </c>
      <c r="Q486" s="2" t="str">
        <f t="shared" si="17"/>
        <v>ET</v>
      </c>
      <c r="R486" s="2" t="e">
        <f t="array" aca="1" ref="R486" ca="1">_xludf.IFS(Q486="ET", "East", Q486="WT", "West", Q486="ST","South", Q486="NR", "North")</f>
        <v>#NAME?</v>
      </c>
      <c r="S486" s="2" t="s">
        <v>47</v>
      </c>
      <c r="T486" s="2" t="str">
        <f t="shared" si="18"/>
        <v>Lagos</v>
      </c>
      <c r="U486" s="12" t="s">
        <v>39</v>
      </c>
      <c r="V486" s="12">
        <f t="shared" si="19"/>
        <v>0.05</v>
      </c>
      <c r="W486" s="13">
        <f t="shared" si="20"/>
        <v>67188.45</v>
      </c>
      <c r="X486" s="2" t="str">
        <f t="shared" si="21"/>
        <v>Normal</v>
      </c>
    </row>
    <row r="487" spans="1:24" ht="14.25" customHeight="1" x14ac:dyDescent="0.5">
      <c r="A487" s="2" t="s">
        <v>1612</v>
      </c>
      <c r="B487" s="2" t="s">
        <v>740</v>
      </c>
      <c r="C487" s="2" t="str">
        <f t="shared" si="11"/>
        <v>Mike Smith</v>
      </c>
      <c r="D487" s="2" t="s">
        <v>235</v>
      </c>
      <c r="E487" s="2" t="str">
        <f t="shared" si="12"/>
        <v>jane@company.com</v>
      </c>
      <c r="F487" s="2" t="s">
        <v>50</v>
      </c>
      <c r="G487" s="3">
        <v>44497</v>
      </c>
      <c r="H487" s="3" t="str">
        <f t="shared" si="13"/>
        <v>28-Oct-2021</v>
      </c>
      <c r="I487" s="10" t="s">
        <v>1613</v>
      </c>
      <c r="J487" s="10">
        <f t="shared" si="14"/>
        <v>115451</v>
      </c>
      <c r="K487" s="11" t="s">
        <v>57</v>
      </c>
      <c r="L487" s="2" t="s">
        <v>45</v>
      </c>
      <c r="M487" s="2" t="str">
        <f t="shared" si="15"/>
        <v>Active</v>
      </c>
      <c r="N487" s="2" t="s">
        <v>77</v>
      </c>
      <c r="O487" s="2" t="str">
        <f t="shared" si="16"/>
        <v>All Clear</v>
      </c>
      <c r="P487" s="2" t="s">
        <v>1614</v>
      </c>
      <c r="Q487" s="2" t="str">
        <f t="shared" si="17"/>
        <v>WT</v>
      </c>
      <c r="R487" s="2" t="e">
        <f t="array" aca="1" ref="R487" ca="1">_xludf.IFS(Q487="ET", "East", Q487="WT", "West", Q487="ST","South", Q487="NR", "North")</f>
        <v>#NAME?</v>
      </c>
      <c r="S487" s="2" t="s">
        <v>38</v>
      </c>
      <c r="T487" s="2" t="str">
        <f t="shared" si="18"/>
        <v>London</v>
      </c>
      <c r="U487" s="12" t="s">
        <v>85</v>
      </c>
      <c r="V487" s="12">
        <f t="shared" si="19"/>
        <v>0.15</v>
      </c>
      <c r="W487" s="13">
        <f t="shared" si="20"/>
        <v>132768.65</v>
      </c>
      <c r="X487" s="2" t="str">
        <f t="shared" si="21"/>
        <v>High</v>
      </c>
    </row>
    <row r="488" spans="1:24" ht="14.25" customHeight="1" x14ac:dyDescent="0.5">
      <c r="A488" s="2" t="s">
        <v>1615</v>
      </c>
      <c r="B488" s="2" t="s">
        <v>555</v>
      </c>
      <c r="C488" s="2" t="str">
        <f t="shared" si="11"/>
        <v>Daniel Miller</v>
      </c>
      <c r="D488" s="2" t="s">
        <v>14</v>
      </c>
      <c r="E488" s="2" t="str">
        <f t="shared" si="12"/>
        <v>john@company.com</v>
      </c>
      <c r="F488" s="2" t="s">
        <v>50</v>
      </c>
      <c r="G488" s="3">
        <v>44459</v>
      </c>
      <c r="H488" s="3" t="str">
        <f t="shared" si="13"/>
        <v>20-Sep-2021</v>
      </c>
      <c r="I488" s="10" t="s">
        <v>1616</v>
      </c>
      <c r="J488" s="10">
        <f t="shared" si="14"/>
        <v>58990</v>
      </c>
      <c r="K488" s="11" t="s">
        <v>83</v>
      </c>
      <c r="L488" s="2" t="s">
        <v>121</v>
      </c>
      <c r="M488" s="2" t="str">
        <f t="shared" si="15"/>
        <v>On Leave</v>
      </c>
      <c r="O488" s="2" t="str">
        <f t="shared" si="16"/>
        <v>No Notes</v>
      </c>
      <c r="P488" s="2" t="s">
        <v>1617</v>
      </c>
      <c r="Q488" s="2" t="str">
        <f t="shared" si="17"/>
        <v>ST</v>
      </c>
      <c r="R488" s="2" t="e">
        <f t="array" aca="1" ref="R488" ca="1">_xludf.IFS(Q488="ET", "East", Q488="WT", "West", Q488="ST","South", Q488="NR", "North")</f>
        <v>#NAME?</v>
      </c>
      <c r="S488" s="2" t="s">
        <v>159</v>
      </c>
      <c r="T488" s="2" t="str">
        <f t="shared" si="18"/>
        <v>Berlin</v>
      </c>
      <c r="U488" s="12" t="s">
        <v>22</v>
      </c>
      <c r="V488" s="12">
        <f t="shared" si="19"/>
        <v>0.2</v>
      </c>
      <c r="W488" s="13">
        <f t="shared" si="20"/>
        <v>70788</v>
      </c>
      <c r="X488" s="2" t="str">
        <f t="shared" si="21"/>
        <v>Normal</v>
      </c>
    </row>
    <row r="489" spans="1:24" ht="14.25" customHeight="1" x14ac:dyDescent="0.5">
      <c r="A489" s="2" t="s">
        <v>1618</v>
      </c>
      <c r="B489" s="2" t="s">
        <v>55</v>
      </c>
      <c r="C489" s="2" t="str">
        <f t="shared" si="11"/>
        <v>Alex Moore</v>
      </c>
      <c r="D489" s="2" t="s">
        <v>93</v>
      </c>
      <c r="E489" s="2" t="str">
        <f t="shared" si="12"/>
        <v>k@ie@company.com</v>
      </c>
      <c r="F489" s="2" t="s">
        <v>75</v>
      </c>
      <c r="G489" s="3">
        <v>44217</v>
      </c>
      <c r="H489" s="3" t="str">
        <f t="shared" si="13"/>
        <v>21-Jan-2021</v>
      </c>
      <c r="I489" s="10" t="s">
        <v>1619</v>
      </c>
      <c r="J489" s="10">
        <f t="shared" si="14"/>
        <v>76081</v>
      </c>
      <c r="K489" s="11" t="s">
        <v>36</v>
      </c>
      <c r="L489" s="2" t="s">
        <v>27</v>
      </c>
      <c r="M489" s="2" t="str">
        <f t="shared" si="15"/>
        <v>On Leave</v>
      </c>
      <c r="N489" s="2" t="s">
        <v>77</v>
      </c>
      <c r="O489" s="2" t="str">
        <f t="shared" si="16"/>
        <v>All Clear</v>
      </c>
      <c r="P489" s="2" t="s">
        <v>1620</v>
      </c>
      <c r="Q489" s="2" t="str">
        <f t="shared" si="17"/>
        <v>WT</v>
      </c>
      <c r="R489" s="2" t="e">
        <f t="array" aca="1" ref="R489" ca="1">_xludf.IFS(Q489="ET", "East", Q489="WT", "West", Q489="ST","South", Q489="NR", "North")</f>
        <v>#NAME?</v>
      </c>
      <c r="S489" s="2" t="s">
        <v>96</v>
      </c>
      <c r="T489" s="2" t="str">
        <f t="shared" si="18"/>
        <v>Cairo</v>
      </c>
      <c r="U489" s="12" t="s">
        <v>30</v>
      </c>
      <c r="V489" s="12">
        <f t="shared" si="19"/>
        <v>0.1</v>
      </c>
      <c r="W489" s="13">
        <f t="shared" si="20"/>
        <v>83689.100000000006</v>
      </c>
      <c r="X489" s="2" t="str">
        <f t="shared" si="21"/>
        <v>Normal</v>
      </c>
    </row>
    <row r="490" spans="1:24" ht="14.25" customHeight="1" x14ac:dyDescent="0.5">
      <c r="A490" s="2" t="s">
        <v>1621</v>
      </c>
      <c r="B490" s="2" t="s">
        <v>55</v>
      </c>
      <c r="C490" s="2" t="str">
        <f t="shared" si="11"/>
        <v>Alex Moore</v>
      </c>
      <c r="D490" s="2" t="s">
        <v>14</v>
      </c>
      <c r="E490" s="2" t="str">
        <f t="shared" si="12"/>
        <v>john@company.com</v>
      </c>
      <c r="F490" s="2" t="s">
        <v>75</v>
      </c>
      <c r="G490" s="3">
        <v>45204</v>
      </c>
      <c r="H490" s="3" t="str">
        <f t="shared" si="13"/>
        <v>05-Oct-2023</v>
      </c>
      <c r="I490" s="10" t="s">
        <v>1622</v>
      </c>
      <c r="J490" s="10">
        <f t="shared" si="14"/>
        <v>51033</v>
      </c>
      <c r="K490" s="11" t="s">
        <v>83</v>
      </c>
      <c r="L490" s="2" t="s">
        <v>112</v>
      </c>
      <c r="M490" s="2" t="str">
        <f t="shared" si="15"/>
        <v>On Leave</v>
      </c>
      <c r="N490" s="2" t="s">
        <v>28</v>
      </c>
      <c r="O490" s="2" t="str">
        <f t="shared" si="16"/>
        <v>Pending Docs</v>
      </c>
      <c r="P490" s="2" t="s">
        <v>1623</v>
      </c>
      <c r="Q490" s="2" t="str">
        <f t="shared" si="17"/>
        <v>ST</v>
      </c>
      <c r="R490" s="2" t="e">
        <f t="array" aca="1" ref="R490" ca="1">_xludf.IFS(Q490="ET", "East", Q490="WT", "West", Q490="ST","South", Q490="NR", "North")</f>
        <v>#NAME?</v>
      </c>
      <c r="S490" s="2" t="s">
        <v>47</v>
      </c>
      <c r="T490" s="2" t="str">
        <f t="shared" si="18"/>
        <v>Lagos</v>
      </c>
      <c r="U490" s="12" t="s">
        <v>39</v>
      </c>
      <c r="V490" s="12">
        <f t="shared" si="19"/>
        <v>0.05</v>
      </c>
      <c r="W490" s="13">
        <f t="shared" si="20"/>
        <v>53584.65</v>
      </c>
      <c r="X490" s="2" t="str">
        <f t="shared" si="21"/>
        <v>Normal</v>
      </c>
    </row>
    <row r="491" spans="1:24" ht="14.25" customHeight="1" x14ac:dyDescent="0.5">
      <c r="A491" s="2" t="s">
        <v>1624</v>
      </c>
      <c r="B491" s="2" t="s">
        <v>24</v>
      </c>
      <c r="C491" s="2" t="str">
        <f t="shared" si="11"/>
        <v>Chris Davis</v>
      </c>
      <c r="D491" s="2" t="s">
        <v>25</v>
      </c>
      <c r="E491" s="2" t="str">
        <f t="shared" si="12"/>
        <v>chris@company.com</v>
      </c>
      <c r="F491" s="2" t="s">
        <v>50</v>
      </c>
      <c r="G491" s="3">
        <v>44126</v>
      </c>
      <c r="H491" s="3" t="str">
        <f t="shared" si="13"/>
        <v>22-Oct-2020</v>
      </c>
      <c r="I491" s="10" t="s">
        <v>1625</v>
      </c>
      <c r="J491" s="10">
        <f t="shared" si="14"/>
        <v>56241</v>
      </c>
      <c r="K491" s="11" t="s">
        <v>17</v>
      </c>
      <c r="L491" s="2" t="s">
        <v>58</v>
      </c>
      <c r="M491" s="2" t="str">
        <f t="shared" si="15"/>
        <v>Terminated</v>
      </c>
      <c r="N491" s="2" t="s">
        <v>28</v>
      </c>
      <c r="O491" s="2" t="str">
        <f t="shared" si="16"/>
        <v>Pending Docs</v>
      </c>
      <c r="P491" s="2" t="s">
        <v>1626</v>
      </c>
      <c r="Q491" s="2" t="str">
        <f t="shared" si="17"/>
        <v>WT</v>
      </c>
      <c r="R491" s="2" t="e">
        <f t="array" aca="1" ref="R491" ca="1">_xludf.IFS(Q491="ET", "East", Q491="WT", "West", Q491="ST","South", Q491="NR", "North")</f>
        <v>#NAME?</v>
      </c>
      <c r="S491" s="2" t="s">
        <v>38</v>
      </c>
      <c r="T491" s="2" t="str">
        <f t="shared" si="18"/>
        <v>London</v>
      </c>
      <c r="U491" s="12" t="s">
        <v>30</v>
      </c>
      <c r="V491" s="12">
        <f t="shared" si="19"/>
        <v>0.1</v>
      </c>
      <c r="W491" s="13">
        <f t="shared" si="20"/>
        <v>61865.100000000006</v>
      </c>
      <c r="X491" s="2" t="str">
        <f t="shared" si="21"/>
        <v>Normal</v>
      </c>
    </row>
    <row r="492" spans="1:24" ht="14.25" customHeight="1" x14ac:dyDescent="0.5">
      <c r="A492" s="2" t="s">
        <v>1627</v>
      </c>
      <c r="B492" s="2" t="s">
        <v>161</v>
      </c>
      <c r="C492" s="2" t="str">
        <f t="shared" si="11"/>
        <v>Alex Johnson</v>
      </c>
      <c r="D492" s="2" t="s">
        <v>235</v>
      </c>
      <c r="E492" s="2" t="str">
        <f t="shared" si="12"/>
        <v>jane@company.com</v>
      </c>
      <c r="F492" s="2" t="s">
        <v>50</v>
      </c>
      <c r="G492" s="3">
        <v>44088</v>
      </c>
      <c r="H492" s="3" t="str">
        <f t="shared" si="13"/>
        <v>14-Sep-2020</v>
      </c>
      <c r="I492" s="10" t="s">
        <v>1628</v>
      </c>
      <c r="J492" s="10">
        <f t="shared" si="14"/>
        <v>45939</v>
      </c>
      <c r="K492" s="11" t="s">
        <v>44</v>
      </c>
      <c r="L492" s="2" t="s">
        <v>89</v>
      </c>
      <c r="M492" s="2" t="str">
        <f t="shared" si="15"/>
        <v>Active</v>
      </c>
      <c r="N492" s="2" t="s">
        <v>28</v>
      </c>
      <c r="O492" s="2" t="str">
        <f t="shared" si="16"/>
        <v>Pending Docs</v>
      </c>
      <c r="P492" s="2" t="s">
        <v>1629</v>
      </c>
      <c r="Q492" s="2" t="str">
        <f t="shared" si="17"/>
        <v>WT</v>
      </c>
      <c r="R492" s="2" t="e">
        <f t="array" aca="1" ref="R492" ca="1">_xludf.IFS(Q492="ET", "East", Q492="WT", "West", Q492="ST","South", Q492="NR", "North")</f>
        <v>#NAME?</v>
      </c>
      <c r="S492" s="2" t="s">
        <v>21</v>
      </c>
      <c r="T492" s="2" t="str">
        <f t="shared" si="18"/>
        <v>Sao Paulo</v>
      </c>
      <c r="U492" s="12" t="s">
        <v>22</v>
      </c>
      <c r="V492" s="12">
        <f t="shared" si="19"/>
        <v>0.2</v>
      </c>
      <c r="W492" s="13">
        <f t="shared" si="20"/>
        <v>55126.799999999996</v>
      </c>
      <c r="X492" s="2" t="str">
        <f t="shared" si="21"/>
        <v>Normal</v>
      </c>
    </row>
    <row r="493" spans="1:24" ht="14.25" customHeight="1" x14ac:dyDescent="0.5">
      <c r="A493" s="2" t="s">
        <v>1630</v>
      </c>
      <c r="B493" s="2" t="s">
        <v>492</v>
      </c>
      <c r="C493" s="2" t="str">
        <f t="shared" si="11"/>
        <v>Sam Brown</v>
      </c>
      <c r="D493" s="2" t="s">
        <v>25</v>
      </c>
      <c r="E493" s="2" t="str">
        <f t="shared" si="12"/>
        <v>chris@company.com</v>
      </c>
      <c r="F493" s="2" t="s">
        <v>50</v>
      </c>
      <c r="G493" s="3">
        <v>44935</v>
      </c>
      <c r="H493" s="3" t="str">
        <f t="shared" si="13"/>
        <v>09-Jan-2023</v>
      </c>
      <c r="I493" s="10" t="s">
        <v>1631</v>
      </c>
      <c r="J493" s="10">
        <f t="shared" si="14"/>
        <v>87562</v>
      </c>
      <c r="K493" s="11" t="s">
        <v>36</v>
      </c>
      <c r="L493" s="2" t="s">
        <v>58</v>
      </c>
      <c r="M493" s="2" t="str">
        <f t="shared" si="15"/>
        <v>Terminated</v>
      </c>
      <c r="N493" s="2" t="s">
        <v>77</v>
      </c>
      <c r="O493" s="2" t="str">
        <f t="shared" si="16"/>
        <v>All Clear</v>
      </c>
      <c r="P493" s="2" t="s">
        <v>1632</v>
      </c>
      <c r="Q493" s="2" t="str">
        <f t="shared" si="17"/>
        <v>ST</v>
      </c>
      <c r="R493" s="2" t="e">
        <f t="array" aca="1" ref="R493" ca="1">_xludf.IFS(Q493="ET", "East", Q493="WT", "West", Q493="ST","South", Q493="NR", "North")</f>
        <v>#NAME?</v>
      </c>
      <c r="S493" s="2" t="s">
        <v>47</v>
      </c>
      <c r="T493" s="2" t="str">
        <f t="shared" si="18"/>
        <v>Lagos</v>
      </c>
      <c r="U493" s="12" t="s">
        <v>85</v>
      </c>
      <c r="V493" s="12">
        <f t="shared" si="19"/>
        <v>0.15</v>
      </c>
      <c r="W493" s="13">
        <f t="shared" si="20"/>
        <v>100696.29999999999</v>
      </c>
      <c r="X493" s="2" t="str">
        <f t="shared" si="21"/>
        <v>High</v>
      </c>
    </row>
    <row r="494" spans="1:24" ht="14.25" customHeight="1" x14ac:dyDescent="0.5">
      <c r="A494" s="2" t="s">
        <v>1633</v>
      </c>
      <c r="B494" s="2" t="s">
        <v>656</v>
      </c>
      <c r="C494" s="2" t="str">
        <f t="shared" si="11"/>
        <v>Alex Taylor</v>
      </c>
      <c r="D494" s="2" t="s">
        <v>105</v>
      </c>
      <c r="E494" s="2" t="str">
        <f t="shared" si="12"/>
        <v>sam@company.com</v>
      </c>
      <c r="F494" s="2" t="s">
        <v>75</v>
      </c>
      <c r="G494" s="3">
        <v>44098</v>
      </c>
      <c r="H494" s="3" t="str">
        <f t="shared" si="13"/>
        <v>24-Sep-2020</v>
      </c>
      <c r="I494" s="10" t="s">
        <v>1634</v>
      </c>
      <c r="J494" s="10">
        <f t="shared" si="14"/>
        <v>75063</v>
      </c>
      <c r="K494" s="11" t="s">
        <v>17</v>
      </c>
      <c r="L494" s="2" t="s">
        <v>45</v>
      </c>
      <c r="M494" s="2" t="str">
        <f t="shared" si="15"/>
        <v>Active</v>
      </c>
      <c r="O494" s="2" t="str">
        <f t="shared" si="16"/>
        <v>No Notes</v>
      </c>
      <c r="P494" s="2" t="s">
        <v>1635</v>
      </c>
      <c r="Q494" s="2" t="str">
        <f t="shared" si="17"/>
        <v>ET</v>
      </c>
      <c r="R494" s="2" t="e">
        <f t="array" aca="1" ref="R494" ca="1">_xludf.IFS(Q494="ET", "East", Q494="WT", "West", Q494="ST","South", Q494="NR", "North")</f>
        <v>#NAME?</v>
      </c>
      <c r="S494" s="2" t="s">
        <v>96</v>
      </c>
      <c r="T494" s="2" t="str">
        <f t="shared" si="18"/>
        <v>Cairo</v>
      </c>
      <c r="U494" s="12" t="s">
        <v>85</v>
      </c>
      <c r="V494" s="12">
        <f t="shared" si="19"/>
        <v>0.15</v>
      </c>
      <c r="W494" s="13">
        <f t="shared" si="20"/>
        <v>86322.45</v>
      </c>
      <c r="X494" s="2" t="str">
        <f t="shared" si="21"/>
        <v>Normal</v>
      </c>
    </row>
    <row r="495" spans="1:24" ht="14.25" customHeight="1" x14ac:dyDescent="0.5">
      <c r="A495" s="2" t="s">
        <v>1636</v>
      </c>
      <c r="B495" s="2" t="s">
        <v>145</v>
      </c>
      <c r="C495" s="2" t="str">
        <f t="shared" si="11"/>
        <v>Mike Davis</v>
      </c>
      <c r="D495" s="2" t="s">
        <v>99</v>
      </c>
      <c r="E495" s="2" t="str">
        <f t="shared" si="12"/>
        <v>daniel@company.com</v>
      </c>
      <c r="F495" s="2" t="s">
        <v>50</v>
      </c>
      <c r="G495" s="3">
        <v>44249</v>
      </c>
      <c r="H495" s="3" t="str">
        <f t="shared" si="13"/>
        <v>22-Feb-2021</v>
      </c>
      <c r="I495" s="10" t="s">
        <v>1637</v>
      </c>
      <c r="J495" s="10">
        <f t="shared" si="14"/>
        <v>116721</v>
      </c>
      <c r="K495" s="11" t="s">
        <v>36</v>
      </c>
      <c r="L495" s="2" t="s">
        <v>121</v>
      </c>
      <c r="M495" s="2" t="str">
        <f t="shared" si="15"/>
        <v>On Leave</v>
      </c>
      <c r="N495" s="2" t="s">
        <v>65</v>
      </c>
      <c r="O495" s="2" t="str">
        <f t="shared" si="16"/>
        <v>Follow Up</v>
      </c>
      <c r="P495" s="2" t="s">
        <v>1638</v>
      </c>
      <c r="Q495" s="2" t="str">
        <f t="shared" si="17"/>
        <v>ST</v>
      </c>
      <c r="R495" s="2" t="e">
        <f t="array" aca="1" ref="R495" ca="1">_xludf.IFS(Q495="ET", "East", Q495="WT", "West", Q495="ST","South", Q495="NR", "North")</f>
        <v>#NAME?</v>
      </c>
      <c r="S495" s="2" t="s">
        <v>53</v>
      </c>
      <c r="T495" s="2" t="str">
        <f t="shared" si="18"/>
        <v>Delhi</v>
      </c>
      <c r="U495" s="12" t="s">
        <v>85</v>
      </c>
      <c r="V495" s="12">
        <f t="shared" si="19"/>
        <v>0.15</v>
      </c>
      <c r="W495" s="13">
        <f t="shared" si="20"/>
        <v>134229.15</v>
      </c>
      <c r="X495" s="2" t="str">
        <f t="shared" si="21"/>
        <v>High</v>
      </c>
    </row>
    <row r="496" spans="1:24" ht="14.25" customHeight="1" x14ac:dyDescent="0.5">
      <c r="A496" s="2" t="s">
        <v>1639</v>
      </c>
      <c r="B496" s="2" t="s">
        <v>685</v>
      </c>
      <c r="C496" s="2" t="str">
        <f t="shared" si="11"/>
        <v>Alex Lewis</v>
      </c>
      <c r="D496" s="2" t="s">
        <v>105</v>
      </c>
      <c r="E496" s="2" t="str">
        <f t="shared" si="12"/>
        <v>sam@company.com</v>
      </c>
      <c r="F496" s="2" t="s">
        <v>50</v>
      </c>
      <c r="G496" s="3">
        <v>44065</v>
      </c>
      <c r="H496" s="3" t="str">
        <f t="shared" si="13"/>
        <v>22-Aug-2020</v>
      </c>
      <c r="I496" s="10" t="s">
        <v>1640</v>
      </c>
      <c r="J496" s="10">
        <f t="shared" si="14"/>
        <v>67045</v>
      </c>
      <c r="K496" s="11" t="s">
        <v>17</v>
      </c>
      <c r="L496" s="2" t="s">
        <v>64</v>
      </c>
      <c r="M496" s="2" t="str">
        <f t="shared" si="15"/>
        <v>Terminated</v>
      </c>
      <c r="N496" s="2" t="s">
        <v>77</v>
      </c>
      <c r="O496" s="2" t="str">
        <f t="shared" si="16"/>
        <v>All Clear</v>
      </c>
      <c r="P496" s="2" t="s">
        <v>1641</v>
      </c>
      <c r="Q496" s="2" t="str">
        <f t="shared" si="17"/>
        <v>NR</v>
      </c>
      <c r="R496" s="2" t="e">
        <f t="array" aca="1" ref="R496" ca="1">_xludf.IFS(Q496="ET", "East", Q496="WT", "West", Q496="ST","South", Q496="NR", "North")</f>
        <v>#NAME?</v>
      </c>
      <c r="S496" s="2" t="s">
        <v>79</v>
      </c>
      <c r="T496" s="2" t="str">
        <f t="shared" si="18"/>
        <v>New York</v>
      </c>
      <c r="U496" s="12" t="s">
        <v>39</v>
      </c>
      <c r="V496" s="12">
        <f t="shared" si="19"/>
        <v>0.05</v>
      </c>
      <c r="W496" s="13">
        <f t="shared" si="20"/>
        <v>70397.25</v>
      </c>
      <c r="X496" s="2" t="str">
        <f t="shared" si="21"/>
        <v>Normal</v>
      </c>
    </row>
    <row r="497" spans="1:24" ht="14.25" customHeight="1" x14ac:dyDescent="0.5">
      <c r="A497" s="2" t="s">
        <v>1642</v>
      </c>
      <c r="B497" s="2" t="s">
        <v>1429</v>
      </c>
      <c r="C497" s="2" t="str">
        <f t="shared" si="11"/>
        <v>Chris Miller</v>
      </c>
      <c r="D497" s="2" t="s">
        <v>125</v>
      </c>
      <c r="E497" s="2" t="str">
        <f t="shared" si="12"/>
        <v>sarah@company.com</v>
      </c>
      <c r="F497" s="2" t="s">
        <v>69</v>
      </c>
      <c r="G497" s="3">
        <v>45165</v>
      </c>
      <c r="H497" s="3" t="str">
        <f t="shared" si="13"/>
        <v>27-Aug-2023</v>
      </c>
      <c r="I497" s="10" t="s">
        <v>1643</v>
      </c>
      <c r="J497" s="10">
        <f t="shared" si="14"/>
        <v>84769</v>
      </c>
      <c r="K497" s="11" t="s">
        <v>44</v>
      </c>
      <c r="L497" s="2" t="s">
        <v>58</v>
      </c>
      <c r="M497" s="2" t="str">
        <f t="shared" si="15"/>
        <v>Terminated</v>
      </c>
      <c r="O497" s="2" t="str">
        <f t="shared" si="16"/>
        <v>No Notes</v>
      </c>
      <c r="P497" s="2" t="s">
        <v>1644</v>
      </c>
      <c r="Q497" s="2" t="str">
        <f t="shared" si="17"/>
        <v>NR</v>
      </c>
      <c r="R497" s="2" t="e">
        <f t="array" aca="1" ref="R497" ca="1">_xludf.IFS(Q497="ET", "East", Q497="WT", "West", Q497="ST","South", Q497="NR", "North")</f>
        <v>#NAME?</v>
      </c>
      <c r="S497" s="2" t="s">
        <v>60</v>
      </c>
      <c r="T497" s="2" t="str">
        <f t="shared" si="18"/>
        <v>Toronto</v>
      </c>
      <c r="U497" s="12" t="s">
        <v>39</v>
      </c>
      <c r="V497" s="12">
        <f t="shared" si="19"/>
        <v>0.05</v>
      </c>
      <c r="W497" s="13">
        <f t="shared" si="20"/>
        <v>89007.45</v>
      </c>
      <c r="X497" s="2" t="str">
        <f t="shared" si="21"/>
        <v>Normal</v>
      </c>
    </row>
    <row r="498" spans="1:24" ht="14.25" customHeight="1" x14ac:dyDescent="0.5">
      <c r="A498" s="2" t="s">
        <v>1645</v>
      </c>
      <c r="B498" s="2" t="s">
        <v>343</v>
      </c>
      <c r="C498" s="2" t="str">
        <f t="shared" si="11"/>
        <v>Daniel Moore</v>
      </c>
      <c r="D498" s="2" t="s">
        <v>74</v>
      </c>
      <c r="E498" s="2" t="str">
        <f t="shared" si="12"/>
        <v>mike@company.com</v>
      </c>
      <c r="F498" s="2" t="s">
        <v>42</v>
      </c>
      <c r="G498" s="3">
        <v>44816</v>
      </c>
      <c r="H498" s="3" t="str">
        <f t="shared" si="13"/>
        <v>12-Sep-2022</v>
      </c>
      <c r="I498" s="10" t="s">
        <v>1646</v>
      </c>
      <c r="J498" s="10">
        <f t="shared" si="14"/>
        <v>87118</v>
      </c>
      <c r="K498" s="11" t="s">
        <v>44</v>
      </c>
      <c r="L498" s="2" t="s">
        <v>45</v>
      </c>
      <c r="M498" s="2" t="str">
        <f t="shared" si="15"/>
        <v>Active</v>
      </c>
      <c r="N498" s="2" t="s">
        <v>19</v>
      </c>
      <c r="O498" s="2" t="str">
        <f t="shared" si="16"/>
        <v>Urgent Review</v>
      </c>
      <c r="P498" s="2" t="s">
        <v>1647</v>
      </c>
      <c r="Q498" s="2" t="str">
        <f t="shared" si="17"/>
        <v>ST</v>
      </c>
      <c r="R498" s="2" t="e">
        <f t="array" aca="1" ref="R498" ca="1">_xludf.IFS(Q498="ET", "East", Q498="WT", "West", Q498="ST","South", Q498="NR", "North")</f>
        <v>#NAME?</v>
      </c>
      <c r="S498" s="2" t="s">
        <v>53</v>
      </c>
      <c r="T498" s="2" t="str">
        <f t="shared" si="18"/>
        <v>Delhi</v>
      </c>
      <c r="U498" s="12" t="s">
        <v>85</v>
      </c>
      <c r="V498" s="12">
        <f t="shared" si="19"/>
        <v>0.15</v>
      </c>
      <c r="W498" s="13">
        <f t="shared" si="20"/>
        <v>100185.7</v>
      </c>
      <c r="X498" s="2" t="str">
        <f t="shared" si="21"/>
        <v>High</v>
      </c>
    </row>
    <row r="499" spans="1:24" ht="14.25" customHeight="1" x14ac:dyDescent="0.5">
      <c r="A499" s="2" t="s">
        <v>1648</v>
      </c>
      <c r="B499" s="2" t="s">
        <v>32</v>
      </c>
      <c r="C499" s="2" t="str">
        <f t="shared" si="11"/>
        <v>Sarah Lewis</v>
      </c>
      <c r="D499" s="2" t="s">
        <v>93</v>
      </c>
      <c r="E499" s="2" t="str">
        <f t="shared" si="12"/>
        <v>k@ie@company.com</v>
      </c>
      <c r="F499" s="2" t="s">
        <v>100</v>
      </c>
      <c r="G499" s="3">
        <v>45211</v>
      </c>
      <c r="H499" s="3" t="str">
        <f t="shared" si="13"/>
        <v>12-Oct-2023</v>
      </c>
      <c r="I499" s="10" t="s">
        <v>1649</v>
      </c>
      <c r="J499" s="10">
        <f t="shared" si="14"/>
        <v>61625</v>
      </c>
      <c r="K499" s="11" t="s">
        <v>57</v>
      </c>
      <c r="L499" s="2" t="s">
        <v>45</v>
      </c>
      <c r="M499" s="2" t="str">
        <f t="shared" si="15"/>
        <v>Active</v>
      </c>
      <c r="N499" s="2" t="s">
        <v>19</v>
      </c>
      <c r="O499" s="2" t="str">
        <f t="shared" si="16"/>
        <v>Urgent Review</v>
      </c>
      <c r="P499" s="2" t="s">
        <v>1650</v>
      </c>
      <c r="Q499" s="2" t="str">
        <f t="shared" si="17"/>
        <v>WT</v>
      </c>
      <c r="R499" s="2" t="e">
        <f t="array" aca="1" ref="R499" ca="1">_xludf.IFS(Q499="ET", "East", Q499="WT", "West", Q499="ST","South", Q499="NR", "North")</f>
        <v>#NAME?</v>
      </c>
      <c r="S499" s="2" t="s">
        <v>38</v>
      </c>
      <c r="T499" s="2" t="str">
        <f t="shared" si="18"/>
        <v>London</v>
      </c>
      <c r="U499" s="12" t="s">
        <v>22</v>
      </c>
      <c r="V499" s="12">
        <f t="shared" si="19"/>
        <v>0.2</v>
      </c>
      <c r="W499" s="13">
        <f t="shared" si="20"/>
        <v>73950</v>
      </c>
      <c r="X499" s="2" t="str">
        <f t="shared" si="21"/>
        <v>Normal</v>
      </c>
    </row>
    <row r="500" spans="1:24" ht="14.25" customHeight="1" x14ac:dyDescent="0.5">
      <c r="A500" s="2" t="s">
        <v>1651</v>
      </c>
      <c r="B500" s="2" t="s">
        <v>353</v>
      </c>
      <c r="C500" s="2" t="str">
        <f t="shared" si="11"/>
        <v>Mike Moore</v>
      </c>
      <c r="D500" s="2" t="s">
        <v>235</v>
      </c>
      <c r="E500" s="2" t="str">
        <f t="shared" si="12"/>
        <v>jane@company.com</v>
      </c>
      <c r="F500" s="2" t="s">
        <v>42</v>
      </c>
      <c r="G500" s="3">
        <v>45067</v>
      </c>
      <c r="H500" s="3" t="str">
        <f t="shared" si="13"/>
        <v>21-May-2023</v>
      </c>
      <c r="I500" s="10" t="s">
        <v>1652</v>
      </c>
      <c r="J500" s="10">
        <f t="shared" si="14"/>
        <v>67076</v>
      </c>
      <c r="K500" s="11" t="s">
        <v>17</v>
      </c>
      <c r="L500" s="2" t="s">
        <v>27</v>
      </c>
      <c r="M500" s="2" t="str">
        <f t="shared" si="15"/>
        <v>On Leave</v>
      </c>
      <c r="N500" s="2" t="s">
        <v>28</v>
      </c>
      <c r="O500" s="2" t="str">
        <f t="shared" si="16"/>
        <v>Pending Docs</v>
      </c>
      <c r="P500" s="2" t="s">
        <v>1653</v>
      </c>
      <c r="Q500" s="2" t="str">
        <f t="shared" si="17"/>
        <v>NR</v>
      </c>
      <c r="R500" s="2" t="e">
        <f t="array" aca="1" ref="R500" ca="1">_xludf.IFS(Q500="ET", "East", Q500="WT", "West", Q500="ST","South", Q500="NR", "North")</f>
        <v>#NAME?</v>
      </c>
      <c r="S500" s="2" t="s">
        <v>159</v>
      </c>
      <c r="T500" s="2" t="str">
        <f t="shared" si="18"/>
        <v>Berlin</v>
      </c>
      <c r="U500" s="12" t="s">
        <v>22</v>
      </c>
      <c r="V500" s="12">
        <f t="shared" si="19"/>
        <v>0.2</v>
      </c>
      <c r="W500" s="13">
        <f t="shared" si="20"/>
        <v>80491.199999999997</v>
      </c>
      <c r="X500" s="2" t="str">
        <f t="shared" si="21"/>
        <v>Normal</v>
      </c>
    </row>
    <row r="501" spans="1:24" ht="14.25" customHeight="1" x14ac:dyDescent="0.5">
      <c r="A501" s="2" t="s">
        <v>1654</v>
      </c>
      <c r="B501" s="2" t="s">
        <v>646</v>
      </c>
      <c r="C501" s="2" t="str">
        <f t="shared" si="11"/>
        <v>Jane Clark</v>
      </c>
      <c r="D501" s="2" t="s">
        <v>49</v>
      </c>
      <c r="E501" s="2" t="str">
        <f t="shared" si="12"/>
        <v>emily@company.com</v>
      </c>
      <c r="F501" s="2" t="s">
        <v>69</v>
      </c>
      <c r="G501" s="3">
        <v>44404</v>
      </c>
      <c r="H501" s="3" t="str">
        <f t="shared" si="13"/>
        <v>27-Jul-2021</v>
      </c>
      <c r="I501" s="10" t="s">
        <v>1655</v>
      </c>
      <c r="J501" s="10">
        <f t="shared" si="14"/>
        <v>104805</v>
      </c>
      <c r="K501" s="11" t="s">
        <v>57</v>
      </c>
      <c r="L501" s="2" t="s">
        <v>58</v>
      </c>
      <c r="M501" s="2" t="str">
        <f t="shared" si="15"/>
        <v>Terminated</v>
      </c>
      <c r="N501" s="2" t="s">
        <v>107</v>
      </c>
      <c r="O501" s="2" t="str">
        <f t="shared" si="16"/>
        <v>All Clear</v>
      </c>
      <c r="P501" s="2" t="s">
        <v>1656</v>
      </c>
      <c r="Q501" s="2" t="str">
        <f t="shared" si="17"/>
        <v>NR</v>
      </c>
      <c r="R501" s="2" t="e">
        <f t="array" aca="1" ref="R501" ca="1">_xludf.IFS(Q501="ET", "East", Q501="WT", "West", Q501="ST","South", Q501="NR", "North")</f>
        <v>#NAME?</v>
      </c>
      <c r="S501" s="2" t="s">
        <v>79</v>
      </c>
      <c r="T501" s="2" t="str">
        <f t="shared" si="18"/>
        <v>New York</v>
      </c>
      <c r="U501" s="12" t="s">
        <v>39</v>
      </c>
      <c r="V501" s="12">
        <f t="shared" si="19"/>
        <v>0.05</v>
      </c>
      <c r="W501" s="13">
        <f t="shared" si="20"/>
        <v>110045.25</v>
      </c>
      <c r="X501" s="2" t="str">
        <f t="shared" si="21"/>
        <v>High</v>
      </c>
    </row>
    <row r="502" spans="1:24" ht="14.25" customHeight="1" x14ac:dyDescent="0.5">
      <c r="I502" s="10"/>
      <c r="J502" s="10"/>
      <c r="K502" s="11"/>
      <c r="U502" s="12"/>
      <c r="V502" s="12"/>
      <c r="W502" s="13"/>
    </row>
    <row r="503" spans="1:24" ht="14.25" customHeight="1" x14ac:dyDescent="0.5">
      <c r="I503" s="10"/>
      <c r="J503" s="10"/>
      <c r="K503" s="11"/>
      <c r="U503" s="12"/>
      <c r="V503" s="12"/>
      <c r="W503" s="13"/>
    </row>
    <row r="504" spans="1:24" ht="14.25" customHeight="1" x14ac:dyDescent="0.5">
      <c r="I504" s="10"/>
      <c r="J504" s="10"/>
      <c r="K504" s="11"/>
      <c r="U504" s="12"/>
      <c r="V504" s="12"/>
      <c r="W504" s="13"/>
    </row>
    <row r="505" spans="1:24" ht="14.25" customHeight="1" x14ac:dyDescent="0.5">
      <c r="I505" s="10"/>
      <c r="J505" s="10"/>
      <c r="K505" s="11"/>
      <c r="U505" s="12"/>
      <c r="V505" s="12"/>
      <c r="W505" s="13"/>
    </row>
    <row r="506" spans="1:24" ht="14.25" customHeight="1" x14ac:dyDescent="0.5">
      <c r="I506" s="10"/>
      <c r="J506" s="10"/>
      <c r="K506" s="11"/>
      <c r="U506" s="12"/>
      <c r="V506" s="12"/>
      <c r="W506" s="13"/>
    </row>
    <row r="507" spans="1:24" ht="14.25" customHeight="1" x14ac:dyDescent="0.5">
      <c r="I507" s="10"/>
      <c r="J507" s="10"/>
      <c r="K507" s="11"/>
      <c r="U507" s="12"/>
      <c r="V507" s="12"/>
      <c r="W507" s="13"/>
    </row>
    <row r="508" spans="1:24" ht="14.25" customHeight="1" x14ac:dyDescent="0.5">
      <c r="I508" s="10"/>
      <c r="J508" s="10"/>
      <c r="K508" s="11"/>
      <c r="U508" s="12"/>
      <c r="V508" s="12"/>
      <c r="W508" s="13"/>
    </row>
    <row r="509" spans="1:24" ht="14.25" customHeight="1" x14ac:dyDescent="0.5">
      <c r="I509" s="10"/>
      <c r="J509" s="10"/>
      <c r="K509" s="11"/>
      <c r="U509" s="12"/>
      <c r="V509" s="12"/>
      <c r="W509" s="13"/>
    </row>
    <row r="510" spans="1:24" ht="14.25" customHeight="1" x14ac:dyDescent="0.5">
      <c r="I510" s="10"/>
      <c r="J510" s="10"/>
      <c r="K510" s="11"/>
      <c r="U510" s="12"/>
      <c r="V510" s="12"/>
      <c r="W510" s="13"/>
    </row>
    <row r="511" spans="1:24" ht="14.25" customHeight="1" x14ac:dyDescent="0.5">
      <c r="I511" s="10"/>
      <c r="J511" s="10"/>
      <c r="K511" s="11"/>
      <c r="U511" s="12"/>
      <c r="V511" s="12"/>
      <c r="W511" s="13"/>
    </row>
    <row r="512" spans="1:24" ht="14.25" customHeight="1" x14ac:dyDescent="0.5">
      <c r="I512" s="10"/>
      <c r="J512" s="10"/>
      <c r="K512" s="11"/>
      <c r="U512" s="12"/>
      <c r="V512" s="12"/>
      <c r="W512" s="13"/>
    </row>
    <row r="513" spans="9:23" ht="14.25" customHeight="1" x14ac:dyDescent="0.5">
      <c r="I513" s="10"/>
      <c r="J513" s="10"/>
      <c r="K513" s="11"/>
      <c r="U513" s="12"/>
      <c r="V513" s="12"/>
      <c r="W513" s="13"/>
    </row>
    <row r="514" spans="9:23" ht="14.25" customHeight="1" x14ac:dyDescent="0.5">
      <c r="I514" s="10"/>
      <c r="J514" s="10"/>
      <c r="K514" s="11"/>
      <c r="U514" s="12"/>
      <c r="V514" s="12"/>
      <c r="W514" s="13"/>
    </row>
    <row r="515" spans="9:23" ht="14.25" customHeight="1" x14ac:dyDescent="0.5">
      <c r="I515" s="10"/>
      <c r="J515" s="10"/>
      <c r="K515" s="11"/>
      <c r="U515" s="12"/>
      <c r="V515" s="12"/>
      <c r="W515" s="13"/>
    </row>
    <row r="516" spans="9:23" ht="14.25" customHeight="1" x14ac:dyDescent="0.5">
      <c r="I516" s="10"/>
      <c r="J516" s="10"/>
      <c r="K516" s="11"/>
      <c r="U516" s="12"/>
      <c r="V516" s="12"/>
      <c r="W516" s="13"/>
    </row>
    <row r="517" spans="9:23" ht="14.25" customHeight="1" x14ac:dyDescent="0.5">
      <c r="I517" s="10"/>
      <c r="J517" s="10"/>
      <c r="K517" s="11"/>
      <c r="U517" s="12"/>
      <c r="V517" s="12"/>
      <c r="W517" s="13"/>
    </row>
    <row r="518" spans="9:23" ht="14.25" customHeight="1" x14ac:dyDescent="0.5">
      <c r="I518" s="10"/>
      <c r="J518" s="10"/>
      <c r="K518" s="11"/>
      <c r="U518" s="12"/>
      <c r="V518" s="12"/>
      <c r="W518" s="13"/>
    </row>
    <row r="519" spans="9:23" ht="14.25" customHeight="1" x14ac:dyDescent="0.5">
      <c r="I519" s="10"/>
      <c r="J519" s="10"/>
      <c r="K519" s="11"/>
      <c r="U519" s="12"/>
      <c r="V519" s="12"/>
      <c r="W519" s="13"/>
    </row>
    <row r="520" spans="9:23" ht="14.25" customHeight="1" x14ac:dyDescent="0.5">
      <c r="I520" s="10"/>
      <c r="J520" s="10"/>
      <c r="K520" s="11"/>
      <c r="U520" s="12"/>
      <c r="V520" s="12"/>
      <c r="W520" s="13"/>
    </row>
    <row r="521" spans="9:23" ht="14.25" customHeight="1" x14ac:dyDescent="0.5">
      <c r="I521" s="10"/>
      <c r="J521" s="10"/>
      <c r="K521" s="11"/>
      <c r="U521" s="12"/>
      <c r="V521" s="12"/>
      <c r="W521" s="13"/>
    </row>
    <row r="522" spans="9:23" ht="14.25" customHeight="1" x14ac:dyDescent="0.5">
      <c r="I522" s="10"/>
      <c r="J522" s="10"/>
      <c r="K522" s="11"/>
      <c r="U522" s="12"/>
      <c r="V522" s="12"/>
      <c r="W522" s="13"/>
    </row>
    <row r="523" spans="9:23" ht="14.25" customHeight="1" x14ac:dyDescent="0.5">
      <c r="I523" s="10"/>
      <c r="J523" s="10"/>
      <c r="K523" s="11"/>
      <c r="U523" s="12"/>
      <c r="V523" s="12"/>
      <c r="W523" s="13"/>
    </row>
    <row r="524" spans="9:23" ht="14.25" customHeight="1" x14ac:dyDescent="0.5">
      <c r="I524" s="10"/>
      <c r="J524" s="10"/>
      <c r="K524" s="11"/>
      <c r="U524" s="12"/>
      <c r="V524" s="12"/>
      <c r="W524" s="13"/>
    </row>
    <row r="525" spans="9:23" ht="14.25" customHeight="1" x14ac:dyDescent="0.5">
      <c r="I525" s="10"/>
      <c r="J525" s="10"/>
      <c r="K525" s="11"/>
      <c r="U525" s="12"/>
      <c r="V525" s="12"/>
      <c r="W525" s="13"/>
    </row>
    <row r="526" spans="9:23" ht="14.25" customHeight="1" x14ac:dyDescent="0.5">
      <c r="I526" s="10"/>
      <c r="J526" s="10"/>
      <c r="K526" s="11"/>
      <c r="U526" s="12"/>
      <c r="V526" s="12"/>
      <c r="W526" s="13"/>
    </row>
    <row r="527" spans="9:23" ht="14.25" customHeight="1" x14ac:dyDescent="0.5">
      <c r="I527" s="10"/>
      <c r="J527" s="10"/>
      <c r="K527" s="11"/>
      <c r="U527" s="12"/>
      <c r="V527" s="12"/>
      <c r="W527" s="13"/>
    </row>
    <row r="528" spans="9:23" ht="14.25" customHeight="1" x14ac:dyDescent="0.5">
      <c r="I528" s="10"/>
      <c r="J528" s="10"/>
      <c r="K528" s="11"/>
      <c r="U528" s="12"/>
      <c r="V528" s="12"/>
      <c r="W528" s="13"/>
    </row>
    <row r="529" spans="9:23" ht="14.25" customHeight="1" x14ac:dyDescent="0.5">
      <c r="I529" s="10"/>
      <c r="J529" s="10"/>
      <c r="K529" s="11"/>
      <c r="U529" s="12"/>
      <c r="V529" s="12"/>
      <c r="W529" s="13"/>
    </row>
    <row r="530" spans="9:23" ht="14.25" customHeight="1" x14ac:dyDescent="0.5">
      <c r="I530" s="10"/>
      <c r="J530" s="10"/>
      <c r="K530" s="11"/>
      <c r="U530" s="12"/>
      <c r="V530" s="12"/>
      <c r="W530" s="13"/>
    </row>
    <row r="531" spans="9:23" ht="14.25" customHeight="1" x14ac:dyDescent="0.5">
      <c r="I531" s="10"/>
      <c r="J531" s="10"/>
      <c r="K531" s="11"/>
      <c r="U531" s="12"/>
      <c r="V531" s="12"/>
      <c r="W531" s="13"/>
    </row>
    <row r="532" spans="9:23" ht="14.25" customHeight="1" x14ac:dyDescent="0.5">
      <c r="I532" s="10"/>
      <c r="J532" s="10"/>
      <c r="K532" s="11"/>
      <c r="U532" s="12"/>
      <c r="V532" s="12"/>
      <c r="W532" s="13"/>
    </row>
    <row r="533" spans="9:23" ht="14.25" customHeight="1" x14ac:dyDescent="0.5">
      <c r="I533" s="10"/>
      <c r="J533" s="10"/>
      <c r="K533" s="11"/>
      <c r="U533" s="12"/>
      <c r="V533" s="12"/>
      <c r="W533" s="13"/>
    </row>
    <row r="534" spans="9:23" ht="14.25" customHeight="1" x14ac:dyDescent="0.5">
      <c r="I534" s="10"/>
      <c r="J534" s="10"/>
      <c r="K534" s="11"/>
      <c r="U534" s="12"/>
      <c r="V534" s="12"/>
      <c r="W534" s="13"/>
    </row>
    <row r="535" spans="9:23" ht="14.25" customHeight="1" x14ac:dyDescent="0.5">
      <c r="I535" s="10"/>
      <c r="J535" s="10"/>
      <c r="K535" s="11"/>
      <c r="U535" s="12"/>
      <c r="V535" s="12"/>
      <c r="W535" s="13"/>
    </row>
    <row r="536" spans="9:23" ht="14.25" customHeight="1" x14ac:dyDescent="0.5">
      <c r="I536" s="10"/>
      <c r="J536" s="10"/>
      <c r="K536" s="11"/>
      <c r="U536" s="12"/>
      <c r="V536" s="12"/>
      <c r="W536" s="13"/>
    </row>
    <row r="537" spans="9:23" ht="14.25" customHeight="1" x14ac:dyDescent="0.5">
      <c r="I537" s="10"/>
      <c r="J537" s="10"/>
      <c r="K537" s="11"/>
      <c r="U537" s="12"/>
      <c r="V537" s="12"/>
      <c r="W537" s="13"/>
    </row>
    <row r="538" spans="9:23" ht="14.25" customHeight="1" x14ac:dyDescent="0.5">
      <c r="I538" s="10"/>
      <c r="J538" s="10"/>
      <c r="K538" s="11"/>
      <c r="U538" s="12"/>
      <c r="V538" s="12"/>
      <c r="W538" s="13"/>
    </row>
    <row r="539" spans="9:23" ht="14.25" customHeight="1" x14ac:dyDescent="0.5">
      <c r="I539" s="10"/>
      <c r="J539" s="10"/>
      <c r="K539" s="11"/>
      <c r="U539" s="12"/>
      <c r="V539" s="12"/>
      <c r="W539" s="13"/>
    </row>
    <row r="540" spans="9:23" ht="14.25" customHeight="1" x14ac:dyDescent="0.5">
      <c r="I540" s="10"/>
      <c r="J540" s="10"/>
      <c r="K540" s="11"/>
      <c r="U540" s="12"/>
      <c r="V540" s="12"/>
      <c r="W540" s="13"/>
    </row>
    <row r="541" spans="9:23" ht="14.25" customHeight="1" x14ac:dyDescent="0.5">
      <c r="I541" s="10"/>
      <c r="J541" s="10"/>
      <c r="K541" s="11"/>
      <c r="U541" s="12"/>
      <c r="V541" s="12"/>
      <c r="W541" s="13"/>
    </row>
    <row r="542" spans="9:23" ht="14.25" customHeight="1" x14ac:dyDescent="0.5">
      <c r="I542" s="10"/>
      <c r="J542" s="10"/>
      <c r="K542" s="11"/>
      <c r="U542" s="12"/>
      <c r="V542" s="12"/>
      <c r="W542" s="13"/>
    </row>
    <row r="543" spans="9:23" ht="14.25" customHeight="1" x14ac:dyDescent="0.5">
      <c r="I543" s="10"/>
      <c r="J543" s="10"/>
      <c r="K543" s="11"/>
      <c r="U543" s="12"/>
      <c r="V543" s="12"/>
      <c r="W543" s="13"/>
    </row>
    <row r="544" spans="9:23" ht="14.25" customHeight="1" x14ac:dyDescent="0.5">
      <c r="I544" s="10"/>
      <c r="J544" s="10"/>
      <c r="K544" s="11"/>
      <c r="U544" s="12"/>
      <c r="V544" s="12"/>
      <c r="W544" s="13"/>
    </row>
    <row r="545" spans="9:23" ht="14.25" customHeight="1" x14ac:dyDescent="0.5">
      <c r="I545" s="10"/>
      <c r="J545" s="10"/>
      <c r="K545" s="11"/>
      <c r="U545" s="12"/>
      <c r="V545" s="12"/>
      <c r="W545" s="13"/>
    </row>
    <row r="546" spans="9:23" ht="14.25" customHeight="1" x14ac:dyDescent="0.5">
      <c r="I546" s="10"/>
      <c r="J546" s="10"/>
      <c r="K546" s="11"/>
      <c r="U546" s="12"/>
      <c r="V546" s="12"/>
      <c r="W546" s="13"/>
    </row>
    <row r="547" spans="9:23" ht="14.25" customHeight="1" x14ac:dyDescent="0.5">
      <c r="I547" s="10"/>
      <c r="J547" s="10"/>
      <c r="K547" s="11"/>
      <c r="U547" s="12"/>
      <c r="V547" s="12"/>
      <c r="W547" s="13"/>
    </row>
    <row r="548" spans="9:23" ht="14.25" customHeight="1" x14ac:dyDescent="0.5">
      <c r="I548" s="10"/>
      <c r="J548" s="10"/>
      <c r="K548" s="11"/>
      <c r="U548" s="12"/>
      <c r="V548" s="12"/>
      <c r="W548" s="13"/>
    </row>
    <row r="549" spans="9:23" ht="14.25" customHeight="1" x14ac:dyDescent="0.5">
      <c r="I549" s="10"/>
      <c r="J549" s="10"/>
      <c r="K549" s="11"/>
      <c r="U549" s="12"/>
      <c r="V549" s="12"/>
      <c r="W549" s="13"/>
    </row>
    <row r="550" spans="9:23" ht="14.25" customHeight="1" x14ac:dyDescent="0.5">
      <c r="I550" s="10"/>
      <c r="J550" s="10"/>
      <c r="K550" s="11"/>
      <c r="U550" s="12"/>
      <c r="V550" s="12"/>
      <c r="W550" s="13"/>
    </row>
    <row r="551" spans="9:23" ht="14.25" customHeight="1" x14ac:dyDescent="0.5">
      <c r="I551" s="10"/>
      <c r="J551" s="10"/>
      <c r="K551" s="11"/>
      <c r="U551" s="12"/>
      <c r="V551" s="12"/>
      <c r="W551" s="13"/>
    </row>
    <row r="552" spans="9:23" ht="14.25" customHeight="1" x14ac:dyDescent="0.5">
      <c r="I552" s="10"/>
      <c r="J552" s="10"/>
      <c r="K552" s="11"/>
      <c r="U552" s="12"/>
      <c r="V552" s="12"/>
      <c r="W552" s="13"/>
    </row>
    <row r="553" spans="9:23" ht="14.25" customHeight="1" x14ac:dyDescent="0.5">
      <c r="I553" s="10"/>
      <c r="J553" s="10"/>
      <c r="K553" s="11"/>
      <c r="U553" s="12"/>
      <c r="V553" s="12"/>
      <c r="W553" s="13"/>
    </row>
    <row r="554" spans="9:23" ht="14.25" customHeight="1" x14ac:dyDescent="0.5">
      <c r="I554" s="10"/>
      <c r="J554" s="10"/>
      <c r="K554" s="11"/>
      <c r="U554" s="12"/>
      <c r="V554" s="12"/>
      <c r="W554" s="13"/>
    </row>
    <row r="555" spans="9:23" ht="14.25" customHeight="1" x14ac:dyDescent="0.5">
      <c r="I555" s="10"/>
      <c r="J555" s="10"/>
      <c r="K555" s="11"/>
      <c r="U555" s="12"/>
      <c r="V555" s="12"/>
      <c r="W555" s="13"/>
    </row>
    <row r="556" spans="9:23" ht="14.25" customHeight="1" x14ac:dyDescent="0.5">
      <c r="I556" s="10"/>
      <c r="J556" s="10"/>
      <c r="K556" s="11"/>
      <c r="U556" s="12"/>
      <c r="V556" s="12"/>
      <c r="W556" s="13"/>
    </row>
    <row r="557" spans="9:23" ht="14.25" customHeight="1" x14ac:dyDescent="0.5">
      <c r="I557" s="10"/>
      <c r="J557" s="10"/>
      <c r="K557" s="11"/>
      <c r="U557" s="12"/>
      <c r="V557" s="12"/>
      <c r="W557" s="13"/>
    </row>
    <row r="558" spans="9:23" ht="14.25" customHeight="1" x14ac:dyDescent="0.5">
      <c r="I558" s="10"/>
      <c r="J558" s="10"/>
      <c r="K558" s="11"/>
      <c r="U558" s="12"/>
      <c r="V558" s="12"/>
      <c r="W558" s="13"/>
    </row>
    <row r="559" spans="9:23" ht="14.25" customHeight="1" x14ac:dyDescent="0.5">
      <c r="I559" s="10"/>
      <c r="J559" s="10"/>
      <c r="K559" s="11"/>
      <c r="U559" s="12"/>
      <c r="V559" s="12"/>
      <c r="W559" s="13"/>
    </row>
    <row r="560" spans="9:23" ht="14.25" customHeight="1" x14ac:dyDescent="0.5">
      <c r="I560" s="10"/>
      <c r="J560" s="10"/>
      <c r="K560" s="11"/>
      <c r="U560" s="12"/>
      <c r="V560" s="12"/>
      <c r="W560" s="13"/>
    </row>
    <row r="561" spans="9:23" ht="14.25" customHeight="1" x14ac:dyDescent="0.5">
      <c r="I561" s="10"/>
      <c r="J561" s="10"/>
      <c r="K561" s="11"/>
      <c r="U561" s="12"/>
      <c r="V561" s="12"/>
      <c r="W561" s="13"/>
    </row>
    <row r="562" spans="9:23" ht="14.25" customHeight="1" x14ac:dyDescent="0.5">
      <c r="I562" s="10"/>
      <c r="J562" s="10"/>
      <c r="K562" s="11"/>
      <c r="U562" s="12"/>
      <c r="V562" s="12"/>
      <c r="W562" s="13"/>
    </row>
    <row r="563" spans="9:23" ht="14.25" customHeight="1" x14ac:dyDescent="0.5">
      <c r="I563" s="10"/>
      <c r="J563" s="10"/>
      <c r="K563" s="11"/>
      <c r="U563" s="12"/>
      <c r="V563" s="12"/>
      <c r="W563" s="13"/>
    </row>
    <row r="564" spans="9:23" ht="14.25" customHeight="1" x14ac:dyDescent="0.5">
      <c r="I564" s="10"/>
      <c r="J564" s="10"/>
      <c r="K564" s="11"/>
      <c r="U564" s="12"/>
      <c r="V564" s="12"/>
      <c r="W564" s="13"/>
    </row>
    <row r="565" spans="9:23" ht="14.25" customHeight="1" x14ac:dyDescent="0.5">
      <c r="I565" s="10"/>
      <c r="J565" s="10"/>
      <c r="K565" s="11"/>
      <c r="U565" s="12"/>
      <c r="V565" s="12"/>
      <c r="W565" s="13"/>
    </row>
    <row r="566" spans="9:23" ht="14.25" customHeight="1" x14ac:dyDescent="0.5">
      <c r="I566" s="10"/>
      <c r="J566" s="10"/>
      <c r="K566" s="11"/>
      <c r="U566" s="12"/>
      <c r="V566" s="12"/>
      <c r="W566" s="13"/>
    </row>
    <row r="567" spans="9:23" ht="14.25" customHeight="1" x14ac:dyDescent="0.5">
      <c r="I567" s="10"/>
      <c r="J567" s="10"/>
      <c r="K567" s="11"/>
      <c r="U567" s="12"/>
      <c r="V567" s="12"/>
      <c r="W567" s="13"/>
    </row>
    <row r="568" spans="9:23" ht="14.25" customHeight="1" x14ac:dyDescent="0.5">
      <c r="I568" s="10"/>
      <c r="J568" s="10"/>
      <c r="K568" s="11"/>
      <c r="U568" s="12"/>
      <c r="V568" s="12"/>
      <c r="W568" s="13"/>
    </row>
    <row r="569" spans="9:23" ht="14.25" customHeight="1" x14ac:dyDescent="0.5">
      <c r="I569" s="10"/>
      <c r="J569" s="10"/>
      <c r="K569" s="11"/>
      <c r="U569" s="12"/>
      <c r="V569" s="12"/>
      <c r="W569" s="13"/>
    </row>
    <row r="570" spans="9:23" ht="14.25" customHeight="1" x14ac:dyDescent="0.5">
      <c r="I570" s="10"/>
      <c r="J570" s="10"/>
      <c r="K570" s="11"/>
      <c r="U570" s="12"/>
      <c r="V570" s="12"/>
      <c r="W570" s="13"/>
    </row>
    <row r="571" spans="9:23" ht="14.25" customHeight="1" x14ac:dyDescent="0.5">
      <c r="I571" s="10"/>
      <c r="J571" s="10"/>
      <c r="K571" s="11"/>
      <c r="U571" s="12"/>
      <c r="V571" s="12"/>
      <c r="W571" s="13"/>
    </row>
    <row r="572" spans="9:23" ht="14.25" customHeight="1" x14ac:dyDescent="0.5">
      <c r="I572" s="10"/>
      <c r="J572" s="10"/>
      <c r="K572" s="11"/>
      <c r="U572" s="12"/>
      <c r="V572" s="12"/>
      <c r="W572" s="13"/>
    </row>
    <row r="573" spans="9:23" ht="14.25" customHeight="1" x14ac:dyDescent="0.5">
      <c r="I573" s="10"/>
      <c r="J573" s="10"/>
      <c r="K573" s="11"/>
      <c r="U573" s="12"/>
      <c r="V573" s="12"/>
      <c r="W573" s="13"/>
    </row>
    <row r="574" spans="9:23" ht="14.25" customHeight="1" x14ac:dyDescent="0.5">
      <c r="I574" s="10"/>
      <c r="J574" s="10"/>
      <c r="K574" s="11"/>
      <c r="U574" s="12"/>
      <c r="V574" s="12"/>
      <c r="W574" s="13"/>
    </row>
    <row r="575" spans="9:23" ht="14.25" customHeight="1" x14ac:dyDescent="0.5">
      <c r="I575" s="10"/>
      <c r="J575" s="10"/>
      <c r="K575" s="11"/>
      <c r="U575" s="12"/>
      <c r="V575" s="12"/>
      <c r="W575" s="13"/>
    </row>
    <row r="576" spans="9:23" ht="14.25" customHeight="1" x14ac:dyDescent="0.5">
      <c r="I576" s="10"/>
      <c r="J576" s="10"/>
      <c r="K576" s="11"/>
      <c r="U576" s="12"/>
      <c r="V576" s="12"/>
      <c r="W576" s="13"/>
    </row>
    <row r="577" spans="9:23" ht="14.25" customHeight="1" x14ac:dyDescent="0.5">
      <c r="I577" s="10"/>
      <c r="J577" s="10"/>
      <c r="K577" s="11"/>
      <c r="U577" s="12"/>
      <c r="V577" s="12"/>
      <c r="W577" s="13"/>
    </row>
    <row r="578" spans="9:23" ht="14.25" customHeight="1" x14ac:dyDescent="0.5">
      <c r="I578" s="10"/>
      <c r="J578" s="10"/>
      <c r="K578" s="11"/>
      <c r="U578" s="12"/>
      <c r="V578" s="12"/>
      <c r="W578" s="13"/>
    </row>
    <row r="579" spans="9:23" ht="14.25" customHeight="1" x14ac:dyDescent="0.5">
      <c r="I579" s="10"/>
      <c r="J579" s="10"/>
      <c r="K579" s="11"/>
      <c r="U579" s="12"/>
      <c r="V579" s="12"/>
      <c r="W579" s="13"/>
    </row>
    <row r="580" spans="9:23" ht="14.25" customHeight="1" x14ac:dyDescent="0.5">
      <c r="I580" s="10"/>
      <c r="J580" s="10"/>
      <c r="K580" s="11"/>
      <c r="U580" s="12"/>
      <c r="V580" s="12"/>
      <c r="W580" s="13"/>
    </row>
    <row r="581" spans="9:23" ht="14.25" customHeight="1" x14ac:dyDescent="0.5">
      <c r="I581" s="10"/>
      <c r="J581" s="10"/>
      <c r="K581" s="11"/>
      <c r="U581" s="12"/>
      <c r="V581" s="12"/>
      <c r="W581" s="13"/>
    </row>
    <row r="582" spans="9:23" ht="14.25" customHeight="1" x14ac:dyDescent="0.5">
      <c r="I582" s="10"/>
      <c r="J582" s="10"/>
      <c r="K582" s="11"/>
      <c r="U582" s="12"/>
      <c r="V582" s="12"/>
      <c r="W582" s="13"/>
    </row>
    <row r="583" spans="9:23" ht="14.25" customHeight="1" x14ac:dyDescent="0.5">
      <c r="I583" s="10"/>
      <c r="J583" s="10"/>
      <c r="K583" s="11"/>
      <c r="U583" s="12"/>
      <c r="V583" s="12"/>
      <c r="W583" s="13"/>
    </row>
    <row r="584" spans="9:23" ht="14.25" customHeight="1" x14ac:dyDescent="0.5">
      <c r="I584" s="10"/>
      <c r="J584" s="10"/>
      <c r="K584" s="11"/>
      <c r="U584" s="12"/>
      <c r="V584" s="12"/>
      <c r="W584" s="13"/>
    </row>
    <row r="585" spans="9:23" ht="14.25" customHeight="1" x14ac:dyDescent="0.5">
      <c r="I585" s="10"/>
      <c r="J585" s="10"/>
      <c r="K585" s="11"/>
      <c r="U585" s="12"/>
      <c r="V585" s="12"/>
      <c r="W585" s="13"/>
    </row>
    <row r="586" spans="9:23" ht="14.25" customHeight="1" x14ac:dyDescent="0.5">
      <c r="I586" s="10"/>
      <c r="J586" s="10"/>
      <c r="K586" s="11"/>
      <c r="U586" s="12"/>
      <c r="V586" s="12"/>
      <c r="W586" s="13"/>
    </row>
    <row r="587" spans="9:23" ht="14.25" customHeight="1" x14ac:dyDescent="0.5">
      <c r="I587" s="10"/>
      <c r="J587" s="10"/>
      <c r="K587" s="11"/>
      <c r="U587" s="12"/>
      <c r="V587" s="12"/>
      <c r="W587" s="13"/>
    </row>
    <row r="588" spans="9:23" ht="14.25" customHeight="1" x14ac:dyDescent="0.5">
      <c r="I588" s="10"/>
      <c r="J588" s="10"/>
      <c r="K588" s="11"/>
      <c r="U588" s="12"/>
      <c r="V588" s="12"/>
      <c r="W588" s="13"/>
    </row>
    <row r="589" spans="9:23" ht="14.25" customHeight="1" x14ac:dyDescent="0.5">
      <c r="I589" s="10"/>
      <c r="J589" s="10"/>
      <c r="K589" s="11"/>
      <c r="U589" s="12"/>
      <c r="V589" s="12"/>
      <c r="W589" s="13"/>
    </row>
    <row r="590" spans="9:23" ht="14.25" customHeight="1" x14ac:dyDescent="0.5">
      <c r="I590" s="10"/>
      <c r="J590" s="10"/>
      <c r="K590" s="11"/>
      <c r="U590" s="12"/>
      <c r="V590" s="12"/>
      <c r="W590" s="13"/>
    </row>
    <row r="591" spans="9:23" ht="14.25" customHeight="1" x14ac:dyDescent="0.5">
      <c r="I591" s="10"/>
      <c r="J591" s="10"/>
      <c r="K591" s="11"/>
      <c r="U591" s="12"/>
      <c r="V591" s="12"/>
      <c r="W591" s="13"/>
    </row>
    <row r="592" spans="9:23" ht="14.25" customHeight="1" x14ac:dyDescent="0.5">
      <c r="I592" s="10"/>
      <c r="J592" s="10"/>
      <c r="K592" s="11"/>
      <c r="U592" s="12"/>
      <c r="V592" s="12"/>
      <c r="W592" s="13"/>
    </row>
    <row r="593" spans="9:23" ht="14.25" customHeight="1" x14ac:dyDescent="0.5">
      <c r="I593" s="10"/>
      <c r="J593" s="10"/>
      <c r="K593" s="11"/>
      <c r="U593" s="12"/>
      <c r="V593" s="12"/>
      <c r="W593" s="13"/>
    </row>
    <row r="594" spans="9:23" ht="14.25" customHeight="1" x14ac:dyDescent="0.5">
      <c r="I594" s="10"/>
      <c r="J594" s="10"/>
      <c r="K594" s="11"/>
      <c r="U594" s="12"/>
      <c r="V594" s="12"/>
      <c r="W594" s="13"/>
    </row>
    <row r="595" spans="9:23" ht="14.25" customHeight="1" x14ac:dyDescent="0.5">
      <c r="I595" s="10"/>
      <c r="J595" s="10"/>
      <c r="K595" s="11"/>
      <c r="U595" s="12"/>
      <c r="V595" s="12"/>
      <c r="W595" s="13"/>
    </row>
    <row r="596" spans="9:23" ht="14.25" customHeight="1" x14ac:dyDescent="0.5">
      <c r="I596" s="10"/>
      <c r="J596" s="10"/>
      <c r="K596" s="11"/>
      <c r="U596" s="12"/>
      <c r="V596" s="12"/>
      <c r="W596" s="13"/>
    </row>
    <row r="597" spans="9:23" ht="14.25" customHeight="1" x14ac:dyDescent="0.5">
      <c r="I597" s="10"/>
      <c r="J597" s="10"/>
      <c r="K597" s="11"/>
      <c r="U597" s="12"/>
      <c r="V597" s="12"/>
      <c r="W597" s="13"/>
    </row>
    <row r="598" spans="9:23" ht="14.25" customHeight="1" x14ac:dyDescent="0.5">
      <c r="I598" s="10"/>
      <c r="J598" s="10"/>
      <c r="K598" s="11"/>
      <c r="U598" s="12"/>
      <c r="V598" s="12"/>
      <c r="W598" s="13"/>
    </row>
    <row r="599" spans="9:23" ht="14.25" customHeight="1" x14ac:dyDescent="0.5">
      <c r="I599" s="10"/>
      <c r="J599" s="10"/>
      <c r="K599" s="11"/>
      <c r="U599" s="12"/>
      <c r="V599" s="12"/>
      <c r="W599" s="13"/>
    </row>
    <row r="600" spans="9:23" ht="14.25" customHeight="1" x14ac:dyDescent="0.5">
      <c r="I600" s="10"/>
      <c r="J600" s="10"/>
      <c r="K600" s="11"/>
      <c r="U600" s="12"/>
      <c r="V600" s="12"/>
      <c r="W600" s="13"/>
    </row>
    <row r="601" spans="9:23" ht="14.25" customHeight="1" x14ac:dyDescent="0.5">
      <c r="I601" s="10"/>
      <c r="J601" s="10"/>
      <c r="K601" s="11"/>
      <c r="U601" s="12"/>
      <c r="V601" s="12"/>
      <c r="W601" s="13"/>
    </row>
    <row r="602" spans="9:23" ht="14.25" customHeight="1" x14ac:dyDescent="0.5">
      <c r="I602" s="10"/>
      <c r="J602" s="10"/>
      <c r="K602" s="11"/>
      <c r="U602" s="12"/>
      <c r="V602" s="12"/>
      <c r="W602" s="13"/>
    </row>
    <row r="603" spans="9:23" ht="14.25" customHeight="1" x14ac:dyDescent="0.5">
      <c r="I603" s="10"/>
      <c r="J603" s="10"/>
      <c r="K603" s="11"/>
      <c r="U603" s="12"/>
      <c r="V603" s="12"/>
      <c r="W603" s="13"/>
    </row>
    <row r="604" spans="9:23" ht="14.25" customHeight="1" x14ac:dyDescent="0.5">
      <c r="I604" s="10"/>
      <c r="J604" s="10"/>
      <c r="K604" s="11"/>
      <c r="U604" s="12"/>
      <c r="V604" s="12"/>
      <c r="W604" s="13"/>
    </row>
    <row r="605" spans="9:23" ht="14.25" customHeight="1" x14ac:dyDescent="0.5">
      <c r="I605" s="10"/>
      <c r="J605" s="10"/>
      <c r="K605" s="11"/>
      <c r="U605" s="12"/>
      <c r="V605" s="12"/>
      <c r="W605" s="13"/>
    </row>
    <row r="606" spans="9:23" ht="14.25" customHeight="1" x14ac:dyDescent="0.5">
      <c r="I606" s="10"/>
      <c r="J606" s="10"/>
      <c r="K606" s="11"/>
      <c r="U606" s="12"/>
      <c r="V606" s="12"/>
      <c r="W606" s="13"/>
    </row>
    <row r="607" spans="9:23" ht="14.25" customHeight="1" x14ac:dyDescent="0.5">
      <c r="I607" s="10"/>
      <c r="J607" s="10"/>
      <c r="K607" s="11"/>
      <c r="U607" s="12"/>
      <c r="V607" s="12"/>
      <c r="W607" s="13"/>
    </row>
    <row r="608" spans="9:23" ht="14.25" customHeight="1" x14ac:dyDescent="0.5">
      <c r="I608" s="10"/>
      <c r="J608" s="10"/>
      <c r="K608" s="11"/>
      <c r="U608" s="12"/>
      <c r="V608" s="12"/>
      <c r="W608" s="13"/>
    </row>
    <row r="609" spans="9:23" ht="14.25" customHeight="1" x14ac:dyDescent="0.5">
      <c r="I609" s="10"/>
      <c r="J609" s="10"/>
      <c r="K609" s="11"/>
      <c r="U609" s="12"/>
      <c r="V609" s="12"/>
      <c r="W609" s="13"/>
    </row>
    <row r="610" spans="9:23" ht="14.25" customHeight="1" x14ac:dyDescent="0.5">
      <c r="I610" s="10"/>
      <c r="J610" s="10"/>
      <c r="K610" s="11"/>
      <c r="U610" s="12"/>
      <c r="V610" s="12"/>
      <c r="W610" s="13"/>
    </row>
    <row r="611" spans="9:23" ht="14.25" customHeight="1" x14ac:dyDescent="0.5">
      <c r="I611" s="10"/>
      <c r="J611" s="10"/>
      <c r="K611" s="11"/>
      <c r="U611" s="12"/>
      <c r="V611" s="12"/>
      <c r="W611" s="13"/>
    </row>
    <row r="612" spans="9:23" ht="14.25" customHeight="1" x14ac:dyDescent="0.5">
      <c r="I612" s="10"/>
      <c r="J612" s="10"/>
      <c r="K612" s="11"/>
      <c r="U612" s="12"/>
      <c r="V612" s="12"/>
      <c r="W612" s="13"/>
    </row>
    <row r="613" spans="9:23" ht="14.25" customHeight="1" x14ac:dyDescent="0.5">
      <c r="I613" s="10"/>
      <c r="J613" s="10"/>
      <c r="K613" s="11"/>
      <c r="U613" s="12"/>
      <c r="V613" s="12"/>
      <c r="W613" s="13"/>
    </row>
    <row r="614" spans="9:23" ht="14.25" customHeight="1" x14ac:dyDescent="0.5">
      <c r="I614" s="10"/>
      <c r="J614" s="10"/>
      <c r="K614" s="11"/>
      <c r="U614" s="12"/>
      <c r="V614" s="12"/>
      <c r="W614" s="13"/>
    </row>
    <row r="615" spans="9:23" ht="14.25" customHeight="1" x14ac:dyDescent="0.5">
      <c r="I615" s="10"/>
      <c r="J615" s="10"/>
      <c r="K615" s="11"/>
      <c r="U615" s="12"/>
      <c r="V615" s="12"/>
      <c r="W615" s="13"/>
    </row>
    <row r="616" spans="9:23" ht="14.25" customHeight="1" x14ac:dyDescent="0.5">
      <c r="I616" s="10"/>
      <c r="J616" s="10"/>
      <c r="K616" s="11"/>
      <c r="U616" s="12"/>
      <c r="V616" s="12"/>
      <c r="W616" s="13"/>
    </row>
    <row r="617" spans="9:23" ht="14.25" customHeight="1" x14ac:dyDescent="0.5">
      <c r="I617" s="10"/>
      <c r="J617" s="10"/>
      <c r="K617" s="11"/>
      <c r="U617" s="12"/>
      <c r="V617" s="12"/>
      <c r="W617" s="13"/>
    </row>
    <row r="618" spans="9:23" ht="14.25" customHeight="1" x14ac:dyDescent="0.5">
      <c r="I618" s="10"/>
      <c r="J618" s="10"/>
      <c r="K618" s="11"/>
      <c r="U618" s="12"/>
      <c r="V618" s="12"/>
      <c r="W618" s="13"/>
    </row>
    <row r="619" spans="9:23" ht="14.25" customHeight="1" x14ac:dyDescent="0.5">
      <c r="I619" s="10"/>
      <c r="J619" s="10"/>
      <c r="K619" s="11"/>
      <c r="U619" s="12"/>
      <c r="V619" s="12"/>
      <c r="W619" s="13"/>
    </row>
    <row r="620" spans="9:23" ht="14.25" customHeight="1" x14ac:dyDescent="0.5">
      <c r="I620" s="10"/>
      <c r="J620" s="10"/>
      <c r="K620" s="11"/>
      <c r="U620" s="12"/>
      <c r="V620" s="12"/>
      <c r="W620" s="13"/>
    </row>
    <row r="621" spans="9:23" ht="14.25" customHeight="1" x14ac:dyDescent="0.5">
      <c r="I621" s="10"/>
      <c r="J621" s="10"/>
      <c r="K621" s="11"/>
      <c r="U621" s="12"/>
      <c r="V621" s="12"/>
      <c r="W621" s="13"/>
    </row>
    <row r="622" spans="9:23" ht="14.25" customHeight="1" x14ac:dyDescent="0.5">
      <c r="I622" s="10"/>
      <c r="J622" s="10"/>
      <c r="K622" s="11"/>
      <c r="U622" s="12"/>
      <c r="V622" s="12"/>
      <c r="W622" s="13"/>
    </row>
    <row r="623" spans="9:23" ht="14.25" customHeight="1" x14ac:dyDescent="0.5">
      <c r="I623" s="10"/>
      <c r="J623" s="10"/>
      <c r="K623" s="11"/>
      <c r="U623" s="12"/>
      <c r="V623" s="12"/>
      <c r="W623" s="13"/>
    </row>
    <row r="624" spans="9:23" ht="14.25" customHeight="1" x14ac:dyDescent="0.5">
      <c r="I624" s="10"/>
      <c r="J624" s="10"/>
      <c r="K624" s="11"/>
      <c r="U624" s="12"/>
      <c r="V624" s="12"/>
      <c r="W624" s="13"/>
    </row>
    <row r="625" spans="9:23" ht="14.25" customHeight="1" x14ac:dyDescent="0.5">
      <c r="I625" s="10"/>
      <c r="J625" s="10"/>
      <c r="K625" s="11"/>
      <c r="U625" s="12"/>
      <c r="V625" s="12"/>
      <c r="W625" s="13"/>
    </row>
    <row r="626" spans="9:23" ht="14.25" customHeight="1" x14ac:dyDescent="0.5">
      <c r="I626" s="10"/>
      <c r="J626" s="10"/>
      <c r="K626" s="11"/>
      <c r="U626" s="12"/>
      <c r="V626" s="12"/>
      <c r="W626" s="13"/>
    </row>
    <row r="627" spans="9:23" ht="14.25" customHeight="1" x14ac:dyDescent="0.5">
      <c r="I627" s="10"/>
      <c r="J627" s="10"/>
      <c r="K627" s="11"/>
      <c r="U627" s="12"/>
      <c r="V627" s="12"/>
      <c r="W627" s="13"/>
    </row>
    <row r="628" spans="9:23" ht="14.25" customHeight="1" x14ac:dyDescent="0.5">
      <c r="I628" s="10"/>
      <c r="J628" s="10"/>
      <c r="K628" s="11"/>
      <c r="U628" s="12"/>
      <c r="V628" s="12"/>
      <c r="W628" s="13"/>
    </row>
    <row r="629" spans="9:23" ht="14.25" customHeight="1" x14ac:dyDescent="0.5">
      <c r="I629" s="10"/>
      <c r="J629" s="10"/>
      <c r="K629" s="11"/>
      <c r="U629" s="12"/>
      <c r="V629" s="12"/>
      <c r="W629" s="13"/>
    </row>
    <row r="630" spans="9:23" ht="14.25" customHeight="1" x14ac:dyDescent="0.5">
      <c r="I630" s="10"/>
      <c r="J630" s="10"/>
      <c r="K630" s="11"/>
      <c r="U630" s="12"/>
      <c r="V630" s="12"/>
      <c r="W630" s="13"/>
    </row>
    <row r="631" spans="9:23" ht="14.25" customHeight="1" x14ac:dyDescent="0.5">
      <c r="I631" s="10"/>
      <c r="J631" s="10"/>
      <c r="K631" s="11"/>
      <c r="U631" s="12"/>
      <c r="V631" s="12"/>
      <c r="W631" s="13"/>
    </row>
    <row r="632" spans="9:23" ht="14.25" customHeight="1" x14ac:dyDescent="0.5">
      <c r="I632" s="10"/>
      <c r="J632" s="10"/>
      <c r="K632" s="11"/>
      <c r="U632" s="12"/>
      <c r="V632" s="12"/>
      <c r="W632" s="13"/>
    </row>
    <row r="633" spans="9:23" ht="14.25" customHeight="1" x14ac:dyDescent="0.5">
      <c r="I633" s="10"/>
      <c r="J633" s="10"/>
      <c r="K633" s="11"/>
      <c r="U633" s="12"/>
      <c r="V633" s="12"/>
      <c r="W633" s="13"/>
    </row>
    <row r="634" spans="9:23" ht="14.25" customHeight="1" x14ac:dyDescent="0.5">
      <c r="I634" s="10"/>
      <c r="J634" s="10"/>
      <c r="K634" s="11"/>
      <c r="U634" s="12"/>
      <c r="V634" s="12"/>
      <c r="W634" s="13"/>
    </row>
    <row r="635" spans="9:23" ht="14.25" customHeight="1" x14ac:dyDescent="0.5">
      <c r="I635" s="10"/>
      <c r="J635" s="10"/>
      <c r="K635" s="11"/>
      <c r="U635" s="12"/>
      <c r="V635" s="12"/>
      <c r="W635" s="13"/>
    </row>
    <row r="636" spans="9:23" ht="14.25" customHeight="1" x14ac:dyDescent="0.5">
      <c r="I636" s="10"/>
      <c r="J636" s="10"/>
      <c r="K636" s="11"/>
      <c r="U636" s="12"/>
      <c r="V636" s="12"/>
      <c r="W636" s="13"/>
    </row>
    <row r="637" spans="9:23" ht="14.25" customHeight="1" x14ac:dyDescent="0.5">
      <c r="I637" s="10"/>
      <c r="J637" s="10"/>
      <c r="K637" s="11"/>
      <c r="U637" s="12"/>
      <c r="V637" s="12"/>
      <c r="W637" s="13"/>
    </row>
    <row r="638" spans="9:23" ht="14.25" customHeight="1" x14ac:dyDescent="0.5">
      <c r="I638" s="10"/>
      <c r="J638" s="10"/>
      <c r="K638" s="11"/>
      <c r="U638" s="12"/>
      <c r="V638" s="12"/>
      <c r="W638" s="13"/>
    </row>
    <row r="639" spans="9:23" ht="14.25" customHeight="1" x14ac:dyDescent="0.5">
      <c r="I639" s="10"/>
      <c r="J639" s="10"/>
      <c r="K639" s="11"/>
      <c r="U639" s="12"/>
      <c r="V639" s="12"/>
      <c r="W639" s="13"/>
    </row>
    <row r="640" spans="9:23" ht="14.25" customHeight="1" x14ac:dyDescent="0.5">
      <c r="I640" s="10"/>
      <c r="J640" s="10"/>
      <c r="K640" s="11"/>
      <c r="U640" s="12"/>
      <c r="V640" s="12"/>
      <c r="W640" s="13"/>
    </row>
    <row r="641" spans="9:23" ht="14.25" customHeight="1" x14ac:dyDescent="0.5">
      <c r="I641" s="10"/>
      <c r="J641" s="10"/>
      <c r="K641" s="11"/>
      <c r="U641" s="12"/>
      <c r="V641" s="12"/>
      <c r="W641" s="13"/>
    </row>
    <row r="642" spans="9:23" ht="14.25" customHeight="1" x14ac:dyDescent="0.5">
      <c r="I642" s="10"/>
      <c r="J642" s="10"/>
      <c r="K642" s="11"/>
      <c r="U642" s="12"/>
      <c r="V642" s="12"/>
      <c r="W642" s="13"/>
    </row>
    <row r="643" spans="9:23" ht="14.25" customHeight="1" x14ac:dyDescent="0.5">
      <c r="I643" s="10"/>
      <c r="J643" s="10"/>
      <c r="K643" s="11"/>
      <c r="U643" s="12"/>
      <c r="V643" s="12"/>
      <c r="W643" s="13"/>
    </row>
    <row r="644" spans="9:23" ht="14.25" customHeight="1" x14ac:dyDescent="0.5">
      <c r="I644" s="10"/>
      <c r="J644" s="10"/>
      <c r="K644" s="11"/>
      <c r="U644" s="12"/>
      <c r="V644" s="12"/>
      <c r="W644" s="13"/>
    </row>
    <row r="645" spans="9:23" ht="14.25" customHeight="1" x14ac:dyDescent="0.5">
      <c r="I645" s="10"/>
      <c r="J645" s="10"/>
      <c r="K645" s="11"/>
      <c r="U645" s="12"/>
      <c r="V645" s="12"/>
      <c r="W645" s="13"/>
    </row>
    <row r="646" spans="9:23" ht="14.25" customHeight="1" x14ac:dyDescent="0.5">
      <c r="I646" s="10"/>
      <c r="J646" s="10"/>
      <c r="K646" s="11"/>
      <c r="U646" s="12"/>
      <c r="V646" s="12"/>
      <c r="W646" s="13"/>
    </row>
    <row r="647" spans="9:23" ht="14.25" customHeight="1" x14ac:dyDescent="0.5">
      <c r="I647" s="10"/>
      <c r="J647" s="10"/>
      <c r="K647" s="11"/>
      <c r="U647" s="12"/>
      <c r="V647" s="12"/>
      <c r="W647" s="13"/>
    </row>
    <row r="648" spans="9:23" ht="14.25" customHeight="1" x14ac:dyDescent="0.5">
      <c r="I648" s="10"/>
      <c r="J648" s="10"/>
      <c r="K648" s="11"/>
      <c r="U648" s="12"/>
      <c r="V648" s="12"/>
      <c r="W648" s="13"/>
    </row>
    <row r="649" spans="9:23" ht="14.25" customHeight="1" x14ac:dyDescent="0.5">
      <c r="I649" s="10"/>
      <c r="J649" s="10"/>
      <c r="K649" s="11"/>
      <c r="U649" s="12"/>
      <c r="V649" s="12"/>
      <c r="W649" s="13"/>
    </row>
    <row r="650" spans="9:23" ht="14.25" customHeight="1" x14ac:dyDescent="0.5">
      <c r="I650" s="10"/>
      <c r="J650" s="10"/>
      <c r="K650" s="11"/>
      <c r="U650" s="12"/>
      <c r="V650" s="12"/>
      <c r="W650" s="13"/>
    </row>
    <row r="651" spans="9:23" ht="14.25" customHeight="1" x14ac:dyDescent="0.5">
      <c r="I651" s="10"/>
      <c r="J651" s="10"/>
      <c r="K651" s="11"/>
      <c r="U651" s="12"/>
      <c r="V651" s="12"/>
      <c r="W651" s="13"/>
    </row>
    <row r="652" spans="9:23" ht="14.25" customHeight="1" x14ac:dyDescent="0.5">
      <c r="I652" s="10"/>
      <c r="J652" s="10"/>
      <c r="K652" s="11"/>
      <c r="U652" s="12"/>
      <c r="V652" s="12"/>
      <c r="W652" s="13"/>
    </row>
    <row r="653" spans="9:23" ht="14.25" customHeight="1" x14ac:dyDescent="0.5">
      <c r="I653" s="10"/>
      <c r="J653" s="10"/>
      <c r="K653" s="11"/>
      <c r="U653" s="12"/>
      <c r="V653" s="12"/>
      <c r="W653" s="13"/>
    </row>
    <row r="654" spans="9:23" ht="14.25" customHeight="1" x14ac:dyDescent="0.5">
      <c r="I654" s="10"/>
      <c r="J654" s="10"/>
      <c r="K654" s="11"/>
      <c r="U654" s="12"/>
      <c r="V654" s="12"/>
      <c r="W654" s="13"/>
    </row>
    <row r="655" spans="9:23" ht="14.25" customHeight="1" x14ac:dyDescent="0.5">
      <c r="I655" s="10"/>
      <c r="J655" s="10"/>
      <c r="K655" s="11"/>
      <c r="U655" s="12"/>
      <c r="V655" s="12"/>
      <c r="W655" s="13"/>
    </row>
    <row r="656" spans="9:23" ht="14.25" customHeight="1" x14ac:dyDescent="0.5">
      <c r="I656" s="10"/>
      <c r="J656" s="10"/>
      <c r="K656" s="11"/>
      <c r="U656" s="12"/>
      <c r="V656" s="12"/>
      <c r="W656" s="13"/>
    </row>
    <row r="657" spans="9:23" ht="14.25" customHeight="1" x14ac:dyDescent="0.5">
      <c r="I657" s="10"/>
      <c r="J657" s="10"/>
      <c r="K657" s="11"/>
      <c r="U657" s="12"/>
      <c r="V657" s="12"/>
      <c r="W657" s="13"/>
    </row>
    <row r="658" spans="9:23" ht="14.25" customHeight="1" x14ac:dyDescent="0.5">
      <c r="I658" s="10"/>
      <c r="J658" s="10"/>
      <c r="K658" s="11"/>
      <c r="U658" s="12"/>
      <c r="V658" s="12"/>
      <c r="W658" s="13"/>
    </row>
    <row r="659" spans="9:23" ht="14.25" customHeight="1" x14ac:dyDescent="0.5">
      <c r="I659" s="10"/>
      <c r="J659" s="10"/>
      <c r="K659" s="11"/>
      <c r="U659" s="12"/>
      <c r="V659" s="12"/>
      <c r="W659" s="13"/>
    </row>
    <row r="660" spans="9:23" ht="14.25" customHeight="1" x14ac:dyDescent="0.5">
      <c r="I660" s="10"/>
      <c r="J660" s="10"/>
      <c r="K660" s="11"/>
      <c r="U660" s="12"/>
      <c r="V660" s="12"/>
      <c r="W660" s="13"/>
    </row>
    <row r="661" spans="9:23" ht="14.25" customHeight="1" x14ac:dyDescent="0.5">
      <c r="I661" s="10"/>
      <c r="J661" s="10"/>
      <c r="K661" s="11"/>
      <c r="U661" s="12"/>
      <c r="V661" s="12"/>
      <c r="W661" s="13"/>
    </row>
    <row r="662" spans="9:23" ht="14.25" customHeight="1" x14ac:dyDescent="0.5">
      <c r="I662" s="10"/>
      <c r="J662" s="10"/>
      <c r="K662" s="11"/>
      <c r="U662" s="12"/>
      <c r="V662" s="12"/>
      <c r="W662" s="13"/>
    </row>
    <row r="663" spans="9:23" ht="14.25" customHeight="1" x14ac:dyDescent="0.5">
      <c r="I663" s="10"/>
      <c r="J663" s="10"/>
      <c r="K663" s="11"/>
      <c r="U663" s="12"/>
      <c r="V663" s="12"/>
      <c r="W663" s="13"/>
    </row>
    <row r="664" spans="9:23" ht="14.25" customHeight="1" x14ac:dyDescent="0.5">
      <c r="I664" s="10"/>
      <c r="J664" s="10"/>
      <c r="K664" s="11"/>
      <c r="U664" s="12"/>
      <c r="V664" s="12"/>
      <c r="W664" s="13"/>
    </row>
    <row r="665" spans="9:23" ht="14.25" customHeight="1" x14ac:dyDescent="0.5">
      <c r="I665" s="10"/>
      <c r="J665" s="10"/>
      <c r="K665" s="11"/>
      <c r="U665" s="12"/>
      <c r="V665" s="12"/>
      <c r="W665" s="13"/>
    </row>
    <row r="666" spans="9:23" ht="14.25" customHeight="1" x14ac:dyDescent="0.5">
      <c r="I666" s="10"/>
      <c r="J666" s="10"/>
      <c r="K666" s="11"/>
      <c r="U666" s="12"/>
      <c r="V666" s="12"/>
      <c r="W666" s="13"/>
    </row>
    <row r="667" spans="9:23" ht="14.25" customHeight="1" x14ac:dyDescent="0.5">
      <c r="I667" s="10"/>
      <c r="J667" s="10"/>
      <c r="K667" s="11"/>
      <c r="U667" s="12"/>
      <c r="V667" s="12"/>
      <c r="W667" s="13"/>
    </row>
    <row r="668" spans="9:23" ht="14.25" customHeight="1" x14ac:dyDescent="0.5">
      <c r="I668" s="10"/>
      <c r="J668" s="10"/>
      <c r="K668" s="11"/>
      <c r="U668" s="12"/>
      <c r="V668" s="12"/>
      <c r="W668" s="13"/>
    </row>
    <row r="669" spans="9:23" ht="14.25" customHeight="1" x14ac:dyDescent="0.5">
      <c r="I669" s="10"/>
      <c r="J669" s="10"/>
      <c r="K669" s="11"/>
      <c r="U669" s="12"/>
      <c r="V669" s="12"/>
      <c r="W669" s="13"/>
    </row>
    <row r="670" spans="9:23" ht="14.25" customHeight="1" x14ac:dyDescent="0.5">
      <c r="I670" s="10"/>
      <c r="J670" s="10"/>
      <c r="K670" s="11"/>
      <c r="U670" s="12"/>
      <c r="V670" s="12"/>
      <c r="W670" s="13"/>
    </row>
    <row r="671" spans="9:23" ht="14.25" customHeight="1" x14ac:dyDescent="0.5">
      <c r="I671" s="10"/>
      <c r="J671" s="10"/>
      <c r="K671" s="11"/>
      <c r="U671" s="12"/>
      <c r="V671" s="12"/>
      <c r="W671" s="13"/>
    </row>
    <row r="672" spans="9:23" ht="14.25" customHeight="1" x14ac:dyDescent="0.5">
      <c r="I672" s="10"/>
      <c r="J672" s="10"/>
      <c r="K672" s="11"/>
      <c r="U672" s="12"/>
      <c r="V672" s="12"/>
      <c r="W672" s="13"/>
    </row>
    <row r="673" spans="9:23" ht="14.25" customHeight="1" x14ac:dyDescent="0.5">
      <c r="I673" s="10"/>
      <c r="J673" s="10"/>
      <c r="K673" s="11"/>
      <c r="U673" s="12"/>
      <c r="V673" s="12"/>
      <c r="W673" s="13"/>
    </row>
    <row r="674" spans="9:23" ht="14.25" customHeight="1" x14ac:dyDescent="0.5">
      <c r="I674" s="10"/>
      <c r="J674" s="10"/>
      <c r="K674" s="11"/>
      <c r="U674" s="12"/>
      <c r="V674" s="12"/>
      <c r="W674" s="13"/>
    </row>
    <row r="675" spans="9:23" ht="14.25" customHeight="1" x14ac:dyDescent="0.5">
      <c r="I675" s="10"/>
      <c r="J675" s="10"/>
      <c r="K675" s="11"/>
      <c r="U675" s="12"/>
      <c r="V675" s="12"/>
      <c r="W675" s="13"/>
    </row>
    <row r="676" spans="9:23" ht="14.25" customHeight="1" x14ac:dyDescent="0.5">
      <c r="I676" s="10"/>
      <c r="J676" s="10"/>
      <c r="K676" s="11"/>
      <c r="U676" s="12"/>
      <c r="V676" s="12"/>
      <c r="W676" s="13"/>
    </row>
    <row r="677" spans="9:23" ht="14.25" customHeight="1" x14ac:dyDescent="0.5">
      <c r="I677" s="10"/>
      <c r="J677" s="10"/>
      <c r="K677" s="11"/>
      <c r="U677" s="12"/>
      <c r="V677" s="12"/>
      <c r="W677" s="13"/>
    </row>
    <row r="678" spans="9:23" ht="14.25" customHeight="1" x14ac:dyDescent="0.5">
      <c r="I678" s="10"/>
      <c r="J678" s="10"/>
      <c r="K678" s="11"/>
      <c r="U678" s="12"/>
      <c r="V678" s="12"/>
      <c r="W678" s="13"/>
    </row>
    <row r="679" spans="9:23" ht="14.25" customHeight="1" x14ac:dyDescent="0.5">
      <c r="I679" s="10"/>
      <c r="J679" s="10"/>
      <c r="K679" s="11"/>
      <c r="U679" s="12"/>
      <c r="V679" s="12"/>
      <c r="W679" s="13"/>
    </row>
    <row r="680" spans="9:23" ht="14.25" customHeight="1" x14ac:dyDescent="0.5">
      <c r="I680" s="10"/>
      <c r="J680" s="10"/>
      <c r="K680" s="11"/>
      <c r="U680" s="12"/>
      <c r="V680" s="12"/>
      <c r="W680" s="13"/>
    </row>
    <row r="681" spans="9:23" ht="14.25" customHeight="1" x14ac:dyDescent="0.5">
      <c r="I681" s="10"/>
      <c r="J681" s="10"/>
      <c r="K681" s="11"/>
      <c r="U681" s="12"/>
      <c r="V681" s="12"/>
      <c r="W681" s="13"/>
    </row>
    <row r="682" spans="9:23" ht="14.25" customHeight="1" x14ac:dyDescent="0.5">
      <c r="I682" s="10"/>
      <c r="J682" s="10"/>
      <c r="K682" s="11"/>
      <c r="U682" s="12"/>
      <c r="V682" s="12"/>
      <c r="W682" s="13"/>
    </row>
    <row r="683" spans="9:23" ht="14.25" customHeight="1" x14ac:dyDescent="0.5">
      <c r="I683" s="10"/>
      <c r="J683" s="10"/>
      <c r="K683" s="11"/>
      <c r="U683" s="12"/>
      <c r="V683" s="12"/>
      <c r="W683" s="13"/>
    </row>
    <row r="684" spans="9:23" ht="14.25" customHeight="1" x14ac:dyDescent="0.5">
      <c r="I684" s="10"/>
      <c r="J684" s="10"/>
      <c r="K684" s="11"/>
      <c r="U684" s="12"/>
      <c r="V684" s="12"/>
      <c r="W684" s="13"/>
    </row>
    <row r="685" spans="9:23" ht="14.25" customHeight="1" x14ac:dyDescent="0.5">
      <c r="I685" s="10"/>
      <c r="J685" s="10"/>
      <c r="K685" s="11"/>
      <c r="U685" s="12"/>
      <c r="V685" s="12"/>
      <c r="W685" s="13"/>
    </row>
    <row r="686" spans="9:23" ht="14.25" customHeight="1" x14ac:dyDescent="0.5">
      <c r="I686" s="10"/>
      <c r="J686" s="10"/>
      <c r="K686" s="11"/>
      <c r="U686" s="12"/>
      <c r="V686" s="12"/>
      <c r="W686" s="13"/>
    </row>
    <row r="687" spans="9:23" ht="14.25" customHeight="1" x14ac:dyDescent="0.5">
      <c r="I687" s="10"/>
      <c r="J687" s="10"/>
      <c r="K687" s="11"/>
      <c r="U687" s="12"/>
      <c r="V687" s="12"/>
      <c r="W687" s="13"/>
    </row>
    <row r="688" spans="9:23" ht="14.25" customHeight="1" x14ac:dyDescent="0.5">
      <c r="I688" s="10"/>
      <c r="J688" s="10"/>
      <c r="K688" s="11"/>
      <c r="U688" s="12"/>
      <c r="V688" s="12"/>
      <c r="W688" s="13"/>
    </row>
    <row r="689" spans="9:23" ht="14.25" customHeight="1" x14ac:dyDescent="0.5">
      <c r="I689" s="10"/>
      <c r="J689" s="10"/>
      <c r="K689" s="11"/>
      <c r="U689" s="12"/>
      <c r="V689" s="12"/>
      <c r="W689" s="13"/>
    </row>
    <row r="690" spans="9:23" ht="14.25" customHeight="1" x14ac:dyDescent="0.5">
      <c r="I690" s="10"/>
      <c r="J690" s="10"/>
      <c r="K690" s="11"/>
      <c r="U690" s="12"/>
      <c r="V690" s="12"/>
      <c r="W690" s="13"/>
    </row>
    <row r="691" spans="9:23" ht="14.25" customHeight="1" x14ac:dyDescent="0.5">
      <c r="I691" s="10"/>
      <c r="J691" s="10"/>
      <c r="K691" s="11"/>
      <c r="U691" s="12"/>
      <c r="V691" s="12"/>
      <c r="W691" s="13"/>
    </row>
    <row r="692" spans="9:23" ht="14.25" customHeight="1" x14ac:dyDescent="0.5">
      <c r="I692" s="10"/>
      <c r="J692" s="10"/>
      <c r="K692" s="11"/>
      <c r="U692" s="12"/>
      <c r="V692" s="12"/>
      <c r="W692" s="13"/>
    </row>
    <row r="693" spans="9:23" ht="14.25" customHeight="1" x14ac:dyDescent="0.5">
      <c r="I693" s="10"/>
      <c r="J693" s="10"/>
      <c r="K693" s="11"/>
      <c r="U693" s="12"/>
      <c r="V693" s="12"/>
      <c r="W693" s="13"/>
    </row>
    <row r="694" spans="9:23" ht="14.25" customHeight="1" x14ac:dyDescent="0.5">
      <c r="I694" s="10"/>
      <c r="J694" s="10"/>
      <c r="K694" s="11"/>
      <c r="U694" s="12"/>
      <c r="V694" s="12"/>
      <c r="W694" s="13"/>
    </row>
    <row r="695" spans="9:23" ht="14.25" customHeight="1" x14ac:dyDescent="0.5">
      <c r="I695" s="10"/>
      <c r="J695" s="10"/>
      <c r="K695" s="11"/>
      <c r="U695" s="12"/>
      <c r="V695" s="12"/>
      <c r="W695" s="13"/>
    </row>
    <row r="696" spans="9:23" ht="14.25" customHeight="1" x14ac:dyDescent="0.5">
      <c r="I696" s="10"/>
      <c r="J696" s="10"/>
      <c r="K696" s="11"/>
      <c r="U696" s="12"/>
      <c r="V696" s="12"/>
      <c r="W696" s="13"/>
    </row>
    <row r="697" spans="9:23" ht="14.25" customHeight="1" x14ac:dyDescent="0.5">
      <c r="I697" s="10"/>
      <c r="J697" s="10"/>
      <c r="K697" s="11"/>
      <c r="U697" s="12"/>
      <c r="V697" s="12"/>
      <c r="W697" s="13"/>
    </row>
    <row r="698" spans="9:23" ht="14.25" customHeight="1" x14ac:dyDescent="0.5">
      <c r="I698" s="10"/>
      <c r="J698" s="10"/>
      <c r="K698" s="11"/>
      <c r="U698" s="12"/>
      <c r="V698" s="12"/>
      <c r="W698" s="13"/>
    </row>
    <row r="699" spans="9:23" ht="14.25" customHeight="1" x14ac:dyDescent="0.5">
      <c r="I699" s="10"/>
      <c r="J699" s="10"/>
      <c r="K699" s="11"/>
      <c r="U699" s="12"/>
      <c r="V699" s="12"/>
      <c r="W699" s="13"/>
    </row>
    <row r="700" spans="9:23" ht="14.25" customHeight="1" x14ac:dyDescent="0.5">
      <c r="I700" s="10"/>
      <c r="J700" s="10"/>
      <c r="K700" s="11"/>
      <c r="U700" s="12"/>
      <c r="V700" s="12"/>
      <c r="W700" s="13"/>
    </row>
    <row r="701" spans="9:23" ht="14.25" customHeight="1" x14ac:dyDescent="0.5">
      <c r="I701" s="10"/>
      <c r="J701" s="10"/>
      <c r="K701" s="11"/>
      <c r="U701" s="12"/>
      <c r="V701" s="12"/>
      <c r="W701" s="13"/>
    </row>
    <row r="702" spans="9:23" ht="14.25" customHeight="1" x14ac:dyDescent="0.5">
      <c r="I702" s="10"/>
      <c r="J702" s="10"/>
      <c r="K702" s="11"/>
      <c r="U702" s="12"/>
      <c r="V702" s="12"/>
      <c r="W702" s="13"/>
    </row>
    <row r="703" spans="9:23" ht="14.25" customHeight="1" x14ac:dyDescent="0.5">
      <c r="I703" s="10"/>
      <c r="J703" s="10"/>
      <c r="K703" s="11"/>
      <c r="U703" s="12"/>
      <c r="V703" s="12"/>
      <c r="W703" s="13"/>
    </row>
    <row r="704" spans="9:23" ht="14.25" customHeight="1" x14ac:dyDescent="0.5">
      <c r="I704" s="10"/>
      <c r="J704" s="10"/>
      <c r="K704" s="11"/>
      <c r="U704" s="12"/>
      <c r="V704" s="12"/>
      <c r="W704" s="13"/>
    </row>
    <row r="705" spans="9:23" ht="14.25" customHeight="1" x14ac:dyDescent="0.5">
      <c r="I705" s="10"/>
      <c r="J705" s="10"/>
      <c r="K705" s="11"/>
      <c r="U705" s="12"/>
      <c r="V705" s="12"/>
      <c r="W705" s="13"/>
    </row>
    <row r="706" spans="9:23" ht="14.25" customHeight="1" x14ac:dyDescent="0.5">
      <c r="I706" s="10"/>
      <c r="J706" s="10"/>
      <c r="K706" s="11"/>
      <c r="U706" s="12"/>
      <c r="V706" s="12"/>
      <c r="W706" s="13"/>
    </row>
    <row r="707" spans="9:23" ht="14.25" customHeight="1" x14ac:dyDescent="0.5">
      <c r="I707" s="10"/>
      <c r="J707" s="10"/>
      <c r="K707" s="11"/>
      <c r="U707" s="12"/>
      <c r="V707" s="12"/>
      <c r="W707" s="13"/>
    </row>
    <row r="708" spans="9:23" ht="14.25" customHeight="1" x14ac:dyDescent="0.5">
      <c r="I708" s="10"/>
      <c r="J708" s="10"/>
      <c r="K708" s="11"/>
      <c r="U708" s="12"/>
      <c r="V708" s="12"/>
      <c r="W708" s="13"/>
    </row>
    <row r="709" spans="9:23" ht="14.25" customHeight="1" x14ac:dyDescent="0.5">
      <c r="I709" s="10"/>
      <c r="J709" s="10"/>
      <c r="K709" s="11"/>
      <c r="U709" s="12"/>
      <c r="V709" s="12"/>
      <c r="W709" s="13"/>
    </row>
    <row r="710" spans="9:23" ht="14.25" customHeight="1" x14ac:dyDescent="0.5">
      <c r="I710" s="10"/>
      <c r="J710" s="10"/>
      <c r="K710" s="11"/>
      <c r="U710" s="12"/>
      <c r="V710" s="12"/>
      <c r="W710" s="13"/>
    </row>
    <row r="711" spans="9:23" ht="14.25" customHeight="1" x14ac:dyDescent="0.5">
      <c r="I711" s="10"/>
      <c r="J711" s="10"/>
      <c r="K711" s="11"/>
      <c r="U711" s="12"/>
      <c r="V711" s="12"/>
      <c r="W711" s="13"/>
    </row>
    <row r="712" spans="9:23" ht="14.25" customHeight="1" x14ac:dyDescent="0.5">
      <c r="I712" s="10"/>
      <c r="J712" s="10"/>
      <c r="K712" s="11"/>
      <c r="U712" s="12"/>
      <c r="V712" s="12"/>
      <c r="W712" s="13"/>
    </row>
    <row r="713" spans="9:23" ht="14.25" customHeight="1" x14ac:dyDescent="0.5">
      <c r="I713" s="10"/>
      <c r="J713" s="10"/>
      <c r="K713" s="11"/>
      <c r="U713" s="12"/>
      <c r="V713" s="12"/>
      <c r="W713" s="13"/>
    </row>
    <row r="714" spans="9:23" ht="14.25" customHeight="1" x14ac:dyDescent="0.5">
      <c r="I714" s="10"/>
      <c r="J714" s="10"/>
      <c r="K714" s="11"/>
      <c r="U714" s="12"/>
      <c r="V714" s="12"/>
      <c r="W714" s="13"/>
    </row>
    <row r="715" spans="9:23" ht="14.25" customHeight="1" x14ac:dyDescent="0.5">
      <c r="I715" s="10"/>
      <c r="J715" s="10"/>
      <c r="K715" s="11"/>
      <c r="U715" s="12"/>
      <c r="V715" s="12"/>
      <c r="W715" s="13"/>
    </row>
    <row r="716" spans="9:23" ht="14.25" customHeight="1" x14ac:dyDescent="0.5">
      <c r="I716" s="10"/>
      <c r="J716" s="10"/>
      <c r="K716" s="11"/>
      <c r="U716" s="12"/>
      <c r="V716" s="12"/>
      <c r="W716" s="13"/>
    </row>
    <row r="717" spans="9:23" ht="14.25" customHeight="1" x14ac:dyDescent="0.5">
      <c r="I717" s="10"/>
      <c r="J717" s="10"/>
      <c r="K717" s="11"/>
      <c r="U717" s="12"/>
      <c r="V717" s="12"/>
      <c r="W717" s="13"/>
    </row>
    <row r="718" spans="9:23" ht="14.25" customHeight="1" x14ac:dyDescent="0.5">
      <c r="I718" s="10"/>
      <c r="J718" s="10"/>
      <c r="K718" s="11"/>
      <c r="U718" s="12"/>
      <c r="V718" s="12"/>
      <c r="W718" s="13"/>
    </row>
    <row r="719" spans="9:23" ht="14.25" customHeight="1" x14ac:dyDescent="0.5">
      <c r="I719" s="10"/>
      <c r="J719" s="10"/>
      <c r="K719" s="11"/>
      <c r="U719" s="12"/>
      <c r="V719" s="12"/>
      <c r="W719" s="13"/>
    </row>
    <row r="720" spans="9:23" ht="14.25" customHeight="1" x14ac:dyDescent="0.5">
      <c r="I720" s="10"/>
      <c r="J720" s="10"/>
      <c r="K720" s="11"/>
      <c r="U720" s="12"/>
      <c r="V720" s="12"/>
      <c r="W720" s="13"/>
    </row>
    <row r="721" spans="9:23" ht="14.25" customHeight="1" x14ac:dyDescent="0.5">
      <c r="I721" s="10"/>
      <c r="J721" s="10"/>
      <c r="K721" s="11"/>
      <c r="U721" s="12"/>
      <c r="V721" s="12"/>
      <c r="W721" s="13"/>
    </row>
    <row r="722" spans="9:23" ht="14.25" customHeight="1" x14ac:dyDescent="0.5">
      <c r="I722" s="10"/>
      <c r="J722" s="10"/>
      <c r="K722" s="11"/>
      <c r="U722" s="12"/>
      <c r="V722" s="12"/>
      <c r="W722" s="13"/>
    </row>
    <row r="723" spans="9:23" ht="14.25" customHeight="1" x14ac:dyDescent="0.5">
      <c r="I723" s="10"/>
      <c r="J723" s="10"/>
      <c r="K723" s="11"/>
      <c r="U723" s="12"/>
      <c r="V723" s="12"/>
      <c r="W723" s="13"/>
    </row>
    <row r="724" spans="9:23" ht="14.25" customHeight="1" x14ac:dyDescent="0.5">
      <c r="I724" s="10"/>
      <c r="J724" s="10"/>
      <c r="K724" s="11"/>
      <c r="U724" s="12"/>
      <c r="V724" s="12"/>
      <c r="W724" s="13"/>
    </row>
    <row r="725" spans="9:23" ht="14.25" customHeight="1" x14ac:dyDescent="0.5">
      <c r="I725" s="10"/>
      <c r="J725" s="10"/>
      <c r="K725" s="11"/>
      <c r="U725" s="12"/>
      <c r="V725" s="12"/>
      <c r="W725" s="13"/>
    </row>
    <row r="726" spans="9:23" ht="14.25" customHeight="1" x14ac:dyDescent="0.5">
      <c r="I726" s="10"/>
      <c r="J726" s="10"/>
      <c r="K726" s="11"/>
      <c r="U726" s="12"/>
      <c r="V726" s="12"/>
      <c r="W726" s="13"/>
    </row>
    <row r="727" spans="9:23" ht="14.25" customHeight="1" x14ac:dyDescent="0.5">
      <c r="I727" s="10"/>
      <c r="J727" s="10"/>
      <c r="K727" s="11"/>
      <c r="U727" s="12"/>
      <c r="V727" s="12"/>
      <c r="W727" s="13"/>
    </row>
    <row r="728" spans="9:23" ht="14.25" customHeight="1" x14ac:dyDescent="0.5">
      <c r="I728" s="10"/>
      <c r="J728" s="10"/>
      <c r="K728" s="11"/>
      <c r="U728" s="12"/>
      <c r="V728" s="12"/>
      <c r="W728" s="13"/>
    </row>
    <row r="729" spans="9:23" ht="14.25" customHeight="1" x14ac:dyDescent="0.5">
      <c r="I729" s="10"/>
      <c r="J729" s="10"/>
      <c r="K729" s="11"/>
      <c r="U729" s="12"/>
      <c r="V729" s="12"/>
      <c r="W729" s="13"/>
    </row>
    <row r="730" spans="9:23" ht="14.25" customHeight="1" x14ac:dyDescent="0.5">
      <c r="I730" s="10"/>
      <c r="J730" s="10"/>
      <c r="K730" s="11"/>
      <c r="U730" s="12"/>
      <c r="V730" s="12"/>
      <c r="W730" s="13"/>
    </row>
    <row r="731" spans="9:23" ht="14.25" customHeight="1" x14ac:dyDescent="0.5">
      <c r="I731" s="10"/>
      <c r="J731" s="10"/>
      <c r="K731" s="11"/>
      <c r="U731" s="12"/>
      <c r="V731" s="12"/>
      <c r="W731" s="13"/>
    </row>
    <row r="732" spans="9:23" ht="14.25" customHeight="1" x14ac:dyDescent="0.5">
      <c r="I732" s="10"/>
      <c r="J732" s="10"/>
      <c r="K732" s="11"/>
      <c r="U732" s="12"/>
      <c r="V732" s="12"/>
      <c r="W732" s="13"/>
    </row>
    <row r="733" spans="9:23" ht="14.25" customHeight="1" x14ac:dyDescent="0.5">
      <c r="I733" s="10"/>
      <c r="J733" s="10"/>
      <c r="K733" s="11"/>
      <c r="U733" s="12"/>
      <c r="V733" s="12"/>
      <c r="W733" s="13"/>
    </row>
    <row r="734" spans="9:23" ht="14.25" customHeight="1" x14ac:dyDescent="0.5">
      <c r="I734" s="10"/>
      <c r="J734" s="10"/>
      <c r="K734" s="11"/>
      <c r="U734" s="12"/>
      <c r="V734" s="12"/>
      <c r="W734" s="13"/>
    </row>
    <row r="735" spans="9:23" ht="14.25" customHeight="1" x14ac:dyDescent="0.5">
      <c r="I735" s="10"/>
      <c r="J735" s="10"/>
      <c r="K735" s="11"/>
      <c r="U735" s="12"/>
      <c r="V735" s="12"/>
      <c r="W735" s="13"/>
    </row>
    <row r="736" spans="9:23" ht="14.25" customHeight="1" x14ac:dyDescent="0.5">
      <c r="I736" s="10"/>
      <c r="J736" s="10"/>
      <c r="K736" s="11"/>
      <c r="U736" s="12"/>
      <c r="V736" s="12"/>
      <c r="W736" s="13"/>
    </row>
    <row r="737" spans="9:23" ht="14.25" customHeight="1" x14ac:dyDescent="0.5">
      <c r="I737" s="10"/>
      <c r="J737" s="10"/>
      <c r="K737" s="11"/>
      <c r="U737" s="12"/>
      <c r="V737" s="12"/>
      <c r="W737" s="13"/>
    </row>
    <row r="738" spans="9:23" ht="14.25" customHeight="1" x14ac:dyDescent="0.5">
      <c r="I738" s="10"/>
      <c r="J738" s="10"/>
      <c r="K738" s="11"/>
      <c r="U738" s="12"/>
      <c r="V738" s="12"/>
      <c r="W738" s="13"/>
    </row>
    <row r="739" spans="9:23" ht="14.25" customHeight="1" x14ac:dyDescent="0.5">
      <c r="I739" s="10"/>
      <c r="J739" s="10"/>
      <c r="K739" s="11"/>
      <c r="U739" s="12"/>
      <c r="V739" s="12"/>
      <c r="W739" s="13"/>
    </row>
    <row r="740" spans="9:23" ht="14.25" customHeight="1" x14ac:dyDescent="0.5">
      <c r="I740" s="10"/>
      <c r="J740" s="10"/>
      <c r="K740" s="11"/>
      <c r="U740" s="12"/>
      <c r="V740" s="12"/>
      <c r="W740" s="13"/>
    </row>
    <row r="741" spans="9:23" ht="14.25" customHeight="1" x14ac:dyDescent="0.5">
      <c r="I741" s="10"/>
      <c r="J741" s="10"/>
      <c r="K741" s="11"/>
      <c r="U741" s="12"/>
      <c r="V741" s="12"/>
      <c r="W741" s="13"/>
    </row>
    <row r="742" spans="9:23" ht="14.25" customHeight="1" x14ac:dyDescent="0.5">
      <c r="I742" s="10"/>
      <c r="J742" s="10"/>
      <c r="K742" s="11"/>
      <c r="U742" s="12"/>
      <c r="V742" s="12"/>
      <c r="W742" s="13"/>
    </row>
    <row r="743" spans="9:23" ht="14.25" customHeight="1" x14ac:dyDescent="0.5">
      <c r="I743" s="10"/>
      <c r="J743" s="10"/>
      <c r="K743" s="11"/>
      <c r="U743" s="12"/>
      <c r="V743" s="12"/>
      <c r="W743" s="13"/>
    </row>
    <row r="744" spans="9:23" ht="14.25" customHeight="1" x14ac:dyDescent="0.5">
      <c r="I744" s="10"/>
      <c r="J744" s="10"/>
      <c r="K744" s="11"/>
      <c r="U744" s="12"/>
      <c r="V744" s="12"/>
      <c r="W744" s="13"/>
    </row>
    <row r="745" spans="9:23" ht="14.25" customHeight="1" x14ac:dyDescent="0.5">
      <c r="I745" s="10"/>
      <c r="J745" s="10"/>
      <c r="K745" s="11"/>
      <c r="U745" s="12"/>
      <c r="V745" s="12"/>
      <c r="W745" s="13"/>
    </row>
    <row r="746" spans="9:23" ht="14.25" customHeight="1" x14ac:dyDescent="0.5">
      <c r="I746" s="10"/>
      <c r="J746" s="10"/>
      <c r="K746" s="11"/>
      <c r="U746" s="12"/>
      <c r="V746" s="12"/>
      <c r="W746" s="13"/>
    </row>
    <row r="747" spans="9:23" ht="14.25" customHeight="1" x14ac:dyDescent="0.5">
      <c r="I747" s="10"/>
      <c r="J747" s="10"/>
      <c r="K747" s="11"/>
      <c r="U747" s="12"/>
      <c r="V747" s="12"/>
      <c r="W747" s="13"/>
    </row>
    <row r="748" spans="9:23" ht="14.25" customHeight="1" x14ac:dyDescent="0.5">
      <c r="I748" s="10"/>
      <c r="J748" s="10"/>
      <c r="K748" s="11"/>
      <c r="U748" s="12"/>
      <c r="V748" s="12"/>
      <c r="W748" s="13"/>
    </row>
    <row r="749" spans="9:23" ht="14.25" customHeight="1" x14ac:dyDescent="0.5">
      <c r="I749" s="10"/>
      <c r="J749" s="10"/>
      <c r="K749" s="11"/>
      <c r="U749" s="12"/>
      <c r="V749" s="12"/>
      <c r="W749" s="13"/>
    </row>
    <row r="750" spans="9:23" ht="14.25" customHeight="1" x14ac:dyDescent="0.5">
      <c r="I750" s="10"/>
      <c r="J750" s="10"/>
      <c r="K750" s="11"/>
      <c r="U750" s="12"/>
      <c r="V750" s="12"/>
      <c r="W750" s="13"/>
    </row>
    <row r="751" spans="9:23" ht="14.25" customHeight="1" x14ac:dyDescent="0.5">
      <c r="I751" s="10"/>
      <c r="J751" s="10"/>
      <c r="K751" s="11"/>
      <c r="U751" s="12"/>
      <c r="V751" s="12"/>
      <c r="W751" s="13"/>
    </row>
    <row r="752" spans="9:23" ht="14.25" customHeight="1" x14ac:dyDescent="0.5">
      <c r="I752" s="10"/>
      <c r="J752" s="10"/>
      <c r="K752" s="11"/>
      <c r="U752" s="12"/>
      <c r="V752" s="12"/>
      <c r="W752" s="13"/>
    </row>
    <row r="753" spans="9:23" ht="14.25" customHeight="1" x14ac:dyDescent="0.5">
      <c r="I753" s="10"/>
      <c r="J753" s="10"/>
      <c r="K753" s="11"/>
      <c r="U753" s="12"/>
      <c r="V753" s="12"/>
      <c r="W753" s="13"/>
    </row>
    <row r="754" spans="9:23" ht="14.25" customHeight="1" x14ac:dyDescent="0.5">
      <c r="I754" s="10"/>
      <c r="J754" s="10"/>
      <c r="K754" s="11"/>
      <c r="U754" s="12"/>
      <c r="V754" s="12"/>
      <c r="W754" s="13"/>
    </row>
    <row r="755" spans="9:23" ht="14.25" customHeight="1" x14ac:dyDescent="0.5">
      <c r="I755" s="10"/>
      <c r="J755" s="10"/>
      <c r="K755" s="11"/>
      <c r="U755" s="12"/>
      <c r="V755" s="12"/>
      <c r="W755" s="13"/>
    </row>
    <row r="756" spans="9:23" ht="14.25" customHeight="1" x14ac:dyDescent="0.5">
      <c r="I756" s="10"/>
      <c r="J756" s="10"/>
      <c r="K756" s="11"/>
      <c r="U756" s="12"/>
      <c r="V756" s="12"/>
      <c r="W756" s="13"/>
    </row>
    <row r="757" spans="9:23" ht="14.25" customHeight="1" x14ac:dyDescent="0.5">
      <c r="I757" s="10"/>
      <c r="J757" s="10"/>
      <c r="K757" s="11"/>
      <c r="U757" s="12"/>
      <c r="V757" s="12"/>
      <c r="W757" s="13"/>
    </row>
    <row r="758" spans="9:23" ht="14.25" customHeight="1" x14ac:dyDescent="0.5">
      <c r="I758" s="10"/>
      <c r="J758" s="10"/>
      <c r="K758" s="11"/>
      <c r="U758" s="12"/>
      <c r="V758" s="12"/>
      <c r="W758" s="13"/>
    </row>
    <row r="759" spans="9:23" ht="14.25" customHeight="1" x14ac:dyDescent="0.5">
      <c r="I759" s="10"/>
      <c r="J759" s="10"/>
      <c r="K759" s="11"/>
      <c r="U759" s="12"/>
      <c r="V759" s="12"/>
      <c r="W759" s="13"/>
    </row>
    <row r="760" spans="9:23" ht="14.25" customHeight="1" x14ac:dyDescent="0.5">
      <c r="I760" s="10"/>
      <c r="J760" s="10"/>
      <c r="K760" s="11"/>
      <c r="U760" s="12"/>
      <c r="V760" s="12"/>
      <c r="W760" s="13"/>
    </row>
    <row r="761" spans="9:23" ht="14.25" customHeight="1" x14ac:dyDescent="0.5">
      <c r="I761" s="10"/>
      <c r="J761" s="10"/>
      <c r="K761" s="11"/>
      <c r="U761" s="12"/>
      <c r="V761" s="12"/>
      <c r="W761" s="13"/>
    </row>
    <row r="762" spans="9:23" ht="14.25" customHeight="1" x14ac:dyDescent="0.5">
      <c r="I762" s="10"/>
      <c r="J762" s="10"/>
      <c r="K762" s="11"/>
      <c r="U762" s="12"/>
      <c r="V762" s="12"/>
      <c r="W762" s="13"/>
    </row>
    <row r="763" spans="9:23" ht="14.25" customHeight="1" x14ac:dyDescent="0.5">
      <c r="I763" s="10"/>
      <c r="J763" s="10"/>
      <c r="K763" s="11"/>
      <c r="U763" s="12"/>
      <c r="V763" s="12"/>
      <c r="W763" s="13"/>
    </row>
    <row r="764" spans="9:23" ht="14.25" customHeight="1" x14ac:dyDescent="0.5">
      <c r="I764" s="10"/>
      <c r="J764" s="10"/>
      <c r="K764" s="11"/>
      <c r="U764" s="12"/>
      <c r="V764" s="12"/>
      <c r="W764" s="13"/>
    </row>
    <row r="765" spans="9:23" ht="14.25" customHeight="1" x14ac:dyDescent="0.5">
      <c r="I765" s="10"/>
      <c r="J765" s="10"/>
      <c r="K765" s="11"/>
      <c r="U765" s="12"/>
      <c r="V765" s="12"/>
      <c r="W765" s="13"/>
    </row>
    <row r="766" spans="9:23" ht="14.25" customHeight="1" x14ac:dyDescent="0.5">
      <c r="I766" s="10"/>
      <c r="J766" s="10"/>
      <c r="K766" s="11"/>
      <c r="U766" s="12"/>
      <c r="V766" s="12"/>
      <c r="W766" s="13"/>
    </row>
    <row r="767" spans="9:23" ht="14.25" customHeight="1" x14ac:dyDescent="0.5">
      <c r="I767" s="10"/>
      <c r="J767" s="10"/>
      <c r="K767" s="11"/>
      <c r="U767" s="12"/>
      <c r="V767" s="12"/>
      <c r="W767" s="13"/>
    </row>
    <row r="768" spans="9:23" ht="14.25" customHeight="1" x14ac:dyDescent="0.5">
      <c r="I768" s="10"/>
      <c r="J768" s="10"/>
      <c r="K768" s="11"/>
      <c r="U768" s="12"/>
      <c r="V768" s="12"/>
      <c r="W768" s="13"/>
    </row>
    <row r="769" spans="9:23" ht="14.25" customHeight="1" x14ac:dyDescent="0.5">
      <c r="I769" s="10"/>
      <c r="J769" s="10"/>
      <c r="K769" s="11"/>
      <c r="U769" s="12"/>
      <c r="V769" s="12"/>
      <c r="W769" s="13"/>
    </row>
    <row r="770" spans="9:23" ht="14.25" customHeight="1" x14ac:dyDescent="0.5">
      <c r="I770" s="10"/>
      <c r="J770" s="10"/>
      <c r="K770" s="11"/>
      <c r="U770" s="12"/>
      <c r="V770" s="12"/>
      <c r="W770" s="13"/>
    </row>
    <row r="771" spans="9:23" ht="14.25" customHeight="1" x14ac:dyDescent="0.5">
      <c r="I771" s="10"/>
      <c r="J771" s="10"/>
      <c r="K771" s="11"/>
      <c r="U771" s="12"/>
      <c r="V771" s="12"/>
      <c r="W771" s="13"/>
    </row>
    <row r="772" spans="9:23" ht="14.25" customHeight="1" x14ac:dyDescent="0.5">
      <c r="I772" s="10"/>
      <c r="J772" s="10"/>
      <c r="K772" s="11"/>
      <c r="U772" s="12"/>
      <c r="V772" s="12"/>
      <c r="W772" s="13"/>
    </row>
    <row r="773" spans="9:23" ht="14.25" customHeight="1" x14ac:dyDescent="0.5">
      <c r="I773" s="10"/>
      <c r="J773" s="10"/>
      <c r="K773" s="11"/>
      <c r="U773" s="12"/>
      <c r="V773" s="12"/>
      <c r="W773" s="13"/>
    </row>
    <row r="774" spans="9:23" ht="14.25" customHeight="1" x14ac:dyDescent="0.5">
      <c r="I774" s="10"/>
      <c r="J774" s="10"/>
      <c r="K774" s="11"/>
      <c r="U774" s="12"/>
      <c r="V774" s="12"/>
      <c r="W774" s="13"/>
    </row>
    <row r="775" spans="9:23" ht="14.25" customHeight="1" x14ac:dyDescent="0.5">
      <c r="I775" s="10"/>
      <c r="J775" s="10"/>
      <c r="K775" s="11"/>
      <c r="U775" s="12"/>
      <c r="V775" s="12"/>
      <c r="W775" s="13"/>
    </row>
    <row r="776" spans="9:23" ht="14.25" customHeight="1" x14ac:dyDescent="0.5">
      <c r="I776" s="10"/>
      <c r="J776" s="10"/>
      <c r="K776" s="11"/>
      <c r="U776" s="12"/>
      <c r="V776" s="12"/>
      <c r="W776" s="13"/>
    </row>
    <row r="777" spans="9:23" ht="14.25" customHeight="1" x14ac:dyDescent="0.5">
      <c r="I777" s="10"/>
      <c r="J777" s="10"/>
      <c r="K777" s="11"/>
      <c r="U777" s="12"/>
      <c r="V777" s="12"/>
      <c r="W777" s="13"/>
    </row>
    <row r="778" spans="9:23" ht="14.25" customHeight="1" x14ac:dyDescent="0.5">
      <c r="I778" s="10"/>
      <c r="J778" s="10"/>
      <c r="K778" s="11"/>
      <c r="U778" s="12"/>
      <c r="V778" s="12"/>
      <c r="W778" s="13"/>
    </row>
    <row r="779" spans="9:23" ht="14.25" customHeight="1" x14ac:dyDescent="0.5">
      <c r="I779" s="10"/>
      <c r="J779" s="10"/>
      <c r="K779" s="11"/>
      <c r="U779" s="12"/>
      <c r="V779" s="12"/>
      <c r="W779" s="13"/>
    </row>
    <row r="780" spans="9:23" ht="14.25" customHeight="1" x14ac:dyDescent="0.5">
      <c r="I780" s="10"/>
      <c r="J780" s="10"/>
      <c r="K780" s="11"/>
      <c r="U780" s="12"/>
      <c r="V780" s="12"/>
      <c r="W780" s="13"/>
    </row>
    <row r="781" spans="9:23" ht="14.25" customHeight="1" x14ac:dyDescent="0.5">
      <c r="I781" s="10"/>
      <c r="J781" s="10"/>
      <c r="K781" s="11"/>
      <c r="U781" s="12"/>
      <c r="V781" s="12"/>
      <c r="W781" s="13"/>
    </row>
    <row r="782" spans="9:23" ht="14.25" customHeight="1" x14ac:dyDescent="0.5">
      <c r="I782" s="10"/>
      <c r="J782" s="10"/>
      <c r="K782" s="11"/>
      <c r="U782" s="12"/>
      <c r="V782" s="12"/>
      <c r="W782" s="13"/>
    </row>
    <row r="783" spans="9:23" ht="14.25" customHeight="1" x14ac:dyDescent="0.5">
      <c r="I783" s="10"/>
      <c r="J783" s="10"/>
      <c r="K783" s="11"/>
      <c r="U783" s="12"/>
      <c r="V783" s="12"/>
      <c r="W783" s="13"/>
    </row>
    <row r="784" spans="9:23" ht="14.25" customHeight="1" x14ac:dyDescent="0.5">
      <c r="I784" s="10"/>
      <c r="J784" s="10"/>
      <c r="K784" s="11"/>
      <c r="U784" s="12"/>
      <c r="V784" s="12"/>
      <c r="W784" s="13"/>
    </row>
    <row r="785" spans="9:23" ht="14.25" customHeight="1" x14ac:dyDescent="0.5">
      <c r="I785" s="10"/>
      <c r="J785" s="10"/>
      <c r="K785" s="11"/>
      <c r="U785" s="12"/>
      <c r="V785" s="12"/>
      <c r="W785" s="13"/>
    </row>
    <row r="786" spans="9:23" ht="14.25" customHeight="1" x14ac:dyDescent="0.5">
      <c r="I786" s="10"/>
      <c r="J786" s="10"/>
      <c r="K786" s="11"/>
      <c r="U786" s="12"/>
      <c r="V786" s="12"/>
      <c r="W786" s="13"/>
    </row>
    <row r="787" spans="9:23" ht="14.25" customHeight="1" x14ac:dyDescent="0.5">
      <c r="I787" s="10"/>
      <c r="J787" s="10"/>
      <c r="K787" s="11"/>
      <c r="U787" s="12"/>
      <c r="V787" s="12"/>
      <c r="W787" s="13"/>
    </row>
    <row r="788" spans="9:23" ht="14.25" customHeight="1" x14ac:dyDescent="0.5">
      <c r="I788" s="10"/>
      <c r="J788" s="10"/>
      <c r="K788" s="11"/>
      <c r="U788" s="12"/>
      <c r="V788" s="12"/>
      <c r="W788" s="13"/>
    </row>
    <row r="789" spans="9:23" ht="14.25" customHeight="1" x14ac:dyDescent="0.5">
      <c r="I789" s="10"/>
      <c r="J789" s="10"/>
      <c r="K789" s="11"/>
      <c r="U789" s="12"/>
      <c r="V789" s="12"/>
      <c r="W789" s="13"/>
    </row>
    <row r="790" spans="9:23" ht="14.25" customHeight="1" x14ac:dyDescent="0.5">
      <c r="I790" s="10"/>
      <c r="J790" s="10"/>
      <c r="K790" s="11"/>
      <c r="U790" s="12"/>
      <c r="V790" s="12"/>
      <c r="W790" s="13"/>
    </row>
    <row r="791" spans="9:23" ht="14.25" customHeight="1" x14ac:dyDescent="0.5">
      <c r="I791" s="10"/>
      <c r="J791" s="10"/>
      <c r="K791" s="11"/>
      <c r="U791" s="12"/>
      <c r="V791" s="12"/>
      <c r="W791" s="13"/>
    </row>
    <row r="792" spans="9:23" ht="14.25" customHeight="1" x14ac:dyDescent="0.5">
      <c r="I792" s="10"/>
      <c r="J792" s="10"/>
      <c r="K792" s="11"/>
      <c r="U792" s="12"/>
      <c r="V792" s="12"/>
      <c r="W792" s="13"/>
    </row>
    <row r="793" spans="9:23" ht="14.25" customHeight="1" x14ac:dyDescent="0.5">
      <c r="I793" s="10"/>
      <c r="J793" s="10"/>
      <c r="K793" s="11"/>
      <c r="U793" s="12"/>
      <c r="V793" s="12"/>
      <c r="W793" s="13"/>
    </row>
    <row r="794" spans="9:23" ht="14.25" customHeight="1" x14ac:dyDescent="0.5">
      <c r="I794" s="10"/>
      <c r="J794" s="10"/>
      <c r="K794" s="11"/>
      <c r="U794" s="12"/>
      <c r="V794" s="12"/>
      <c r="W794" s="13"/>
    </row>
    <row r="795" spans="9:23" ht="14.25" customHeight="1" x14ac:dyDescent="0.5">
      <c r="I795" s="10"/>
      <c r="J795" s="10"/>
      <c r="K795" s="11"/>
      <c r="U795" s="12"/>
      <c r="V795" s="12"/>
      <c r="W795" s="13"/>
    </row>
    <row r="796" spans="9:23" ht="14.25" customHeight="1" x14ac:dyDescent="0.5">
      <c r="I796" s="10"/>
      <c r="J796" s="10"/>
      <c r="K796" s="11"/>
      <c r="U796" s="12"/>
      <c r="V796" s="12"/>
      <c r="W796" s="13"/>
    </row>
    <row r="797" spans="9:23" ht="14.25" customHeight="1" x14ac:dyDescent="0.5">
      <c r="I797" s="10"/>
      <c r="J797" s="10"/>
      <c r="K797" s="11"/>
      <c r="U797" s="12"/>
      <c r="V797" s="12"/>
      <c r="W797" s="13"/>
    </row>
    <row r="798" spans="9:23" ht="14.25" customHeight="1" x14ac:dyDescent="0.5">
      <c r="I798" s="10"/>
      <c r="J798" s="10"/>
      <c r="K798" s="11"/>
      <c r="U798" s="12"/>
      <c r="V798" s="12"/>
      <c r="W798" s="13"/>
    </row>
    <row r="799" spans="9:23" ht="14.25" customHeight="1" x14ac:dyDescent="0.5">
      <c r="I799" s="10"/>
      <c r="J799" s="10"/>
      <c r="K799" s="11"/>
      <c r="U799" s="12"/>
      <c r="V799" s="12"/>
      <c r="W799" s="13"/>
    </row>
    <row r="800" spans="9:23" ht="14.25" customHeight="1" x14ac:dyDescent="0.5">
      <c r="I800" s="10"/>
      <c r="J800" s="10"/>
      <c r="K800" s="11"/>
      <c r="U800" s="12"/>
      <c r="V800" s="12"/>
      <c r="W800" s="13"/>
    </row>
    <row r="801" spans="9:23" ht="14.25" customHeight="1" x14ac:dyDescent="0.5">
      <c r="I801" s="10"/>
      <c r="J801" s="10"/>
      <c r="K801" s="11"/>
      <c r="U801" s="12"/>
      <c r="V801" s="12"/>
      <c r="W801" s="13"/>
    </row>
    <row r="802" spans="9:23" ht="14.25" customHeight="1" x14ac:dyDescent="0.5">
      <c r="I802" s="10"/>
      <c r="J802" s="10"/>
      <c r="K802" s="11"/>
      <c r="U802" s="12"/>
      <c r="V802" s="12"/>
      <c r="W802" s="13"/>
    </row>
    <row r="803" spans="9:23" ht="14.25" customHeight="1" x14ac:dyDescent="0.5">
      <c r="I803" s="10"/>
      <c r="J803" s="10"/>
      <c r="K803" s="11"/>
      <c r="U803" s="12"/>
      <c r="V803" s="12"/>
      <c r="W803" s="13"/>
    </row>
    <row r="804" spans="9:23" ht="14.25" customHeight="1" x14ac:dyDescent="0.5">
      <c r="I804" s="10"/>
      <c r="J804" s="10"/>
      <c r="K804" s="11"/>
      <c r="U804" s="12"/>
      <c r="V804" s="12"/>
      <c r="W804" s="13"/>
    </row>
    <row r="805" spans="9:23" ht="14.25" customHeight="1" x14ac:dyDescent="0.5">
      <c r="I805" s="10"/>
      <c r="J805" s="10"/>
      <c r="K805" s="11"/>
      <c r="U805" s="12"/>
      <c r="V805" s="12"/>
      <c r="W805" s="13"/>
    </row>
    <row r="806" spans="9:23" ht="14.25" customHeight="1" x14ac:dyDescent="0.5">
      <c r="I806" s="10"/>
      <c r="J806" s="10"/>
      <c r="K806" s="11"/>
      <c r="U806" s="12"/>
      <c r="V806" s="12"/>
      <c r="W806" s="13"/>
    </row>
    <row r="807" spans="9:23" ht="14.25" customHeight="1" x14ac:dyDescent="0.5">
      <c r="I807" s="10"/>
      <c r="J807" s="10"/>
      <c r="K807" s="11"/>
      <c r="U807" s="12"/>
      <c r="V807" s="12"/>
      <c r="W807" s="13"/>
    </row>
    <row r="808" spans="9:23" ht="14.25" customHeight="1" x14ac:dyDescent="0.5">
      <c r="I808" s="10"/>
      <c r="J808" s="10"/>
      <c r="K808" s="11"/>
      <c r="U808" s="12"/>
      <c r="V808" s="12"/>
      <c r="W808" s="13"/>
    </row>
    <row r="809" spans="9:23" ht="14.25" customHeight="1" x14ac:dyDescent="0.5">
      <c r="I809" s="10"/>
      <c r="J809" s="10"/>
      <c r="K809" s="11"/>
      <c r="U809" s="12"/>
      <c r="V809" s="12"/>
      <c r="W809" s="13"/>
    </row>
    <row r="810" spans="9:23" ht="14.25" customHeight="1" x14ac:dyDescent="0.5">
      <c r="I810" s="10"/>
      <c r="J810" s="10"/>
      <c r="K810" s="11"/>
      <c r="U810" s="12"/>
      <c r="V810" s="12"/>
      <c r="W810" s="13"/>
    </row>
    <row r="811" spans="9:23" ht="14.25" customHeight="1" x14ac:dyDescent="0.5">
      <c r="I811" s="10"/>
      <c r="J811" s="10"/>
      <c r="K811" s="11"/>
      <c r="U811" s="12"/>
      <c r="V811" s="12"/>
      <c r="W811" s="13"/>
    </row>
    <row r="812" spans="9:23" ht="14.25" customHeight="1" x14ac:dyDescent="0.5">
      <c r="I812" s="10"/>
      <c r="J812" s="10"/>
      <c r="K812" s="11"/>
      <c r="U812" s="12"/>
      <c r="V812" s="12"/>
      <c r="W812" s="13"/>
    </row>
    <row r="813" spans="9:23" ht="14.25" customHeight="1" x14ac:dyDescent="0.5">
      <c r="I813" s="10"/>
      <c r="J813" s="10"/>
      <c r="K813" s="11"/>
      <c r="U813" s="12"/>
      <c r="V813" s="12"/>
      <c r="W813" s="13"/>
    </row>
    <row r="814" spans="9:23" ht="14.25" customHeight="1" x14ac:dyDescent="0.5">
      <c r="I814" s="10"/>
      <c r="J814" s="10"/>
      <c r="K814" s="11"/>
      <c r="U814" s="12"/>
      <c r="V814" s="12"/>
      <c r="W814" s="13"/>
    </row>
    <row r="815" spans="9:23" ht="14.25" customHeight="1" x14ac:dyDescent="0.5">
      <c r="I815" s="10"/>
      <c r="J815" s="10"/>
      <c r="K815" s="11"/>
      <c r="U815" s="12"/>
      <c r="V815" s="12"/>
      <c r="W815" s="13"/>
    </row>
    <row r="816" spans="9:23" ht="14.25" customHeight="1" x14ac:dyDescent="0.5">
      <c r="I816" s="10"/>
      <c r="J816" s="10"/>
      <c r="K816" s="11"/>
      <c r="U816" s="12"/>
      <c r="V816" s="12"/>
      <c r="W816" s="13"/>
    </row>
    <row r="817" spans="9:23" ht="14.25" customHeight="1" x14ac:dyDescent="0.5">
      <c r="I817" s="10"/>
      <c r="J817" s="10"/>
      <c r="K817" s="11"/>
      <c r="U817" s="12"/>
      <c r="V817" s="12"/>
      <c r="W817" s="13"/>
    </row>
    <row r="818" spans="9:23" ht="14.25" customHeight="1" x14ac:dyDescent="0.5">
      <c r="I818" s="10"/>
      <c r="J818" s="10"/>
      <c r="K818" s="11"/>
      <c r="U818" s="12"/>
      <c r="V818" s="12"/>
      <c r="W818" s="13"/>
    </row>
    <row r="819" spans="9:23" ht="14.25" customHeight="1" x14ac:dyDescent="0.5">
      <c r="I819" s="10"/>
      <c r="J819" s="10"/>
      <c r="K819" s="11"/>
      <c r="U819" s="12"/>
      <c r="V819" s="12"/>
      <c r="W819" s="13"/>
    </row>
    <row r="820" spans="9:23" ht="14.25" customHeight="1" x14ac:dyDescent="0.5">
      <c r="I820" s="10"/>
      <c r="J820" s="10"/>
      <c r="K820" s="11"/>
      <c r="U820" s="12"/>
      <c r="V820" s="12"/>
      <c r="W820" s="13"/>
    </row>
    <row r="821" spans="9:23" ht="14.25" customHeight="1" x14ac:dyDescent="0.5">
      <c r="I821" s="10"/>
      <c r="J821" s="10"/>
      <c r="K821" s="11"/>
      <c r="U821" s="12"/>
      <c r="V821" s="12"/>
      <c r="W821" s="13"/>
    </row>
    <row r="822" spans="9:23" ht="14.25" customHeight="1" x14ac:dyDescent="0.5">
      <c r="I822" s="10"/>
      <c r="J822" s="10"/>
      <c r="K822" s="11"/>
      <c r="U822" s="12"/>
      <c r="V822" s="12"/>
      <c r="W822" s="13"/>
    </row>
    <row r="823" spans="9:23" ht="14.25" customHeight="1" x14ac:dyDescent="0.5">
      <c r="I823" s="10"/>
      <c r="J823" s="10"/>
      <c r="K823" s="11"/>
      <c r="U823" s="12"/>
      <c r="V823" s="12"/>
      <c r="W823" s="13"/>
    </row>
    <row r="824" spans="9:23" ht="14.25" customHeight="1" x14ac:dyDescent="0.5">
      <c r="I824" s="10"/>
      <c r="J824" s="10"/>
      <c r="K824" s="11"/>
      <c r="U824" s="12"/>
      <c r="V824" s="12"/>
      <c r="W824" s="13"/>
    </row>
    <row r="825" spans="9:23" ht="14.25" customHeight="1" x14ac:dyDescent="0.5">
      <c r="I825" s="10"/>
      <c r="J825" s="10"/>
      <c r="K825" s="11"/>
      <c r="U825" s="12"/>
      <c r="V825" s="12"/>
      <c r="W825" s="13"/>
    </row>
    <row r="826" spans="9:23" ht="14.25" customHeight="1" x14ac:dyDescent="0.5">
      <c r="I826" s="10"/>
      <c r="J826" s="10"/>
      <c r="K826" s="11"/>
      <c r="U826" s="12"/>
      <c r="V826" s="12"/>
      <c r="W826" s="13"/>
    </row>
    <row r="827" spans="9:23" ht="14.25" customHeight="1" x14ac:dyDescent="0.5">
      <c r="I827" s="10"/>
      <c r="J827" s="10"/>
      <c r="K827" s="11"/>
      <c r="U827" s="12"/>
      <c r="V827" s="12"/>
      <c r="W827" s="13"/>
    </row>
    <row r="828" spans="9:23" ht="14.25" customHeight="1" x14ac:dyDescent="0.5">
      <c r="I828" s="10"/>
      <c r="J828" s="10"/>
      <c r="K828" s="11"/>
      <c r="U828" s="12"/>
      <c r="V828" s="12"/>
      <c r="W828" s="13"/>
    </row>
    <row r="829" spans="9:23" ht="14.25" customHeight="1" x14ac:dyDescent="0.5">
      <c r="I829" s="10"/>
      <c r="J829" s="10"/>
      <c r="K829" s="11"/>
      <c r="U829" s="12"/>
      <c r="V829" s="12"/>
      <c r="W829" s="13"/>
    </row>
    <row r="830" spans="9:23" ht="14.25" customHeight="1" x14ac:dyDescent="0.5">
      <c r="I830" s="10"/>
      <c r="J830" s="10"/>
      <c r="K830" s="11"/>
      <c r="U830" s="12"/>
      <c r="V830" s="12"/>
      <c r="W830" s="13"/>
    </row>
    <row r="831" spans="9:23" ht="14.25" customHeight="1" x14ac:dyDescent="0.5">
      <c r="I831" s="10"/>
      <c r="J831" s="10"/>
      <c r="K831" s="11"/>
      <c r="U831" s="12"/>
      <c r="V831" s="12"/>
      <c r="W831" s="13"/>
    </row>
    <row r="832" spans="9:23" ht="14.25" customHeight="1" x14ac:dyDescent="0.5">
      <c r="I832" s="10"/>
      <c r="J832" s="10"/>
      <c r="K832" s="11"/>
      <c r="U832" s="12"/>
      <c r="V832" s="12"/>
      <c r="W832" s="13"/>
    </row>
    <row r="833" spans="9:23" ht="14.25" customHeight="1" x14ac:dyDescent="0.5">
      <c r="I833" s="10"/>
      <c r="J833" s="10"/>
      <c r="K833" s="11"/>
      <c r="U833" s="12"/>
      <c r="V833" s="12"/>
      <c r="W833" s="13"/>
    </row>
    <row r="834" spans="9:23" ht="14.25" customHeight="1" x14ac:dyDescent="0.5">
      <c r="I834" s="10"/>
      <c r="J834" s="10"/>
      <c r="K834" s="11"/>
      <c r="U834" s="12"/>
      <c r="V834" s="12"/>
      <c r="W834" s="13"/>
    </row>
    <row r="835" spans="9:23" ht="14.25" customHeight="1" x14ac:dyDescent="0.5">
      <c r="I835" s="10"/>
      <c r="J835" s="10"/>
      <c r="K835" s="11"/>
      <c r="U835" s="12"/>
      <c r="V835" s="12"/>
      <c r="W835" s="13"/>
    </row>
    <row r="836" spans="9:23" ht="14.25" customHeight="1" x14ac:dyDescent="0.5">
      <c r="I836" s="10"/>
      <c r="J836" s="10"/>
      <c r="K836" s="11"/>
      <c r="U836" s="12"/>
      <c r="V836" s="12"/>
      <c r="W836" s="13"/>
    </row>
    <row r="837" spans="9:23" ht="14.25" customHeight="1" x14ac:dyDescent="0.5">
      <c r="I837" s="10"/>
      <c r="J837" s="10"/>
      <c r="K837" s="11"/>
      <c r="U837" s="12"/>
      <c r="V837" s="12"/>
      <c r="W837" s="13"/>
    </row>
    <row r="838" spans="9:23" ht="14.25" customHeight="1" x14ac:dyDescent="0.5">
      <c r="I838" s="10"/>
      <c r="J838" s="10"/>
      <c r="K838" s="11"/>
      <c r="U838" s="12"/>
      <c r="V838" s="12"/>
      <c r="W838" s="13"/>
    </row>
    <row r="839" spans="9:23" ht="14.25" customHeight="1" x14ac:dyDescent="0.5">
      <c r="I839" s="10"/>
      <c r="J839" s="10"/>
      <c r="K839" s="11"/>
      <c r="U839" s="12"/>
      <c r="V839" s="12"/>
      <c r="W839" s="13"/>
    </row>
    <row r="840" spans="9:23" ht="14.25" customHeight="1" x14ac:dyDescent="0.5">
      <c r="I840" s="10"/>
      <c r="J840" s="10"/>
      <c r="K840" s="11"/>
      <c r="U840" s="12"/>
      <c r="V840" s="12"/>
      <c r="W840" s="13"/>
    </row>
    <row r="841" spans="9:23" ht="14.25" customHeight="1" x14ac:dyDescent="0.5">
      <c r="I841" s="10"/>
      <c r="J841" s="10"/>
      <c r="K841" s="11"/>
      <c r="U841" s="12"/>
      <c r="V841" s="12"/>
      <c r="W841" s="13"/>
    </row>
    <row r="842" spans="9:23" ht="14.25" customHeight="1" x14ac:dyDescent="0.5">
      <c r="I842" s="10"/>
      <c r="J842" s="10"/>
      <c r="K842" s="11"/>
      <c r="U842" s="12"/>
      <c r="V842" s="12"/>
      <c r="W842" s="13"/>
    </row>
    <row r="843" spans="9:23" ht="14.25" customHeight="1" x14ac:dyDescent="0.5">
      <c r="I843" s="10"/>
      <c r="J843" s="10"/>
      <c r="K843" s="11"/>
      <c r="U843" s="12"/>
      <c r="V843" s="12"/>
      <c r="W843" s="13"/>
    </row>
    <row r="844" spans="9:23" ht="14.25" customHeight="1" x14ac:dyDescent="0.5">
      <c r="I844" s="10"/>
      <c r="J844" s="10"/>
      <c r="K844" s="11"/>
      <c r="U844" s="12"/>
      <c r="V844" s="12"/>
      <c r="W844" s="13"/>
    </row>
    <row r="845" spans="9:23" ht="14.25" customHeight="1" x14ac:dyDescent="0.5">
      <c r="I845" s="10"/>
      <c r="J845" s="10"/>
      <c r="K845" s="11"/>
      <c r="U845" s="12"/>
      <c r="V845" s="12"/>
      <c r="W845" s="13"/>
    </row>
    <row r="846" spans="9:23" ht="14.25" customHeight="1" x14ac:dyDescent="0.5">
      <c r="I846" s="10"/>
      <c r="J846" s="10"/>
      <c r="K846" s="11"/>
      <c r="U846" s="12"/>
      <c r="V846" s="12"/>
      <c r="W846" s="13"/>
    </row>
    <row r="847" spans="9:23" ht="14.25" customHeight="1" x14ac:dyDescent="0.5">
      <c r="I847" s="10"/>
      <c r="J847" s="10"/>
      <c r="K847" s="11"/>
      <c r="U847" s="12"/>
      <c r="V847" s="12"/>
      <c r="W847" s="13"/>
    </row>
    <row r="848" spans="9:23" ht="14.25" customHeight="1" x14ac:dyDescent="0.5">
      <c r="I848" s="10"/>
      <c r="J848" s="10"/>
      <c r="K848" s="11"/>
      <c r="U848" s="12"/>
      <c r="V848" s="12"/>
      <c r="W848" s="13"/>
    </row>
    <row r="849" spans="9:23" ht="14.25" customHeight="1" x14ac:dyDescent="0.5">
      <c r="I849" s="10"/>
      <c r="J849" s="10"/>
      <c r="K849" s="11"/>
      <c r="U849" s="12"/>
      <c r="V849" s="12"/>
      <c r="W849" s="13"/>
    </row>
    <row r="850" spans="9:23" ht="14.25" customHeight="1" x14ac:dyDescent="0.5">
      <c r="I850" s="10"/>
      <c r="J850" s="10"/>
      <c r="K850" s="11"/>
      <c r="U850" s="12"/>
      <c r="V850" s="12"/>
      <c r="W850" s="13"/>
    </row>
    <row r="851" spans="9:23" ht="14.25" customHeight="1" x14ac:dyDescent="0.5">
      <c r="I851" s="10"/>
      <c r="J851" s="10"/>
      <c r="K851" s="11"/>
      <c r="U851" s="12"/>
      <c r="V851" s="12"/>
      <c r="W851" s="13"/>
    </row>
    <row r="852" spans="9:23" ht="14.25" customHeight="1" x14ac:dyDescent="0.5">
      <c r="I852" s="10"/>
      <c r="J852" s="10"/>
      <c r="K852" s="11"/>
      <c r="U852" s="12"/>
      <c r="V852" s="12"/>
      <c r="W852" s="13"/>
    </row>
    <row r="853" spans="9:23" ht="14.25" customHeight="1" x14ac:dyDescent="0.5">
      <c r="I853" s="10"/>
      <c r="J853" s="10"/>
      <c r="K853" s="11"/>
      <c r="U853" s="12"/>
      <c r="V853" s="12"/>
      <c r="W853" s="13"/>
    </row>
    <row r="854" spans="9:23" ht="14.25" customHeight="1" x14ac:dyDescent="0.5">
      <c r="I854" s="10"/>
      <c r="J854" s="10"/>
      <c r="K854" s="11"/>
      <c r="U854" s="12"/>
      <c r="V854" s="12"/>
      <c r="W854" s="13"/>
    </row>
    <row r="855" spans="9:23" ht="14.25" customHeight="1" x14ac:dyDescent="0.5">
      <c r="I855" s="10"/>
      <c r="J855" s="10"/>
      <c r="K855" s="11"/>
      <c r="U855" s="12"/>
      <c r="V855" s="12"/>
      <c r="W855" s="13"/>
    </row>
    <row r="856" spans="9:23" ht="14.25" customHeight="1" x14ac:dyDescent="0.5">
      <c r="I856" s="10"/>
      <c r="J856" s="10"/>
      <c r="K856" s="11"/>
      <c r="U856" s="12"/>
      <c r="V856" s="12"/>
      <c r="W856" s="13"/>
    </row>
    <row r="857" spans="9:23" ht="14.25" customHeight="1" x14ac:dyDescent="0.5">
      <c r="I857" s="10"/>
      <c r="J857" s="10"/>
      <c r="K857" s="11"/>
      <c r="U857" s="12"/>
      <c r="V857" s="12"/>
      <c r="W857" s="13"/>
    </row>
    <row r="858" spans="9:23" ht="14.25" customHeight="1" x14ac:dyDescent="0.5">
      <c r="I858" s="10"/>
      <c r="J858" s="10"/>
      <c r="K858" s="11"/>
      <c r="U858" s="12"/>
      <c r="V858" s="12"/>
      <c r="W858" s="13"/>
    </row>
    <row r="859" spans="9:23" ht="14.25" customHeight="1" x14ac:dyDescent="0.5">
      <c r="I859" s="10"/>
      <c r="J859" s="10"/>
      <c r="K859" s="11"/>
      <c r="U859" s="12"/>
      <c r="V859" s="12"/>
      <c r="W859" s="13"/>
    </row>
    <row r="860" spans="9:23" ht="14.25" customHeight="1" x14ac:dyDescent="0.5">
      <c r="I860" s="10"/>
      <c r="J860" s="10"/>
      <c r="K860" s="11"/>
      <c r="U860" s="12"/>
      <c r="V860" s="12"/>
      <c r="W860" s="13"/>
    </row>
    <row r="861" spans="9:23" ht="14.25" customHeight="1" x14ac:dyDescent="0.5">
      <c r="I861" s="10"/>
      <c r="J861" s="10"/>
      <c r="K861" s="11"/>
      <c r="U861" s="12"/>
      <c r="V861" s="12"/>
      <c r="W861" s="13"/>
    </row>
    <row r="862" spans="9:23" ht="14.25" customHeight="1" x14ac:dyDescent="0.5">
      <c r="I862" s="10"/>
      <c r="J862" s="10"/>
      <c r="K862" s="11"/>
      <c r="U862" s="12"/>
      <c r="V862" s="12"/>
      <c r="W862" s="13"/>
    </row>
    <row r="863" spans="9:23" ht="14.25" customHeight="1" x14ac:dyDescent="0.5">
      <c r="I863" s="10"/>
      <c r="J863" s="10"/>
      <c r="K863" s="11"/>
      <c r="U863" s="12"/>
      <c r="V863" s="12"/>
      <c r="W863" s="13"/>
    </row>
    <row r="864" spans="9:23" ht="14.25" customHeight="1" x14ac:dyDescent="0.5">
      <c r="I864" s="10"/>
      <c r="J864" s="10"/>
      <c r="K864" s="11"/>
      <c r="U864" s="12"/>
      <c r="V864" s="12"/>
      <c r="W864" s="13"/>
    </row>
    <row r="865" spans="9:23" ht="14.25" customHeight="1" x14ac:dyDescent="0.5">
      <c r="I865" s="10"/>
      <c r="J865" s="10"/>
      <c r="K865" s="11"/>
      <c r="U865" s="12"/>
      <c r="V865" s="12"/>
      <c r="W865" s="13"/>
    </row>
    <row r="866" spans="9:23" ht="14.25" customHeight="1" x14ac:dyDescent="0.5">
      <c r="I866" s="10"/>
      <c r="J866" s="10"/>
      <c r="K866" s="11"/>
      <c r="U866" s="12"/>
      <c r="V866" s="12"/>
      <c r="W866" s="13"/>
    </row>
    <row r="867" spans="9:23" ht="14.25" customHeight="1" x14ac:dyDescent="0.5">
      <c r="I867" s="10"/>
      <c r="J867" s="10"/>
      <c r="K867" s="11"/>
      <c r="U867" s="12"/>
      <c r="V867" s="12"/>
      <c r="W867" s="13"/>
    </row>
    <row r="868" spans="9:23" ht="14.25" customHeight="1" x14ac:dyDescent="0.5">
      <c r="I868" s="10"/>
      <c r="J868" s="10"/>
      <c r="K868" s="11"/>
      <c r="U868" s="12"/>
      <c r="V868" s="12"/>
      <c r="W868" s="13"/>
    </row>
    <row r="869" spans="9:23" ht="14.25" customHeight="1" x14ac:dyDescent="0.5">
      <c r="I869" s="10"/>
      <c r="J869" s="10"/>
      <c r="K869" s="11"/>
      <c r="U869" s="12"/>
      <c r="V869" s="12"/>
      <c r="W869" s="13"/>
    </row>
    <row r="870" spans="9:23" ht="14.25" customHeight="1" x14ac:dyDescent="0.5">
      <c r="I870" s="10"/>
      <c r="J870" s="10"/>
      <c r="K870" s="11"/>
      <c r="U870" s="12"/>
      <c r="V870" s="12"/>
      <c r="W870" s="13"/>
    </row>
    <row r="871" spans="9:23" ht="14.25" customHeight="1" x14ac:dyDescent="0.5">
      <c r="I871" s="10"/>
      <c r="J871" s="10"/>
      <c r="K871" s="11"/>
      <c r="U871" s="12"/>
      <c r="V871" s="12"/>
      <c r="W871" s="13"/>
    </row>
    <row r="872" spans="9:23" ht="14.25" customHeight="1" x14ac:dyDescent="0.5">
      <c r="I872" s="10"/>
      <c r="J872" s="10"/>
      <c r="K872" s="11"/>
      <c r="U872" s="12"/>
      <c r="V872" s="12"/>
      <c r="W872" s="13"/>
    </row>
    <row r="873" spans="9:23" ht="14.25" customHeight="1" x14ac:dyDescent="0.5">
      <c r="I873" s="10"/>
      <c r="J873" s="10"/>
      <c r="K873" s="11"/>
      <c r="U873" s="12"/>
      <c r="V873" s="12"/>
      <c r="W873" s="13"/>
    </row>
    <row r="874" spans="9:23" ht="14.25" customHeight="1" x14ac:dyDescent="0.5">
      <c r="I874" s="10"/>
      <c r="J874" s="10"/>
      <c r="K874" s="11"/>
      <c r="U874" s="12"/>
      <c r="V874" s="12"/>
      <c r="W874" s="13"/>
    </row>
    <row r="875" spans="9:23" ht="14.25" customHeight="1" x14ac:dyDescent="0.5">
      <c r="I875" s="10"/>
      <c r="J875" s="10"/>
      <c r="K875" s="11"/>
      <c r="U875" s="12"/>
      <c r="V875" s="12"/>
      <c r="W875" s="13"/>
    </row>
    <row r="876" spans="9:23" ht="14.25" customHeight="1" x14ac:dyDescent="0.5">
      <c r="I876" s="10"/>
      <c r="J876" s="10"/>
      <c r="K876" s="11"/>
      <c r="U876" s="12"/>
      <c r="V876" s="12"/>
      <c r="W876" s="13"/>
    </row>
    <row r="877" spans="9:23" ht="14.25" customHeight="1" x14ac:dyDescent="0.5">
      <c r="I877" s="10"/>
      <c r="J877" s="10"/>
      <c r="K877" s="11"/>
      <c r="U877" s="12"/>
      <c r="V877" s="12"/>
      <c r="W877" s="13"/>
    </row>
    <row r="878" spans="9:23" ht="14.25" customHeight="1" x14ac:dyDescent="0.5">
      <c r="I878" s="10"/>
      <c r="J878" s="10"/>
      <c r="K878" s="11"/>
      <c r="U878" s="12"/>
      <c r="V878" s="12"/>
      <c r="W878" s="13"/>
    </row>
    <row r="879" spans="9:23" ht="14.25" customHeight="1" x14ac:dyDescent="0.5">
      <c r="I879" s="10"/>
      <c r="J879" s="10"/>
      <c r="K879" s="11"/>
      <c r="U879" s="12"/>
      <c r="V879" s="12"/>
      <c r="W879" s="13"/>
    </row>
    <row r="880" spans="9:23" ht="14.25" customHeight="1" x14ac:dyDescent="0.5">
      <c r="I880" s="10"/>
      <c r="J880" s="10"/>
      <c r="K880" s="11"/>
      <c r="U880" s="12"/>
      <c r="V880" s="12"/>
      <c r="W880" s="13"/>
    </row>
    <row r="881" spans="9:23" ht="14.25" customHeight="1" x14ac:dyDescent="0.5">
      <c r="I881" s="10"/>
      <c r="J881" s="10"/>
      <c r="K881" s="11"/>
      <c r="U881" s="12"/>
      <c r="V881" s="12"/>
      <c r="W881" s="13"/>
    </row>
    <row r="882" spans="9:23" ht="14.25" customHeight="1" x14ac:dyDescent="0.5">
      <c r="I882" s="10"/>
      <c r="J882" s="10"/>
      <c r="K882" s="11"/>
      <c r="U882" s="12"/>
      <c r="V882" s="12"/>
      <c r="W882" s="13"/>
    </row>
    <row r="883" spans="9:23" ht="14.25" customHeight="1" x14ac:dyDescent="0.5">
      <c r="I883" s="10"/>
      <c r="J883" s="10"/>
      <c r="K883" s="11"/>
      <c r="U883" s="12"/>
      <c r="V883" s="12"/>
      <c r="W883" s="13"/>
    </row>
    <row r="884" spans="9:23" ht="14.25" customHeight="1" x14ac:dyDescent="0.5">
      <c r="I884" s="10"/>
      <c r="J884" s="10"/>
      <c r="K884" s="11"/>
      <c r="U884" s="12"/>
      <c r="V884" s="12"/>
      <c r="W884" s="13"/>
    </row>
    <row r="885" spans="9:23" ht="14.25" customHeight="1" x14ac:dyDescent="0.5">
      <c r="I885" s="10"/>
      <c r="J885" s="10"/>
      <c r="K885" s="11"/>
      <c r="U885" s="12"/>
      <c r="V885" s="12"/>
      <c r="W885" s="13"/>
    </row>
    <row r="886" spans="9:23" ht="14.25" customHeight="1" x14ac:dyDescent="0.5">
      <c r="I886" s="10"/>
      <c r="J886" s="10"/>
      <c r="K886" s="11"/>
      <c r="U886" s="12"/>
      <c r="V886" s="12"/>
      <c r="W886" s="13"/>
    </row>
    <row r="887" spans="9:23" ht="14.25" customHeight="1" x14ac:dyDescent="0.5">
      <c r="I887" s="10"/>
      <c r="J887" s="10"/>
      <c r="K887" s="11"/>
      <c r="U887" s="12"/>
      <c r="V887" s="12"/>
      <c r="W887" s="13"/>
    </row>
    <row r="888" spans="9:23" ht="14.25" customHeight="1" x14ac:dyDescent="0.5">
      <c r="I888" s="10"/>
      <c r="J888" s="10"/>
      <c r="K888" s="11"/>
      <c r="U888" s="12"/>
      <c r="V888" s="12"/>
      <c r="W888" s="13"/>
    </row>
    <row r="889" spans="9:23" ht="14.25" customHeight="1" x14ac:dyDescent="0.5">
      <c r="I889" s="10"/>
      <c r="J889" s="10"/>
      <c r="K889" s="11"/>
      <c r="U889" s="12"/>
      <c r="V889" s="12"/>
      <c r="W889" s="13"/>
    </row>
    <row r="890" spans="9:23" ht="14.25" customHeight="1" x14ac:dyDescent="0.5">
      <c r="I890" s="10"/>
      <c r="J890" s="10"/>
      <c r="K890" s="11"/>
      <c r="U890" s="12"/>
      <c r="V890" s="12"/>
      <c r="W890" s="13"/>
    </row>
    <row r="891" spans="9:23" ht="14.25" customHeight="1" x14ac:dyDescent="0.5">
      <c r="I891" s="10"/>
      <c r="J891" s="10"/>
      <c r="K891" s="11"/>
      <c r="U891" s="12"/>
      <c r="V891" s="12"/>
      <c r="W891" s="13"/>
    </row>
    <row r="892" spans="9:23" ht="14.25" customHeight="1" x14ac:dyDescent="0.5">
      <c r="I892" s="10"/>
      <c r="J892" s="10"/>
      <c r="K892" s="11"/>
      <c r="U892" s="12"/>
      <c r="V892" s="12"/>
      <c r="W892" s="13"/>
    </row>
    <row r="893" spans="9:23" ht="14.25" customHeight="1" x14ac:dyDescent="0.5">
      <c r="I893" s="10"/>
      <c r="J893" s="10"/>
      <c r="K893" s="11"/>
      <c r="U893" s="12"/>
      <c r="V893" s="12"/>
      <c r="W893" s="13"/>
    </row>
    <row r="894" spans="9:23" ht="14.25" customHeight="1" x14ac:dyDescent="0.5">
      <c r="I894" s="10"/>
      <c r="J894" s="10"/>
      <c r="K894" s="11"/>
      <c r="U894" s="12"/>
      <c r="V894" s="12"/>
      <c r="W894" s="13"/>
    </row>
    <row r="895" spans="9:23" ht="14.25" customHeight="1" x14ac:dyDescent="0.5">
      <c r="I895" s="10"/>
      <c r="J895" s="10"/>
      <c r="K895" s="11"/>
      <c r="U895" s="12"/>
      <c r="V895" s="12"/>
      <c r="W895" s="13"/>
    </row>
    <row r="896" spans="9:23" ht="14.25" customHeight="1" x14ac:dyDescent="0.5">
      <c r="I896" s="10"/>
      <c r="J896" s="10"/>
      <c r="K896" s="11"/>
      <c r="U896" s="12"/>
      <c r="V896" s="12"/>
      <c r="W896" s="13"/>
    </row>
    <row r="897" spans="9:23" ht="14.25" customHeight="1" x14ac:dyDescent="0.5">
      <c r="I897" s="10"/>
      <c r="J897" s="10"/>
      <c r="K897" s="11"/>
      <c r="U897" s="12"/>
      <c r="V897" s="12"/>
      <c r="W897" s="13"/>
    </row>
    <row r="898" spans="9:23" ht="14.25" customHeight="1" x14ac:dyDescent="0.5">
      <c r="I898" s="10"/>
      <c r="J898" s="10"/>
      <c r="K898" s="11"/>
      <c r="U898" s="12"/>
      <c r="V898" s="12"/>
      <c r="W898" s="13"/>
    </row>
    <row r="899" spans="9:23" ht="14.25" customHeight="1" x14ac:dyDescent="0.5">
      <c r="I899" s="10"/>
      <c r="J899" s="10"/>
      <c r="K899" s="11"/>
      <c r="U899" s="12"/>
      <c r="V899" s="12"/>
      <c r="W899" s="13"/>
    </row>
    <row r="900" spans="9:23" ht="14.25" customHeight="1" x14ac:dyDescent="0.5">
      <c r="I900" s="10"/>
      <c r="J900" s="10"/>
      <c r="K900" s="11"/>
      <c r="U900" s="12"/>
      <c r="V900" s="12"/>
      <c r="W900" s="13"/>
    </row>
    <row r="901" spans="9:23" ht="14.25" customHeight="1" x14ac:dyDescent="0.5">
      <c r="I901" s="10"/>
      <c r="J901" s="10"/>
      <c r="K901" s="11"/>
      <c r="U901" s="12"/>
      <c r="V901" s="12"/>
      <c r="W901" s="13"/>
    </row>
    <row r="902" spans="9:23" ht="14.25" customHeight="1" x14ac:dyDescent="0.5">
      <c r="I902" s="10"/>
      <c r="J902" s="10"/>
      <c r="K902" s="11"/>
      <c r="U902" s="12"/>
      <c r="V902" s="12"/>
      <c r="W902" s="13"/>
    </row>
    <row r="903" spans="9:23" ht="14.25" customHeight="1" x14ac:dyDescent="0.5">
      <c r="I903" s="10"/>
      <c r="J903" s="10"/>
      <c r="K903" s="11"/>
      <c r="U903" s="12"/>
      <c r="V903" s="12"/>
      <c r="W903" s="13"/>
    </row>
    <row r="904" spans="9:23" ht="14.25" customHeight="1" x14ac:dyDescent="0.5">
      <c r="I904" s="10"/>
      <c r="J904" s="10"/>
      <c r="K904" s="11"/>
      <c r="U904" s="12"/>
      <c r="V904" s="12"/>
      <c r="W904" s="13"/>
    </row>
    <row r="905" spans="9:23" ht="14.25" customHeight="1" x14ac:dyDescent="0.5">
      <c r="I905" s="10"/>
      <c r="J905" s="10"/>
      <c r="K905" s="11"/>
      <c r="U905" s="12"/>
      <c r="V905" s="12"/>
      <c r="W905" s="13"/>
    </row>
    <row r="906" spans="9:23" ht="14.25" customHeight="1" x14ac:dyDescent="0.5">
      <c r="I906" s="10"/>
      <c r="J906" s="10"/>
      <c r="K906" s="11"/>
      <c r="U906" s="12"/>
      <c r="V906" s="12"/>
      <c r="W906" s="13"/>
    </row>
    <row r="907" spans="9:23" ht="14.25" customHeight="1" x14ac:dyDescent="0.5">
      <c r="I907" s="10"/>
      <c r="J907" s="10"/>
      <c r="K907" s="11"/>
      <c r="U907" s="12"/>
      <c r="V907" s="12"/>
      <c r="W907" s="13"/>
    </row>
    <row r="908" spans="9:23" ht="14.25" customHeight="1" x14ac:dyDescent="0.5">
      <c r="I908" s="10"/>
      <c r="J908" s="10"/>
      <c r="K908" s="11"/>
      <c r="U908" s="12"/>
      <c r="V908" s="12"/>
      <c r="W908" s="13"/>
    </row>
    <row r="909" spans="9:23" ht="14.25" customHeight="1" x14ac:dyDescent="0.5">
      <c r="I909" s="10"/>
      <c r="J909" s="10"/>
      <c r="K909" s="11"/>
      <c r="U909" s="12"/>
      <c r="V909" s="12"/>
      <c r="W909" s="13"/>
    </row>
    <row r="910" spans="9:23" ht="14.25" customHeight="1" x14ac:dyDescent="0.5">
      <c r="I910" s="10"/>
      <c r="J910" s="10"/>
      <c r="K910" s="11"/>
      <c r="U910" s="12"/>
      <c r="V910" s="12"/>
      <c r="W910" s="13"/>
    </row>
    <row r="911" spans="9:23" ht="14.25" customHeight="1" x14ac:dyDescent="0.5">
      <c r="I911" s="10"/>
      <c r="J911" s="10"/>
      <c r="K911" s="11"/>
      <c r="U911" s="12"/>
      <c r="V911" s="12"/>
      <c r="W911" s="13"/>
    </row>
    <row r="912" spans="9:23" ht="14.25" customHeight="1" x14ac:dyDescent="0.5">
      <c r="I912" s="10"/>
      <c r="J912" s="10"/>
      <c r="K912" s="11"/>
      <c r="U912" s="12"/>
      <c r="V912" s="12"/>
      <c r="W912" s="13"/>
    </row>
    <row r="913" spans="9:23" ht="14.25" customHeight="1" x14ac:dyDescent="0.5">
      <c r="I913" s="10"/>
      <c r="J913" s="10"/>
      <c r="K913" s="11"/>
      <c r="U913" s="12"/>
      <c r="V913" s="12"/>
      <c r="W913" s="13"/>
    </row>
    <row r="914" spans="9:23" ht="14.25" customHeight="1" x14ac:dyDescent="0.5">
      <c r="I914" s="10"/>
      <c r="J914" s="10"/>
      <c r="K914" s="11"/>
      <c r="U914" s="12"/>
      <c r="V914" s="12"/>
      <c r="W914" s="13"/>
    </row>
    <row r="915" spans="9:23" ht="14.25" customHeight="1" x14ac:dyDescent="0.5">
      <c r="I915" s="10"/>
      <c r="J915" s="10"/>
      <c r="K915" s="11"/>
      <c r="U915" s="12"/>
      <c r="V915" s="12"/>
      <c r="W915" s="13"/>
    </row>
    <row r="916" spans="9:23" ht="14.25" customHeight="1" x14ac:dyDescent="0.5">
      <c r="I916" s="10"/>
      <c r="J916" s="10"/>
      <c r="K916" s="11"/>
      <c r="U916" s="12"/>
      <c r="V916" s="12"/>
      <c r="W916" s="13"/>
    </row>
    <row r="917" spans="9:23" ht="14.25" customHeight="1" x14ac:dyDescent="0.5">
      <c r="I917" s="10"/>
      <c r="J917" s="10"/>
      <c r="K917" s="11"/>
      <c r="U917" s="12"/>
      <c r="V917" s="12"/>
      <c r="W917" s="13"/>
    </row>
    <row r="918" spans="9:23" ht="14.25" customHeight="1" x14ac:dyDescent="0.5">
      <c r="I918" s="10"/>
      <c r="J918" s="10"/>
      <c r="K918" s="11"/>
      <c r="U918" s="12"/>
      <c r="V918" s="12"/>
      <c r="W918" s="13"/>
    </row>
    <row r="919" spans="9:23" ht="14.25" customHeight="1" x14ac:dyDescent="0.5">
      <c r="I919" s="10"/>
      <c r="J919" s="10"/>
      <c r="K919" s="11"/>
      <c r="U919" s="12"/>
      <c r="V919" s="12"/>
      <c r="W919" s="13"/>
    </row>
    <row r="920" spans="9:23" ht="14.25" customHeight="1" x14ac:dyDescent="0.5">
      <c r="I920" s="10"/>
      <c r="J920" s="10"/>
      <c r="K920" s="11"/>
      <c r="U920" s="12"/>
      <c r="V920" s="12"/>
      <c r="W920" s="13"/>
    </row>
    <row r="921" spans="9:23" ht="14.25" customHeight="1" x14ac:dyDescent="0.5">
      <c r="I921" s="10"/>
      <c r="J921" s="10"/>
      <c r="K921" s="11"/>
      <c r="U921" s="12"/>
      <c r="V921" s="12"/>
      <c r="W921" s="13"/>
    </row>
    <row r="922" spans="9:23" ht="14.25" customHeight="1" x14ac:dyDescent="0.5">
      <c r="I922" s="10"/>
      <c r="J922" s="10"/>
      <c r="K922" s="11"/>
      <c r="U922" s="12"/>
      <c r="V922" s="12"/>
      <c r="W922" s="13"/>
    </row>
    <row r="923" spans="9:23" ht="14.25" customHeight="1" x14ac:dyDescent="0.5">
      <c r="I923" s="10"/>
      <c r="J923" s="10"/>
      <c r="K923" s="11"/>
      <c r="U923" s="12"/>
      <c r="V923" s="12"/>
      <c r="W923" s="13"/>
    </row>
    <row r="924" spans="9:23" ht="14.25" customHeight="1" x14ac:dyDescent="0.5">
      <c r="I924" s="10"/>
      <c r="J924" s="10"/>
      <c r="K924" s="11"/>
      <c r="U924" s="12"/>
      <c r="V924" s="12"/>
      <c r="W924" s="13"/>
    </row>
    <row r="925" spans="9:23" ht="14.25" customHeight="1" x14ac:dyDescent="0.5">
      <c r="I925" s="10"/>
      <c r="J925" s="10"/>
      <c r="K925" s="11"/>
      <c r="U925" s="12"/>
      <c r="V925" s="12"/>
      <c r="W925" s="13"/>
    </row>
    <row r="926" spans="9:23" ht="14.25" customHeight="1" x14ac:dyDescent="0.5">
      <c r="I926" s="10"/>
      <c r="J926" s="10"/>
      <c r="K926" s="11"/>
      <c r="U926" s="12"/>
      <c r="V926" s="12"/>
      <c r="W926" s="13"/>
    </row>
    <row r="927" spans="9:23" ht="14.25" customHeight="1" x14ac:dyDescent="0.5">
      <c r="I927" s="10"/>
      <c r="J927" s="10"/>
      <c r="K927" s="11"/>
      <c r="U927" s="12"/>
      <c r="V927" s="12"/>
      <c r="W927" s="13"/>
    </row>
    <row r="928" spans="9:23" ht="14.25" customHeight="1" x14ac:dyDescent="0.5">
      <c r="I928" s="10"/>
      <c r="J928" s="10"/>
      <c r="K928" s="11"/>
      <c r="U928" s="12"/>
      <c r="V928" s="12"/>
      <c r="W928" s="13"/>
    </row>
    <row r="929" spans="9:23" ht="14.25" customHeight="1" x14ac:dyDescent="0.5">
      <c r="I929" s="10"/>
      <c r="J929" s="10"/>
      <c r="K929" s="11"/>
      <c r="U929" s="12"/>
      <c r="V929" s="12"/>
      <c r="W929" s="13"/>
    </row>
    <row r="930" spans="9:23" ht="14.25" customHeight="1" x14ac:dyDescent="0.5">
      <c r="I930" s="10"/>
      <c r="J930" s="10"/>
      <c r="K930" s="11"/>
      <c r="U930" s="12"/>
      <c r="V930" s="12"/>
      <c r="W930" s="13"/>
    </row>
    <row r="931" spans="9:23" ht="14.25" customHeight="1" x14ac:dyDescent="0.5">
      <c r="I931" s="10"/>
      <c r="J931" s="10"/>
      <c r="K931" s="11"/>
      <c r="U931" s="12"/>
      <c r="V931" s="12"/>
      <c r="W931" s="13"/>
    </row>
    <row r="932" spans="9:23" ht="14.25" customHeight="1" x14ac:dyDescent="0.5">
      <c r="I932" s="10"/>
      <c r="J932" s="10"/>
      <c r="K932" s="11"/>
      <c r="U932" s="12"/>
      <c r="V932" s="12"/>
      <c r="W932" s="13"/>
    </row>
    <row r="933" spans="9:23" ht="14.25" customHeight="1" x14ac:dyDescent="0.5">
      <c r="I933" s="10"/>
      <c r="J933" s="10"/>
      <c r="K933" s="11"/>
      <c r="U933" s="12"/>
      <c r="V933" s="12"/>
      <c r="W933" s="13"/>
    </row>
    <row r="934" spans="9:23" ht="14.25" customHeight="1" x14ac:dyDescent="0.5">
      <c r="I934" s="10"/>
      <c r="J934" s="10"/>
      <c r="K934" s="11"/>
      <c r="U934" s="12"/>
      <c r="V934" s="12"/>
      <c r="W934" s="13"/>
    </row>
    <row r="935" spans="9:23" ht="14.25" customHeight="1" x14ac:dyDescent="0.5">
      <c r="I935" s="10"/>
      <c r="J935" s="10"/>
      <c r="K935" s="11"/>
      <c r="U935" s="12"/>
      <c r="V935" s="12"/>
      <c r="W935" s="13"/>
    </row>
    <row r="936" spans="9:23" ht="14.25" customHeight="1" x14ac:dyDescent="0.5">
      <c r="I936" s="10"/>
      <c r="J936" s="10"/>
      <c r="K936" s="11"/>
      <c r="U936" s="12"/>
      <c r="V936" s="12"/>
      <c r="W936" s="13"/>
    </row>
    <row r="937" spans="9:23" ht="14.25" customHeight="1" x14ac:dyDescent="0.5">
      <c r="I937" s="10"/>
      <c r="J937" s="10"/>
      <c r="K937" s="11"/>
      <c r="U937" s="12"/>
      <c r="V937" s="12"/>
      <c r="W937" s="13"/>
    </row>
    <row r="938" spans="9:23" ht="14.25" customHeight="1" x14ac:dyDescent="0.5">
      <c r="I938" s="10"/>
      <c r="J938" s="10"/>
      <c r="K938" s="11"/>
      <c r="U938" s="12"/>
      <c r="V938" s="12"/>
      <c r="W938" s="13"/>
    </row>
    <row r="939" spans="9:23" ht="14.25" customHeight="1" x14ac:dyDescent="0.5">
      <c r="I939" s="10"/>
      <c r="J939" s="10"/>
      <c r="K939" s="11"/>
      <c r="U939" s="12"/>
      <c r="V939" s="12"/>
      <c r="W939" s="13"/>
    </row>
    <row r="940" spans="9:23" ht="14.25" customHeight="1" x14ac:dyDescent="0.5">
      <c r="I940" s="10"/>
      <c r="J940" s="10"/>
      <c r="K940" s="11"/>
      <c r="U940" s="12"/>
      <c r="V940" s="12"/>
      <c r="W940" s="13"/>
    </row>
    <row r="941" spans="9:23" ht="14.25" customHeight="1" x14ac:dyDescent="0.5">
      <c r="I941" s="10"/>
      <c r="J941" s="10"/>
      <c r="K941" s="11"/>
      <c r="U941" s="12"/>
      <c r="V941" s="12"/>
      <c r="W941" s="13"/>
    </row>
    <row r="942" spans="9:23" ht="14.25" customHeight="1" x14ac:dyDescent="0.5">
      <c r="I942" s="10"/>
      <c r="J942" s="10"/>
      <c r="K942" s="11"/>
      <c r="U942" s="12"/>
      <c r="V942" s="12"/>
      <c r="W942" s="13"/>
    </row>
    <row r="943" spans="9:23" ht="14.25" customHeight="1" x14ac:dyDescent="0.5">
      <c r="I943" s="10"/>
      <c r="J943" s="10"/>
      <c r="K943" s="11"/>
      <c r="U943" s="12"/>
      <c r="V943" s="12"/>
      <c r="W943" s="13"/>
    </row>
    <row r="944" spans="9:23" ht="14.25" customHeight="1" x14ac:dyDescent="0.5">
      <c r="I944" s="10"/>
      <c r="J944" s="10"/>
      <c r="K944" s="11"/>
      <c r="U944" s="12"/>
      <c r="V944" s="12"/>
      <c r="W944" s="13"/>
    </row>
    <row r="945" spans="9:23" ht="14.25" customHeight="1" x14ac:dyDescent="0.5">
      <c r="I945" s="10"/>
      <c r="J945" s="10"/>
      <c r="K945" s="11"/>
      <c r="U945" s="12"/>
      <c r="V945" s="12"/>
      <c r="W945" s="13"/>
    </row>
    <row r="946" spans="9:23" ht="14.25" customHeight="1" x14ac:dyDescent="0.5">
      <c r="I946" s="10"/>
      <c r="J946" s="10"/>
      <c r="K946" s="11"/>
      <c r="U946" s="12"/>
      <c r="V946" s="12"/>
      <c r="W946" s="13"/>
    </row>
    <row r="947" spans="9:23" ht="14.25" customHeight="1" x14ac:dyDescent="0.5">
      <c r="I947" s="10"/>
      <c r="J947" s="10"/>
      <c r="K947" s="11"/>
      <c r="U947" s="12"/>
      <c r="V947" s="12"/>
      <c r="W947" s="13"/>
    </row>
    <row r="948" spans="9:23" ht="14.25" customHeight="1" x14ac:dyDescent="0.5">
      <c r="I948" s="10"/>
      <c r="J948" s="10"/>
      <c r="K948" s="11"/>
      <c r="U948" s="12"/>
      <c r="V948" s="12"/>
      <c r="W948" s="13"/>
    </row>
    <row r="949" spans="9:23" ht="14.25" customHeight="1" x14ac:dyDescent="0.5">
      <c r="I949" s="10"/>
      <c r="J949" s="10"/>
      <c r="K949" s="11"/>
      <c r="U949" s="12"/>
      <c r="V949" s="12"/>
      <c r="W949" s="13"/>
    </row>
    <row r="950" spans="9:23" ht="14.25" customHeight="1" x14ac:dyDescent="0.5">
      <c r="I950" s="10"/>
      <c r="J950" s="10"/>
      <c r="K950" s="11"/>
      <c r="U950" s="12"/>
      <c r="V950" s="12"/>
      <c r="W950" s="13"/>
    </row>
    <row r="951" spans="9:23" ht="14.25" customHeight="1" x14ac:dyDescent="0.5">
      <c r="I951" s="10"/>
      <c r="J951" s="10"/>
      <c r="K951" s="11"/>
      <c r="U951" s="12"/>
      <c r="V951" s="12"/>
      <c r="W951" s="13"/>
    </row>
    <row r="952" spans="9:23" ht="14.25" customHeight="1" x14ac:dyDescent="0.5">
      <c r="I952" s="10"/>
      <c r="J952" s="10"/>
      <c r="K952" s="11"/>
      <c r="U952" s="12"/>
      <c r="V952" s="12"/>
      <c r="W952" s="13"/>
    </row>
    <row r="953" spans="9:23" ht="14.25" customHeight="1" x14ac:dyDescent="0.5">
      <c r="I953" s="10"/>
      <c r="J953" s="10"/>
      <c r="K953" s="11"/>
      <c r="U953" s="12"/>
      <c r="V953" s="12"/>
      <c r="W953" s="13"/>
    </row>
    <row r="954" spans="9:23" ht="14.25" customHeight="1" x14ac:dyDescent="0.5">
      <c r="I954" s="10"/>
      <c r="J954" s="10"/>
      <c r="K954" s="11"/>
      <c r="U954" s="12"/>
      <c r="V954" s="12"/>
      <c r="W954" s="13"/>
    </row>
    <row r="955" spans="9:23" ht="14.25" customHeight="1" x14ac:dyDescent="0.5">
      <c r="I955" s="10"/>
      <c r="J955" s="10"/>
      <c r="K955" s="11"/>
      <c r="U955" s="12"/>
      <c r="V955" s="12"/>
      <c r="W955" s="13"/>
    </row>
    <row r="956" spans="9:23" ht="14.25" customHeight="1" x14ac:dyDescent="0.5">
      <c r="I956" s="10"/>
      <c r="J956" s="10"/>
      <c r="K956" s="11"/>
      <c r="U956" s="12"/>
      <c r="V956" s="12"/>
      <c r="W956" s="13"/>
    </row>
    <row r="957" spans="9:23" ht="14.25" customHeight="1" x14ac:dyDescent="0.5">
      <c r="I957" s="10"/>
      <c r="J957" s="10"/>
      <c r="K957" s="11"/>
      <c r="U957" s="12"/>
      <c r="V957" s="12"/>
      <c r="W957" s="13"/>
    </row>
    <row r="958" spans="9:23" ht="14.25" customHeight="1" x14ac:dyDescent="0.5">
      <c r="I958" s="10"/>
      <c r="J958" s="10"/>
      <c r="K958" s="11"/>
      <c r="U958" s="12"/>
      <c r="V958" s="12"/>
      <c r="W958" s="13"/>
    </row>
    <row r="959" spans="9:23" ht="14.25" customHeight="1" x14ac:dyDescent="0.5">
      <c r="I959" s="10"/>
      <c r="J959" s="10"/>
      <c r="K959" s="11"/>
      <c r="U959" s="12"/>
      <c r="V959" s="12"/>
      <c r="W959" s="13"/>
    </row>
    <row r="960" spans="9:23" ht="14.25" customHeight="1" x14ac:dyDescent="0.5">
      <c r="I960" s="10"/>
      <c r="J960" s="10"/>
      <c r="K960" s="11"/>
      <c r="U960" s="12"/>
      <c r="V960" s="12"/>
      <c r="W960" s="13"/>
    </row>
    <row r="961" spans="9:23" ht="14.25" customHeight="1" x14ac:dyDescent="0.5">
      <c r="I961" s="10"/>
      <c r="J961" s="10"/>
      <c r="K961" s="11"/>
      <c r="U961" s="12"/>
      <c r="V961" s="12"/>
      <c r="W961" s="13"/>
    </row>
    <row r="962" spans="9:23" ht="14.25" customHeight="1" x14ac:dyDescent="0.5">
      <c r="I962" s="10"/>
      <c r="J962" s="10"/>
      <c r="K962" s="11"/>
      <c r="U962" s="12"/>
      <c r="V962" s="12"/>
      <c r="W962" s="13"/>
    </row>
    <row r="963" spans="9:23" ht="14.25" customHeight="1" x14ac:dyDescent="0.5">
      <c r="I963" s="10"/>
      <c r="J963" s="10"/>
      <c r="K963" s="11"/>
      <c r="U963" s="12"/>
      <c r="V963" s="12"/>
      <c r="W963" s="13"/>
    </row>
    <row r="964" spans="9:23" ht="14.25" customHeight="1" x14ac:dyDescent="0.5">
      <c r="I964" s="10"/>
      <c r="J964" s="10"/>
      <c r="K964" s="11"/>
      <c r="U964" s="12"/>
      <c r="V964" s="12"/>
      <c r="W964" s="13"/>
    </row>
    <row r="965" spans="9:23" ht="14.25" customHeight="1" x14ac:dyDescent="0.5">
      <c r="I965" s="10"/>
      <c r="J965" s="10"/>
      <c r="K965" s="11"/>
      <c r="U965" s="12"/>
      <c r="V965" s="12"/>
      <c r="W965" s="13"/>
    </row>
    <row r="966" spans="9:23" ht="14.25" customHeight="1" x14ac:dyDescent="0.5">
      <c r="I966" s="10"/>
      <c r="J966" s="10"/>
      <c r="K966" s="11"/>
      <c r="U966" s="12"/>
      <c r="V966" s="12"/>
      <c r="W966" s="13"/>
    </row>
    <row r="967" spans="9:23" ht="14.25" customHeight="1" x14ac:dyDescent="0.5">
      <c r="I967" s="10"/>
      <c r="J967" s="10"/>
      <c r="K967" s="11"/>
      <c r="U967" s="12"/>
      <c r="V967" s="12"/>
      <c r="W967" s="13"/>
    </row>
    <row r="968" spans="9:23" ht="14.25" customHeight="1" x14ac:dyDescent="0.5">
      <c r="I968" s="10"/>
      <c r="J968" s="10"/>
      <c r="K968" s="11"/>
      <c r="U968" s="12"/>
      <c r="V968" s="12"/>
      <c r="W968" s="13"/>
    </row>
    <row r="969" spans="9:23" ht="14.25" customHeight="1" x14ac:dyDescent="0.5">
      <c r="I969" s="10"/>
      <c r="J969" s="10"/>
      <c r="K969" s="11"/>
      <c r="U969" s="12"/>
      <c r="V969" s="12"/>
      <c r="W969" s="13"/>
    </row>
    <row r="970" spans="9:23" ht="14.25" customHeight="1" x14ac:dyDescent="0.5">
      <c r="I970" s="10"/>
      <c r="J970" s="10"/>
      <c r="K970" s="11"/>
      <c r="U970" s="12"/>
      <c r="V970" s="12"/>
      <c r="W970" s="13"/>
    </row>
    <row r="971" spans="9:23" ht="14.25" customHeight="1" x14ac:dyDescent="0.5">
      <c r="I971" s="10"/>
      <c r="J971" s="10"/>
      <c r="K971" s="11"/>
      <c r="U971" s="12"/>
      <c r="V971" s="12"/>
      <c r="W971" s="13"/>
    </row>
    <row r="972" spans="9:23" ht="14.25" customHeight="1" x14ac:dyDescent="0.5">
      <c r="I972" s="10"/>
      <c r="J972" s="10"/>
      <c r="K972" s="11"/>
      <c r="U972" s="12"/>
      <c r="V972" s="12"/>
      <c r="W972" s="13"/>
    </row>
    <row r="973" spans="9:23" ht="14.25" customHeight="1" x14ac:dyDescent="0.5">
      <c r="I973" s="10"/>
      <c r="J973" s="10"/>
      <c r="K973" s="11"/>
      <c r="U973" s="12"/>
      <c r="V973" s="12"/>
      <c r="W973" s="13"/>
    </row>
    <row r="974" spans="9:23" ht="14.25" customHeight="1" x14ac:dyDescent="0.5">
      <c r="I974" s="10"/>
      <c r="J974" s="10"/>
      <c r="K974" s="11"/>
      <c r="U974" s="12"/>
      <c r="V974" s="12"/>
      <c r="W974" s="13"/>
    </row>
    <row r="975" spans="9:23" ht="14.25" customHeight="1" x14ac:dyDescent="0.5">
      <c r="I975" s="10"/>
      <c r="J975" s="10"/>
      <c r="K975" s="11"/>
      <c r="U975" s="12"/>
      <c r="V975" s="12"/>
      <c r="W975" s="13"/>
    </row>
    <row r="976" spans="9:23" ht="14.25" customHeight="1" x14ac:dyDescent="0.5">
      <c r="I976" s="10"/>
      <c r="J976" s="10"/>
      <c r="K976" s="11"/>
      <c r="U976" s="12"/>
      <c r="V976" s="12"/>
      <c r="W976" s="13"/>
    </row>
    <row r="977" spans="9:23" ht="14.25" customHeight="1" x14ac:dyDescent="0.5">
      <c r="I977" s="10"/>
      <c r="J977" s="10"/>
      <c r="K977" s="11"/>
      <c r="U977" s="12"/>
      <c r="V977" s="12"/>
      <c r="W977" s="13"/>
    </row>
    <row r="978" spans="9:23" ht="14.25" customHeight="1" x14ac:dyDescent="0.5">
      <c r="I978" s="10"/>
      <c r="J978" s="10"/>
      <c r="K978" s="11"/>
      <c r="U978" s="12"/>
      <c r="V978" s="12"/>
      <c r="W978" s="13"/>
    </row>
    <row r="979" spans="9:23" ht="14.25" customHeight="1" x14ac:dyDescent="0.5">
      <c r="I979" s="10"/>
      <c r="J979" s="10"/>
      <c r="K979" s="11"/>
      <c r="U979" s="12"/>
      <c r="V979" s="12"/>
      <c r="W979" s="13"/>
    </row>
    <row r="980" spans="9:23" ht="14.25" customHeight="1" x14ac:dyDescent="0.5">
      <c r="I980" s="10"/>
      <c r="J980" s="10"/>
      <c r="K980" s="11"/>
      <c r="U980" s="12"/>
      <c r="V980" s="12"/>
      <c r="W980" s="13"/>
    </row>
    <row r="981" spans="9:23" ht="14.25" customHeight="1" x14ac:dyDescent="0.5">
      <c r="I981" s="10"/>
      <c r="J981" s="10"/>
      <c r="K981" s="11"/>
      <c r="U981" s="12"/>
      <c r="V981" s="12"/>
      <c r="W981" s="13"/>
    </row>
    <row r="982" spans="9:23" ht="14.25" customHeight="1" x14ac:dyDescent="0.5">
      <c r="I982" s="10"/>
      <c r="J982" s="10"/>
      <c r="K982" s="11"/>
      <c r="U982" s="12"/>
      <c r="V982" s="12"/>
      <c r="W982" s="13"/>
    </row>
    <row r="983" spans="9:23" ht="14.25" customHeight="1" x14ac:dyDescent="0.5">
      <c r="I983" s="10"/>
      <c r="J983" s="10"/>
      <c r="K983" s="11"/>
      <c r="U983" s="12"/>
      <c r="V983" s="12"/>
      <c r="W983" s="13"/>
    </row>
    <row r="984" spans="9:23" ht="14.25" customHeight="1" x14ac:dyDescent="0.5">
      <c r="I984" s="10"/>
      <c r="J984" s="10"/>
      <c r="K984" s="11"/>
      <c r="U984" s="12"/>
      <c r="V984" s="12"/>
      <c r="W984" s="13"/>
    </row>
    <row r="985" spans="9:23" ht="14.25" customHeight="1" x14ac:dyDescent="0.5">
      <c r="I985" s="10"/>
      <c r="J985" s="10"/>
      <c r="K985" s="11"/>
      <c r="U985" s="12"/>
      <c r="V985" s="12"/>
      <c r="W985" s="13"/>
    </row>
    <row r="986" spans="9:23" ht="14.25" customHeight="1" x14ac:dyDescent="0.5">
      <c r="I986" s="10"/>
      <c r="J986" s="10"/>
      <c r="K986" s="11"/>
      <c r="U986" s="12"/>
      <c r="V986" s="12"/>
      <c r="W986" s="13"/>
    </row>
    <row r="987" spans="9:23" ht="14.25" customHeight="1" x14ac:dyDescent="0.5">
      <c r="I987" s="10"/>
      <c r="J987" s="10"/>
      <c r="K987" s="11"/>
      <c r="U987" s="12"/>
      <c r="V987" s="12"/>
      <c r="W987" s="13"/>
    </row>
    <row r="988" spans="9:23" ht="14.25" customHeight="1" x14ac:dyDescent="0.5">
      <c r="I988" s="10"/>
      <c r="J988" s="10"/>
      <c r="K988" s="11"/>
      <c r="U988" s="12"/>
      <c r="V988" s="12"/>
      <c r="W988" s="13"/>
    </row>
    <row r="989" spans="9:23" ht="14.25" customHeight="1" x14ac:dyDescent="0.5">
      <c r="I989" s="10"/>
      <c r="J989" s="10"/>
      <c r="K989" s="11"/>
      <c r="U989" s="12"/>
      <c r="V989" s="12"/>
      <c r="W989" s="13"/>
    </row>
    <row r="990" spans="9:23" ht="14.25" customHeight="1" x14ac:dyDescent="0.5">
      <c r="I990" s="10"/>
      <c r="J990" s="10"/>
      <c r="K990" s="11"/>
      <c r="U990" s="12"/>
      <c r="V990" s="12"/>
      <c r="W990" s="13"/>
    </row>
    <row r="991" spans="9:23" ht="14.25" customHeight="1" x14ac:dyDescent="0.5">
      <c r="I991" s="10"/>
      <c r="J991" s="10"/>
      <c r="K991" s="11"/>
      <c r="U991" s="12"/>
      <c r="V991" s="12"/>
      <c r="W991" s="13"/>
    </row>
    <row r="992" spans="9:23" ht="14.25" customHeight="1" x14ac:dyDescent="0.5">
      <c r="I992" s="10"/>
      <c r="J992" s="10"/>
      <c r="K992" s="11"/>
      <c r="U992" s="12"/>
      <c r="V992" s="12"/>
      <c r="W992" s="13"/>
    </row>
    <row r="993" spans="9:23" ht="14.25" customHeight="1" x14ac:dyDescent="0.5">
      <c r="I993" s="10"/>
      <c r="J993" s="10"/>
      <c r="K993" s="11"/>
      <c r="U993" s="12"/>
      <c r="V993" s="12"/>
      <c r="W993" s="13"/>
    </row>
    <row r="994" spans="9:23" ht="14.25" customHeight="1" x14ac:dyDescent="0.5">
      <c r="I994" s="10"/>
      <c r="J994" s="10"/>
      <c r="K994" s="11"/>
      <c r="U994" s="12"/>
      <c r="V994" s="12"/>
      <c r="W994" s="13"/>
    </row>
    <row r="995" spans="9:23" ht="14.25" customHeight="1" x14ac:dyDescent="0.5">
      <c r="I995" s="10"/>
      <c r="J995" s="10"/>
      <c r="K995" s="11"/>
      <c r="U995" s="12"/>
      <c r="V995" s="12"/>
      <c r="W995" s="13"/>
    </row>
    <row r="996" spans="9:23" ht="14.25" customHeight="1" x14ac:dyDescent="0.5">
      <c r="I996" s="10"/>
      <c r="J996" s="10"/>
      <c r="K996" s="11"/>
      <c r="U996" s="12"/>
      <c r="V996" s="12"/>
      <c r="W996" s="13"/>
    </row>
    <row r="997" spans="9:23" ht="14.25" customHeight="1" x14ac:dyDescent="0.5">
      <c r="I997" s="10"/>
      <c r="J997" s="10"/>
      <c r="K997" s="11"/>
      <c r="U997" s="12"/>
      <c r="V997" s="12"/>
      <c r="W997" s="13"/>
    </row>
    <row r="998" spans="9:23" ht="14.25" customHeight="1" x14ac:dyDescent="0.5">
      <c r="I998" s="10"/>
      <c r="J998" s="10"/>
      <c r="K998" s="11"/>
      <c r="U998" s="12"/>
      <c r="V998" s="12"/>
      <c r="W998" s="13"/>
    </row>
    <row r="999" spans="9:23" ht="14.25" customHeight="1" x14ac:dyDescent="0.5">
      <c r="I999" s="10"/>
      <c r="J999" s="10"/>
      <c r="K999" s="11"/>
      <c r="U999" s="12"/>
      <c r="V999" s="12"/>
      <c r="W999" s="13"/>
    </row>
    <row r="1000" spans="9:23" ht="14.25" customHeight="1" x14ac:dyDescent="0.5">
      <c r="I1000" s="10"/>
      <c r="J1000" s="10"/>
      <c r="K1000" s="11"/>
      <c r="U1000" s="12"/>
      <c r="V1000" s="12"/>
      <c r="W1000" s="13"/>
    </row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4.41015625" defaultRowHeight="15" customHeight="1" x14ac:dyDescent="0.5"/>
  <cols>
    <col min="1" max="26" width="8.703125" customWidth="1"/>
  </cols>
  <sheetData>
    <row r="1" spans="1:26" ht="14.25" customHeight="1" x14ac:dyDescent="0.5">
      <c r="A1" s="14" t="s">
        <v>0</v>
      </c>
      <c r="B1" s="14" t="s">
        <v>1657</v>
      </c>
      <c r="C1" s="14" t="s">
        <v>1658</v>
      </c>
      <c r="D1" s="14" t="s">
        <v>3</v>
      </c>
      <c r="E1" s="14" t="s">
        <v>1659</v>
      </c>
      <c r="F1" s="14" t="s">
        <v>1660</v>
      </c>
      <c r="G1" s="14" t="s">
        <v>6</v>
      </c>
      <c r="H1" s="14" t="s">
        <v>1661</v>
      </c>
      <c r="I1" s="14" t="s">
        <v>1662</v>
      </c>
      <c r="J1" s="14" t="s">
        <v>9</v>
      </c>
      <c r="K1" s="14" t="s">
        <v>1663</v>
      </c>
      <c r="L1" s="14" t="s">
        <v>1664</v>
      </c>
      <c r="M1" s="14" t="s">
        <v>1665</v>
      </c>
      <c r="N1" s="14" t="s">
        <v>1666</v>
      </c>
      <c r="O1" s="14" t="s">
        <v>1667</v>
      </c>
      <c r="P1" s="9" t="s">
        <v>1668</v>
      </c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4.25" customHeight="1" x14ac:dyDescent="0.5">
      <c r="A2" s="2" t="s">
        <v>12</v>
      </c>
      <c r="B2" s="2" t="s">
        <v>1670</v>
      </c>
      <c r="C2" s="2" t="s">
        <v>1671</v>
      </c>
      <c r="D2" s="2" t="s">
        <v>15</v>
      </c>
      <c r="E2" s="2" t="s">
        <v>1672</v>
      </c>
      <c r="F2" s="2">
        <v>117872</v>
      </c>
      <c r="G2" s="2" t="s">
        <v>17</v>
      </c>
      <c r="H2" s="2" t="s">
        <v>45</v>
      </c>
      <c r="I2" s="2" t="s">
        <v>1673</v>
      </c>
      <c r="J2" s="2" t="s">
        <v>20</v>
      </c>
      <c r="K2" s="2" t="s">
        <v>1674</v>
      </c>
      <c r="L2" s="2" t="s">
        <v>1675</v>
      </c>
      <c r="M2" s="2" t="s">
        <v>1676</v>
      </c>
      <c r="N2" s="2">
        <v>0.2</v>
      </c>
      <c r="O2" s="2">
        <v>141446.39999999999</v>
      </c>
      <c r="P2" s="2" t="str">
        <f t="shared" ref="P2:P256" si="0">IF(O2&gt;100000,"High", "Normal")</f>
        <v>High</v>
      </c>
    </row>
    <row r="3" spans="1:26" ht="14.25" customHeight="1" x14ac:dyDescent="0.5">
      <c r="A3" s="2" t="s">
        <v>23</v>
      </c>
      <c r="B3" s="2" t="s">
        <v>1677</v>
      </c>
      <c r="C3" s="2" t="s">
        <v>1678</v>
      </c>
      <c r="D3" s="2" t="s">
        <v>15</v>
      </c>
      <c r="E3" s="2" t="s">
        <v>1679</v>
      </c>
      <c r="F3" s="2">
        <v>114878</v>
      </c>
      <c r="G3" s="2" t="s">
        <v>17</v>
      </c>
      <c r="H3" s="2" t="s">
        <v>1680</v>
      </c>
      <c r="I3" s="2" t="s">
        <v>1681</v>
      </c>
      <c r="J3" s="2" t="s">
        <v>29</v>
      </c>
      <c r="K3" s="2" t="s">
        <v>1674</v>
      </c>
      <c r="L3" s="2" t="s">
        <v>1675</v>
      </c>
      <c r="M3" s="2" t="s">
        <v>1676</v>
      </c>
      <c r="N3" s="2">
        <v>0.1</v>
      </c>
      <c r="O3" s="2">
        <v>126365.80000000002</v>
      </c>
      <c r="P3" s="2" t="str">
        <f t="shared" si="0"/>
        <v>High</v>
      </c>
    </row>
    <row r="4" spans="1:26" ht="14.25" customHeight="1" x14ac:dyDescent="0.5">
      <c r="A4" s="2" t="s">
        <v>31</v>
      </c>
      <c r="B4" s="2" t="s">
        <v>1682</v>
      </c>
      <c r="C4" s="2" t="s">
        <v>1683</v>
      </c>
      <c r="D4" s="2" t="s">
        <v>34</v>
      </c>
      <c r="E4" s="2" t="s">
        <v>1684</v>
      </c>
      <c r="F4" s="2">
        <v>112982</v>
      </c>
      <c r="G4" s="2" t="s">
        <v>36</v>
      </c>
      <c r="H4" s="2" t="s">
        <v>45</v>
      </c>
      <c r="I4" s="2" t="s">
        <v>1685</v>
      </c>
      <c r="J4" s="2" t="s">
        <v>37</v>
      </c>
      <c r="K4" s="2" t="s">
        <v>1686</v>
      </c>
      <c r="L4" s="2" t="s">
        <v>1687</v>
      </c>
      <c r="M4" s="2" t="s">
        <v>1688</v>
      </c>
      <c r="N4" s="2">
        <v>0.05</v>
      </c>
      <c r="O4" s="2">
        <v>118631.1</v>
      </c>
      <c r="P4" s="2" t="str">
        <f t="shared" si="0"/>
        <v>High</v>
      </c>
    </row>
    <row r="5" spans="1:26" ht="14.25" customHeight="1" x14ac:dyDescent="0.5">
      <c r="A5" s="2" t="s">
        <v>40</v>
      </c>
      <c r="B5" s="2" t="s">
        <v>1689</v>
      </c>
      <c r="C5" s="2" t="s">
        <v>1683</v>
      </c>
      <c r="D5" s="2" t="s">
        <v>42</v>
      </c>
      <c r="E5" s="2" t="s">
        <v>1690</v>
      </c>
      <c r="F5" s="2">
        <v>90583</v>
      </c>
      <c r="G5" s="2" t="s">
        <v>44</v>
      </c>
      <c r="H5" s="2" t="s">
        <v>45</v>
      </c>
      <c r="I5" s="2" t="s">
        <v>1681</v>
      </c>
      <c r="J5" s="2" t="s">
        <v>46</v>
      </c>
      <c r="K5" s="2" t="s">
        <v>1691</v>
      </c>
      <c r="L5" s="2" t="s">
        <v>1692</v>
      </c>
      <c r="M5" s="2" t="s">
        <v>1693</v>
      </c>
      <c r="N5" s="2">
        <v>0.2</v>
      </c>
      <c r="O5" s="2">
        <v>108699.59999999999</v>
      </c>
      <c r="P5" s="2" t="str">
        <f t="shared" si="0"/>
        <v>High</v>
      </c>
    </row>
    <row r="6" spans="1:26" ht="14.25" customHeight="1" x14ac:dyDescent="0.5">
      <c r="A6" s="2" t="s">
        <v>48</v>
      </c>
      <c r="B6" s="2" t="s">
        <v>1677</v>
      </c>
      <c r="C6" s="2" t="s">
        <v>1694</v>
      </c>
      <c r="D6" s="2" t="s">
        <v>50</v>
      </c>
      <c r="E6" s="2" t="s">
        <v>1695</v>
      </c>
      <c r="F6" s="2">
        <v>78392</v>
      </c>
      <c r="G6" s="2" t="s">
        <v>36</v>
      </c>
      <c r="H6" s="2" t="s">
        <v>45</v>
      </c>
      <c r="I6" s="2" t="s">
        <v>1681</v>
      </c>
      <c r="J6" s="2" t="s">
        <v>52</v>
      </c>
      <c r="K6" s="2" t="s">
        <v>1691</v>
      </c>
      <c r="L6" s="2" t="s">
        <v>1692</v>
      </c>
      <c r="M6" s="2" t="s">
        <v>1696</v>
      </c>
      <c r="N6" s="2">
        <v>0.05</v>
      </c>
      <c r="O6" s="2">
        <v>82311.600000000006</v>
      </c>
      <c r="P6" s="2" t="str">
        <f t="shared" si="0"/>
        <v>Normal</v>
      </c>
    </row>
    <row r="7" spans="1:26" ht="14.25" customHeight="1" x14ac:dyDescent="0.5">
      <c r="A7" s="2" t="s">
        <v>54</v>
      </c>
      <c r="B7" s="2" t="s">
        <v>1697</v>
      </c>
      <c r="C7" s="2" t="s">
        <v>1678</v>
      </c>
      <c r="D7" s="2" t="s">
        <v>34</v>
      </c>
      <c r="E7" s="2" t="s">
        <v>1698</v>
      </c>
      <c r="F7" s="2">
        <v>47461</v>
      </c>
      <c r="G7" s="2" t="s">
        <v>57</v>
      </c>
      <c r="H7" s="2" t="s">
        <v>1699</v>
      </c>
      <c r="I7" s="2" t="s">
        <v>1673</v>
      </c>
      <c r="J7" s="2" t="s">
        <v>59</v>
      </c>
      <c r="K7" s="2" t="s">
        <v>1674</v>
      </c>
      <c r="L7" s="2" t="s">
        <v>1675</v>
      </c>
      <c r="M7" s="2" t="s">
        <v>1700</v>
      </c>
      <c r="N7" s="2">
        <v>0.1</v>
      </c>
      <c r="O7" s="2">
        <v>52207.100000000006</v>
      </c>
      <c r="P7" s="2" t="str">
        <f t="shared" si="0"/>
        <v>Normal</v>
      </c>
    </row>
    <row r="8" spans="1:26" ht="14.25" customHeight="1" x14ac:dyDescent="0.5">
      <c r="A8" s="2" t="s">
        <v>61</v>
      </c>
      <c r="B8" s="2" t="s">
        <v>1701</v>
      </c>
      <c r="C8" s="2" t="s">
        <v>1694</v>
      </c>
      <c r="D8" s="2" t="s">
        <v>42</v>
      </c>
      <c r="E8" s="2" t="s">
        <v>1702</v>
      </c>
      <c r="F8" s="2">
        <v>50516</v>
      </c>
      <c r="G8" s="2" t="s">
        <v>36</v>
      </c>
      <c r="H8" s="2" t="s">
        <v>1699</v>
      </c>
      <c r="I8" s="2" t="s">
        <v>1703</v>
      </c>
      <c r="J8" s="2" t="s">
        <v>66</v>
      </c>
      <c r="K8" s="2" t="s">
        <v>1686</v>
      </c>
      <c r="L8" s="2" t="s">
        <v>1687</v>
      </c>
      <c r="M8" s="2" t="s">
        <v>1696</v>
      </c>
      <c r="N8" s="2">
        <v>0.1</v>
      </c>
      <c r="O8" s="2">
        <v>55567.600000000006</v>
      </c>
      <c r="P8" s="2" t="str">
        <f t="shared" si="0"/>
        <v>Normal</v>
      </c>
    </row>
    <row r="9" spans="1:26" ht="14.25" customHeight="1" x14ac:dyDescent="0.5">
      <c r="A9" s="2" t="s">
        <v>67</v>
      </c>
      <c r="B9" s="2" t="s">
        <v>1704</v>
      </c>
      <c r="C9" s="2" t="s">
        <v>1678</v>
      </c>
      <c r="D9" s="2" t="s">
        <v>69</v>
      </c>
      <c r="E9" s="2" t="s">
        <v>1705</v>
      </c>
      <c r="F9" s="2">
        <v>119285</v>
      </c>
      <c r="G9" s="2" t="s">
        <v>44</v>
      </c>
      <c r="H9" s="2" t="s">
        <v>1680</v>
      </c>
      <c r="I9" s="2" t="s">
        <v>1703</v>
      </c>
      <c r="J9" s="2" t="s">
        <v>71</v>
      </c>
      <c r="K9" s="2" t="s">
        <v>1706</v>
      </c>
      <c r="L9" s="2" t="s">
        <v>1707</v>
      </c>
      <c r="M9" s="2" t="s">
        <v>1696</v>
      </c>
      <c r="N9" s="2">
        <v>0.1</v>
      </c>
      <c r="O9" s="2">
        <v>131213.5</v>
      </c>
      <c r="P9" s="2" t="str">
        <f t="shared" si="0"/>
        <v>High</v>
      </c>
    </row>
    <row r="10" spans="1:26" ht="14.25" customHeight="1" x14ac:dyDescent="0.5">
      <c r="A10" s="2" t="s">
        <v>72</v>
      </c>
      <c r="B10" s="2" t="s">
        <v>1708</v>
      </c>
      <c r="C10" s="2" t="s">
        <v>1709</v>
      </c>
      <c r="D10" s="2" t="s">
        <v>75</v>
      </c>
      <c r="E10" s="2" t="s">
        <v>1710</v>
      </c>
      <c r="F10" s="2">
        <v>57514</v>
      </c>
      <c r="G10" s="2" t="s">
        <v>57</v>
      </c>
      <c r="H10" s="2" t="s">
        <v>45</v>
      </c>
      <c r="I10" s="2" t="s">
        <v>77</v>
      </c>
      <c r="J10" s="2" t="s">
        <v>78</v>
      </c>
      <c r="K10" s="2" t="s">
        <v>1706</v>
      </c>
      <c r="L10" s="2" t="s">
        <v>1707</v>
      </c>
      <c r="M10" s="2" t="s">
        <v>1711</v>
      </c>
      <c r="N10" s="2">
        <v>0.05</v>
      </c>
      <c r="O10" s="2">
        <v>60389.700000000004</v>
      </c>
      <c r="P10" s="2" t="str">
        <f t="shared" si="0"/>
        <v>Normal</v>
      </c>
    </row>
    <row r="11" spans="1:26" ht="14.25" customHeight="1" x14ac:dyDescent="0.5">
      <c r="A11" s="2" t="s">
        <v>80</v>
      </c>
      <c r="B11" s="2" t="s">
        <v>1712</v>
      </c>
      <c r="C11" s="2" t="s">
        <v>1671</v>
      </c>
      <c r="D11" s="2" t="s">
        <v>34</v>
      </c>
      <c r="E11" s="2" t="s">
        <v>1713</v>
      </c>
      <c r="F11" s="2">
        <v>76268</v>
      </c>
      <c r="G11" s="2" t="s">
        <v>83</v>
      </c>
      <c r="H11" s="2" t="s">
        <v>45</v>
      </c>
      <c r="I11" s="2" t="s">
        <v>1703</v>
      </c>
      <c r="J11" s="2" t="s">
        <v>84</v>
      </c>
      <c r="K11" s="2" t="s">
        <v>1691</v>
      </c>
      <c r="L11" s="2" t="s">
        <v>1692</v>
      </c>
      <c r="M11" s="2" t="s">
        <v>1696</v>
      </c>
      <c r="N11" s="2">
        <v>0.15</v>
      </c>
      <c r="O11" s="2">
        <v>87708.2</v>
      </c>
      <c r="P11" s="2" t="str">
        <f t="shared" si="0"/>
        <v>Normal</v>
      </c>
    </row>
    <row r="12" spans="1:26" ht="14.25" customHeight="1" x14ac:dyDescent="0.5">
      <c r="A12" s="2" t="s">
        <v>86</v>
      </c>
      <c r="B12" s="2" t="s">
        <v>1714</v>
      </c>
      <c r="C12" s="2" t="s">
        <v>1709</v>
      </c>
      <c r="D12" s="2" t="s">
        <v>34</v>
      </c>
      <c r="E12" s="2" t="s">
        <v>1715</v>
      </c>
      <c r="F12" s="2">
        <v>76788</v>
      </c>
      <c r="G12" s="2" t="s">
        <v>83</v>
      </c>
      <c r="H12" s="2" t="s">
        <v>45</v>
      </c>
      <c r="I12" s="2" t="s">
        <v>1681</v>
      </c>
      <c r="J12" s="2" t="s">
        <v>90</v>
      </c>
      <c r="K12" s="2" t="s">
        <v>1706</v>
      </c>
      <c r="L12" s="2" t="s">
        <v>1707</v>
      </c>
      <c r="M12" s="2" t="s">
        <v>1676</v>
      </c>
      <c r="N12" s="2">
        <v>0.05</v>
      </c>
      <c r="O12" s="2">
        <v>80627.400000000009</v>
      </c>
      <c r="P12" s="2" t="str">
        <f t="shared" si="0"/>
        <v>Normal</v>
      </c>
    </row>
    <row r="13" spans="1:26" ht="14.25" customHeight="1" x14ac:dyDescent="0.5">
      <c r="A13" s="2" t="s">
        <v>91</v>
      </c>
      <c r="B13" s="2" t="s">
        <v>1716</v>
      </c>
      <c r="C13" s="2" t="s">
        <v>1717</v>
      </c>
      <c r="D13" s="2" t="s">
        <v>50</v>
      </c>
      <c r="E13" s="2" t="s">
        <v>1718</v>
      </c>
      <c r="F13" s="2">
        <v>115749</v>
      </c>
      <c r="G13" s="2" t="s">
        <v>44</v>
      </c>
      <c r="H13" s="2" t="s">
        <v>1699</v>
      </c>
      <c r="I13" s="2" t="s">
        <v>77</v>
      </c>
      <c r="J13" s="2" t="s">
        <v>95</v>
      </c>
      <c r="K13" s="2" t="s">
        <v>1691</v>
      </c>
      <c r="L13" s="2" t="s">
        <v>1692</v>
      </c>
      <c r="M13" s="2" t="s">
        <v>1719</v>
      </c>
      <c r="N13" s="2">
        <v>0.15</v>
      </c>
      <c r="O13" s="2">
        <v>133111.34999999998</v>
      </c>
      <c r="P13" s="2" t="str">
        <f t="shared" si="0"/>
        <v>High</v>
      </c>
    </row>
    <row r="14" spans="1:26" ht="14.25" customHeight="1" x14ac:dyDescent="0.5">
      <c r="A14" s="2" t="s">
        <v>97</v>
      </c>
      <c r="B14" s="2" t="s">
        <v>1720</v>
      </c>
      <c r="C14" s="2" t="s">
        <v>1721</v>
      </c>
      <c r="D14" s="2" t="s">
        <v>100</v>
      </c>
      <c r="E14" s="2" t="s">
        <v>1722</v>
      </c>
      <c r="F14" s="2">
        <v>101049</v>
      </c>
      <c r="G14" s="2" t="s">
        <v>36</v>
      </c>
      <c r="H14" s="2" t="s">
        <v>1680</v>
      </c>
      <c r="I14" s="2" t="s">
        <v>1673</v>
      </c>
      <c r="J14" s="2" t="s">
        <v>102</v>
      </c>
      <c r="K14" s="2" t="s">
        <v>1691</v>
      </c>
      <c r="L14" s="2" t="s">
        <v>1692</v>
      </c>
      <c r="M14" s="2" t="s">
        <v>1693</v>
      </c>
      <c r="N14" s="2">
        <v>0.1</v>
      </c>
      <c r="O14" s="2">
        <v>111153.90000000001</v>
      </c>
      <c r="P14" s="2" t="str">
        <f t="shared" si="0"/>
        <v>High</v>
      </c>
    </row>
    <row r="15" spans="1:26" ht="14.25" customHeight="1" x14ac:dyDescent="0.5">
      <c r="A15" s="2" t="s">
        <v>103</v>
      </c>
      <c r="B15" s="2" t="s">
        <v>1723</v>
      </c>
      <c r="C15" s="2" t="s">
        <v>1724</v>
      </c>
      <c r="D15" s="2" t="s">
        <v>69</v>
      </c>
      <c r="E15" s="2" t="s">
        <v>1725</v>
      </c>
      <c r="F15" s="2">
        <v>102493</v>
      </c>
      <c r="G15" s="2" t="s">
        <v>17</v>
      </c>
      <c r="H15" s="2" t="s">
        <v>45</v>
      </c>
      <c r="I15" s="2" t="s">
        <v>77</v>
      </c>
      <c r="J15" s="2" t="s">
        <v>108</v>
      </c>
      <c r="K15" s="2" t="s">
        <v>1691</v>
      </c>
      <c r="L15" s="2" t="s">
        <v>1692</v>
      </c>
      <c r="M15" s="2" t="s">
        <v>1700</v>
      </c>
      <c r="N15" s="2">
        <v>0.2</v>
      </c>
      <c r="O15" s="2">
        <v>122991.59999999999</v>
      </c>
      <c r="P15" s="2" t="str">
        <f t="shared" si="0"/>
        <v>High</v>
      </c>
    </row>
    <row r="16" spans="1:26" ht="14.25" customHeight="1" x14ac:dyDescent="0.5">
      <c r="A16" s="2" t="s">
        <v>109</v>
      </c>
      <c r="B16" s="2" t="s">
        <v>1726</v>
      </c>
      <c r="C16" s="2" t="s">
        <v>1678</v>
      </c>
      <c r="D16" s="2" t="s">
        <v>50</v>
      </c>
      <c r="E16" s="2" t="s">
        <v>1727</v>
      </c>
      <c r="F16" s="2">
        <v>76027</v>
      </c>
      <c r="G16" s="2" t="s">
        <v>44</v>
      </c>
      <c r="H16" s="2" t="s">
        <v>1680</v>
      </c>
      <c r="I16" s="2" t="s">
        <v>1681</v>
      </c>
      <c r="J16" s="2" t="s">
        <v>113</v>
      </c>
      <c r="K16" s="2" t="s">
        <v>1706</v>
      </c>
      <c r="L16" s="2" t="s">
        <v>1707</v>
      </c>
      <c r="M16" s="2" t="s">
        <v>1711</v>
      </c>
      <c r="N16" s="2">
        <v>0.15</v>
      </c>
      <c r="O16" s="2">
        <v>87431.049999999988</v>
      </c>
      <c r="P16" s="2" t="str">
        <f t="shared" si="0"/>
        <v>Normal</v>
      </c>
    </row>
    <row r="17" spans="1:16" ht="14.25" customHeight="1" x14ac:dyDescent="0.5">
      <c r="A17" s="2" t="s">
        <v>114</v>
      </c>
      <c r="B17" s="2" t="s">
        <v>1728</v>
      </c>
      <c r="C17" s="2" t="s">
        <v>1717</v>
      </c>
      <c r="D17" s="2" t="s">
        <v>42</v>
      </c>
      <c r="E17" s="2" t="s">
        <v>1729</v>
      </c>
      <c r="F17" s="2">
        <v>82849</v>
      </c>
      <c r="G17" s="2" t="s">
        <v>57</v>
      </c>
      <c r="H17" s="2" t="s">
        <v>1699</v>
      </c>
      <c r="I17" s="2" t="s">
        <v>1681</v>
      </c>
      <c r="J17" s="2" t="s">
        <v>117</v>
      </c>
      <c r="K17" s="2" t="s">
        <v>1691</v>
      </c>
      <c r="L17" s="2" t="s">
        <v>1692</v>
      </c>
      <c r="M17" s="2" t="s">
        <v>1696</v>
      </c>
      <c r="N17" s="2">
        <v>0.1</v>
      </c>
      <c r="O17" s="2">
        <v>91133.900000000009</v>
      </c>
      <c r="P17" s="2" t="str">
        <f t="shared" si="0"/>
        <v>Normal</v>
      </c>
    </row>
    <row r="18" spans="1:16" ht="14.25" customHeight="1" x14ac:dyDescent="0.5">
      <c r="A18" s="2" t="s">
        <v>118</v>
      </c>
      <c r="B18" s="2" t="s">
        <v>1730</v>
      </c>
      <c r="C18" s="2" t="s">
        <v>1721</v>
      </c>
      <c r="D18" s="2" t="s">
        <v>42</v>
      </c>
      <c r="E18" s="2" t="s">
        <v>1731</v>
      </c>
      <c r="F18" s="2">
        <v>57858</v>
      </c>
      <c r="G18" s="2" t="s">
        <v>57</v>
      </c>
      <c r="H18" s="2" t="s">
        <v>1680</v>
      </c>
      <c r="I18" s="2" t="s">
        <v>77</v>
      </c>
      <c r="J18" s="2" t="s">
        <v>122</v>
      </c>
      <c r="K18" s="2" t="s">
        <v>1674</v>
      </c>
      <c r="L18" s="2" t="s">
        <v>1675</v>
      </c>
      <c r="M18" s="2" t="s">
        <v>1719</v>
      </c>
      <c r="N18" s="2">
        <v>0.1</v>
      </c>
      <c r="O18" s="2">
        <v>63643.8</v>
      </c>
      <c r="P18" s="2" t="str">
        <f t="shared" si="0"/>
        <v>Normal</v>
      </c>
    </row>
    <row r="19" spans="1:16" ht="14.25" customHeight="1" x14ac:dyDescent="0.5">
      <c r="A19" s="2" t="s">
        <v>123</v>
      </c>
      <c r="B19" s="2" t="s">
        <v>1732</v>
      </c>
      <c r="C19" s="2" t="s">
        <v>1733</v>
      </c>
      <c r="D19" s="2" t="s">
        <v>42</v>
      </c>
      <c r="E19" s="2" t="s">
        <v>1734</v>
      </c>
      <c r="F19" s="2">
        <v>119003</v>
      </c>
      <c r="G19" s="2" t="s">
        <v>83</v>
      </c>
      <c r="H19" s="2" t="s">
        <v>1680</v>
      </c>
      <c r="I19" s="2" t="s">
        <v>1673</v>
      </c>
      <c r="J19" s="2" t="s">
        <v>127</v>
      </c>
      <c r="K19" s="2" t="s">
        <v>1686</v>
      </c>
      <c r="L19" s="2" t="s">
        <v>1687</v>
      </c>
      <c r="M19" s="2" t="s">
        <v>1693</v>
      </c>
      <c r="N19" s="2">
        <v>0.15</v>
      </c>
      <c r="O19" s="2">
        <v>136853.44999999998</v>
      </c>
      <c r="P19" s="2" t="str">
        <f t="shared" si="0"/>
        <v>High</v>
      </c>
    </row>
    <row r="20" spans="1:16" ht="14.25" customHeight="1" x14ac:dyDescent="0.5">
      <c r="A20" s="2" t="s">
        <v>128</v>
      </c>
      <c r="B20" s="2" t="s">
        <v>1735</v>
      </c>
      <c r="C20" s="2" t="s">
        <v>1671</v>
      </c>
      <c r="D20" s="2" t="s">
        <v>42</v>
      </c>
      <c r="E20" s="2" t="s">
        <v>1736</v>
      </c>
      <c r="F20" s="2">
        <v>92395</v>
      </c>
      <c r="G20" s="2" t="s">
        <v>57</v>
      </c>
      <c r="H20" s="2" t="s">
        <v>1680</v>
      </c>
      <c r="I20" s="2" t="s">
        <v>1685</v>
      </c>
      <c r="J20" s="2" t="s">
        <v>131</v>
      </c>
      <c r="K20" s="2" t="s">
        <v>1686</v>
      </c>
      <c r="L20" s="2" t="s">
        <v>1687</v>
      </c>
      <c r="M20" s="2" t="s">
        <v>1688</v>
      </c>
      <c r="N20" s="2">
        <v>0.2</v>
      </c>
      <c r="O20" s="2">
        <v>110874</v>
      </c>
      <c r="P20" s="2" t="str">
        <f t="shared" si="0"/>
        <v>High</v>
      </c>
    </row>
    <row r="21" spans="1:16" ht="14.25" customHeight="1" x14ac:dyDescent="0.5">
      <c r="A21" s="2" t="s">
        <v>132</v>
      </c>
      <c r="B21" s="2" t="s">
        <v>1737</v>
      </c>
      <c r="C21" s="2" t="s">
        <v>1694</v>
      </c>
      <c r="D21" s="2" t="s">
        <v>100</v>
      </c>
      <c r="E21" s="2" t="s">
        <v>1738</v>
      </c>
      <c r="F21" s="2">
        <v>79758</v>
      </c>
      <c r="G21" s="2" t="s">
        <v>44</v>
      </c>
      <c r="H21" s="2" t="s">
        <v>1699</v>
      </c>
      <c r="I21" s="2" t="s">
        <v>1681</v>
      </c>
      <c r="J21" s="2" t="s">
        <v>135</v>
      </c>
      <c r="K21" s="2" t="s">
        <v>1691</v>
      </c>
      <c r="L21" s="2" t="s">
        <v>1692</v>
      </c>
      <c r="M21" s="2" t="s">
        <v>1688</v>
      </c>
      <c r="N21" s="2">
        <v>0.1</v>
      </c>
      <c r="O21" s="2">
        <v>87733.8</v>
      </c>
      <c r="P21" s="2" t="str">
        <f t="shared" si="0"/>
        <v>Normal</v>
      </c>
    </row>
    <row r="22" spans="1:16" ht="14.25" customHeight="1" x14ac:dyDescent="0.5">
      <c r="A22" s="2" t="s">
        <v>136</v>
      </c>
      <c r="B22" s="2" t="s">
        <v>1739</v>
      </c>
      <c r="C22" s="2" t="s">
        <v>1694</v>
      </c>
      <c r="D22" s="2" t="s">
        <v>69</v>
      </c>
      <c r="E22" s="2" t="s">
        <v>1740</v>
      </c>
      <c r="F22" s="2">
        <v>94312</v>
      </c>
      <c r="G22" s="2" t="s">
        <v>57</v>
      </c>
      <c r="H22" s="2" t="s">
        <v>45</v>
      </c>
      <c r="I22" s="2" t="s">
        <v>1685</v>
      </c>
      <c r="J22" s="2" t="s">
        <v>139</v>
      </c>
      <c r="K22" s="2" t="s">
        <v>1686</v>
      </c>
      <c r="L22" s="2" t="s">
        <v>1687</v>
      </c>
      <c r="M22" s="2" t="s">
        <v>1688</v>
      </c>
      <c r="N22" s="2">
        <v>0.15</v>
      </c>
      <c r="O22" s="2">
        <v>108458.79999999999</v>
      </c>
      <c r="P22" s="2" t="str">
        <f t="shared" si="0"/>
        <v>High</v>
      </c>
    </row>
    <row r="23" spans="1:16" ht="14.25" customHeight="1" x14ac:dyDescent="0.5">
      <c r="A23" s="2" t="s">
        <v>140</v>
      </c>
      <c r="B23" s="2" t="s">
        <v>1741</v>
      </c>
      <c r="C23" s="2" t="s">
        <v>1709</v>
      </c>
      <c r="D23" s="2" t="s">
        <v>15</v>
      </c>
      <c r="E23" s="2" t="s">
        <v>1742</v>
      </c>
      <c r="F23" s="2">
        <v>108670</v>
      </c>
      <c r="G23" s="2" t="s">
        <v>44</v>
      </c>
      <c r="H23" s="2" t="s">
        <v>1680</v>
      </c>
      <c r="I23" s="2" t="s">
        <v>1685</v>
      </c>
      <c r="J23" s="2" t="s">
        <v>143</v>
      </c>
      <c r="K23" s="2" t="s">
        <v>1706</v>
      </c>
      <c r="L23" s="2" t="s">
        <v>1707</v>
      </c>
      <c r="M23" s="2" t="s">
        <v>1676</v>
      </c>
      <c r="N23" s="2">
        <v>0.2</v>
      </c>
      <c r="O23" s="2">
        <v>130404</v>
      </c>
      <c r="P23" s="2" t="str">
        <f t="shared" si="0"/>
        <v>High</v>
      </c>
    </row>
    <row r="24" spans="1:16" ht="14.25" customHeight="1" x14ac:dyDescent="0.5">
      <c r="A24" s="2" t="s">
        <v>144</v>
      </c>
      <c r="B24" s="2" t="s">
        <v>1743</v>
      </c>
      <c r="C24" s="2" t="s">
        <v>1683</v>
      </c>
      <c r="D24" s="2" t="s">
        <v>75</v>
      </c>
      <c r="E24" s="2" t="s">
        <v>1744</v>
      </c>
      <c r="F24" s="2">
        <v>55434</v>
      </c>
      <c r="G24" s="2" t="s">
        <v>17</v>
      </c>
      <c r="H24" s="2" t="s">
        <v>45</v>
      </c>
      <c r="I24" s="2" t="s">
        <v>1703</v>
      </c>
      <c r="J24" s="2" t="s">
        <v>147</v>
      </c>
      <c r="K24" s="2" t="s">
        <v>1706</v>
      </c>
      <c r="L24" s="2" t="s">
        <v>1707</v>
      </c>
      <c r="M24" s="2" t="s">
        <v>1700</v>
      </c>
      <c r="N24" s="2">
        <v>0.2</v>
      </c>
      <c r="O24" s="2">
        <v>66520.800000000003</v>
      </c>
      <c r="P24" s="2" t="str">
        <f t="shared" si="0"/>
        <v>Normal</v>
      </c>
    </row>
    <row r="25" spans="1:16" ht="14.25" customHeight="1" x14ac:dyDescent="0.5">
      <c r="A25" s="2" t="s">
        <v>148</v>
      </c>
      <c r="B25" s="2" t="s">
        <v>1737</v>
      </c>
      <c r="C25" s="2" t="s">
        <v>1721</v>
      </c>
      <c r="D25" s="2" t="s">
        <v>100</v>
      </c>
      <c r="E25" s="2" t="s">
        <v>1745</v>
      </c>
      <c r="F25" s="2">
        <v>104047</v>
      </c>
      <c r="G25" s="2" t="s">
        <v>83</v>
      </c>
      <c r="H25" s="2" t="s">
        <v>1699</v>
      </c>
      <c r="I25" s="2" t="s">
        <v>1673</v>
      </c>
      <c r="J25" s="2" t="s">
        <v>150</v>
      </c>
      <c r="K25" s="2" t="s">
        <v>1686</v>
      </c>
      <c r="L25" s="2" t="s">
        <v>1687</v>
      </c>
      <c r="M25" s="2" t="s">
        <v>1688</v>
      </c>
      <c r="N25" s="2">
        <v>0.1</v>
      </c>
      <c r="O25" s="2">
        <v>114451.70000000001</v>
      </c>
      <c r="P25" s="2" t="str">
        <f t="shared" si="0"/>
        <v>High</v>
      </c>
    </row>
    <row r="26" spans="1:16" ht="14.25" customHeight="1" x14ac:dyDescent="0.5">
      <c r="A26" s="2" t="s">
        <v>151</v>
      </c>
      <c r="B26" s="2" t="s">
        <v>1746</v>
      </c>
      <c r="C26" s="2" t="s">
        <v>1733</v>
      </c>
      <c r="D26" s="2" t="s">
        <v>100</v>
      </c>
      <c r="E26" s="2" t="s">
        <v>1747</v>
      </c>
      <c r="F26" s="2">
        <v>87775</v>
      </c>
      <c r="G26" s="2" t="s">
        <v>57</v>
      </c>
      <c r="H26" s="2" t="s">
        <v>1699</v>
      </c>
      <c r="I26" s="2" t="s">
        <v>1685</v>
      </c>
      <c r="J26" s="2" t="s">
        <v>154</v>
      </c>
      <c r="K26" s="2" t="s">
        <v>1706</v>
      </c>
      <c r="L26" s="2" t="s">
        <v>1707</v>
      </c>
      <c r="M26" s="2" t="s">
        <v>1676</v>
      </c>
      <c r="N26" s="2">
        <v>0.05</v>
      </c>
      <c r="O26" s="2">
        <v>92163.75</v>
      </c>
      <c r="P26" s="2" t="str">
        <f t="shared" si="0"/>
        <v>Normal</v>
      </c>
    </row>
    <row r="27" spans="1:16" ht="14.25" customHeight="1" x14ac:dyDescent="0.5">
      <c r="A27" s="2" t="s">
        <v>155</v>
      </c>
      <c r="B27" s="2" t="s">
        <v>1748</v>
      </c>
      <c r="C27" s="2" t="s">
        <v>1717</v>
      </c>
      <c r="D27" s="2" t="s">
        <v>15</v>
      </c>
      <c r="E27" s="2" t="s">
        <v>1749</v>
      </c>
      <c r="F27" s="2">
        <v>115769</v>
      </c>
      <c r="G27" s="2" t="s">
        <v>44</v>
      </c>
      <c r="H27" s="2" t="s">
        <v>1699</v>
      </c>
      <c r="I27" s="2" t="s">
        <v>1673</v>
      </c>
      <c r="J27" s="2" t="s">
        <v>158</v>
      </c>
      <c r="K27" s="2" t="s">
        <v>1686</v>
      </c>
      <c r="L27" s="2" t="s">
        <v>1687</v>
      </c>
      <c r="M27" s="2" t="s">
        <v>1750</v>
      </c>
      <c r="N27" s="2">
        <v>0.05</v>
      </c>
      <c r="O27" s="2">
        <v>121557.45000000001</v>
      </c>
      <c r="P27" s="2" t="str">
        <f t="shared" si="0"/>
        <v>High</v>
      </c>
    </row>
    <row r="28" spans="1:16" ht="14.25" customHeight="1" x14ac:dyDescent="0.5">
      <c r="A28" s="2" t="s">
        <v>160</v>
      </c>
      <c r="B28" s="2" t="s">
        <v>1751</v>
      </c>
      <c r="C28" s="2" t="s">
        <v>1671</v>
      </c>
      <c r="D28" s="2" t="s">
        <v>15</v>
      </c>
      <c r="E28" s="2" t="s">
        <v>1752</v>
      </c>
      <c r="F28" s="2">
        <v>106677</v>
      </c>
      <c r="G28" s="2" t="s">
        <v>36</v>
      </c>
      <c r="H28" s="2" t="s">
        <v>1680</v>
      </c>
      <c r="I28" s="2" t="s">
        <v>1703</v>
      </c>
      <c r="J28" s="2" t="s">
        <v>163</v>
      </c>
      <c r="K28" s="2" t="s">
        <v>1686</v>
      </c>
      <c r="L28" s="2" t="s">
        <v>1687</v>
      </c>
      <c r="M28" s="2" t="s">
        <v>1676</v>
      </c>
      <c r="N28" s="2">
        <v>0.1</v>
      </c>
      <c r="O28" s="2">
        <v>117344.70000000001</v>
      </c>
      <c r="P28" s="2" t="str">
        <f t="shared" si="0"/>
        <v>High</v>
      </c>
    </row>
    <row r="29" spans="1:16" ht="14.25" customHeight="1" x14ac:dyDescent="0.5">
      <c r="A29" s="2" t="s">
        <v>164</v>
      </c>
      <c r="B29" s="2" t="s">
        <v>1753</v>
      </c>
      <c r="C29" s="2" t="s">
        <v>1721</v>
      </c>
      <c r="D29" s="2" t="s">
        <v>75</v>
      </c>
      <c r="E29" s="2" t="s">
        <v>1754</v>
      </c>
      <c r="F29" s="2">
        <v>85734</v>
      </c>
      <c r="G29" s="2" t="s">
        <v>83</v>
      </c>
      <c r="H29" s="2" t="s">
        <v>1699</v>
      </c>
      <c r="I29" s="2" t="s">
        <v>1673</v>
      </c>
      <c r="J29" s="2" t="s">
        <v>167</v>
      </c>
      <c r="K29" s="2" t="s">
        <v>1686</v>
      </c>
      <c r="L29" s="2" t="s">
        <v>1687</v>
      </c>
      <c r="M29" s="2" t="s">
        <v>1711</v>
      </c>
      <c r="N29" s="2">
        <v>0.2</v>
      </c>
      <c r="O29" s="2">
        <v>102880.8</v>
      </c>
      <c r="P29" s="2" t="str">
        <f t="shared" si="0"/>
        <v>High</v>
      </c>
    </row>
    <row r="30" spans="1:16" ht="14.25" customHeight="1" x14ac:dyDescent="0.5">
      <c r="A30" s="2" t="s">
        <v>168</v>
      </c>
      <c r="B30" s="2" t="s">
        <v>1755</v>
      </c>
      <c r="C30" s="2" t="s">
        <v>1733</v>
      </c>
      <c r="D30" s="2" t="s">
        <v>75</v>
      </c>
      <c r="E30" s="2" t="s">
        <v>1756</v>
      </c>
      <c r="F30" s="2">
        <v>80603</v>
      </c>
      <c r="G30" s="2" t="s">
        <v>17</v>
      </c>
      <c r="H30" s="2" t="s">
        <v>45</v>
      </c>
      <c r="I30" s="2" t="s">
        <v>1681</v>
      </c>
      <c r="J30" s="2" t="s">
        <v>171</v>
      </c>
      <c r="K30" s="2" t="s">
        <v>1691</v>
      </c>
      <c r="L30" s="2" t="s">
        <v>1692</v>
      </c>
      <c r="M30" s="2" t="s">
        <v>1676</v>
      </c>
      <c r="N30" s="2">
        <v>0.1</v>
      </c>
      <c r="O30" s="2">
        <v>88663.3</v>
      </c>
      <c r="P30" s="2" t="str">
        <f t="shared" si="0"/>
        <v>Normal</v>
      </c>
    </row>
    <row r="31" spans="1:16" ht="14.25" customHeight="1" x14ac:dyDescent="0.5">
      <c r="A31" s="2" t="s">
        <v>172</v>
      </c>
      <c r="B31" s="2" t="s">
        <v>1757</v>
      </c>
      <c r="C31" s="2" t="s">
        <v>1724</v>
      </c>
      <c r="D31" s="2" t="s">
        <v>15</v>
      </c>
      <c r="E31" s="2" t="s">
        <v>1758</v>
      </c>
      <c r="F31" s="2">
        <v>116708</v>
      </c>
      <c r="G31" s="2" t="s">
        <v>44</v>
      </c>
      <c r="H31" s="2" t="s">
        <v>1680</v>
      </c>
      <c r="I31" s="2" t="s">
        <v>1685</v>
      </c>
      <c r="J31" s="2" t="s">
        <v>175</v>
      </c>
      <c r="K31" s="2" t="s">
        <v>1686</v>
      </c>
      <c r="L31" s="2" t="s">
        <v>1687</v>
      </c>
      <c r="M31" s="2" t="s">
        <v>1700</v>
      </c>
      <c r="N31" s="2">
        <v>0.15</v>
      </c>
      <c r="O31" s="2">
        <v>134214.19999999998</v>
      </c>
      <c r="P31" s="2" t="str">
        <f t="shared" si="0"/>
        <v>High</v>
      </c>
    </row>
    <row r="32" spans="1:16" ht="14.25" customHeight="1" x14ac:dyDescent="0.5">
      <c r="A32" s="2" t="s">
        <v>176</v>
      </c>
      <c r="B32" s="2" t="s">
        <v>1759</v>
      </c>
      <c r="C32" s="2" t="s">
        <v>1678</v>
      </c>
      <c r="D32" s="2" t="s">
        <v>42</v>
      </c>
      <c r="E32" s="2" t="s">
        <v>1760</v>
      </c>
      <c r="F32" s="2">
        <v>108803</v>
      </c>
      <c r="G32" s="2" t="s">
        <v>17</v>
      </c>
      <c r="H32" s="2" t="s">
        <v>45</v>
      </c>
      <c r="I32" s="2" t="s">
        <v>1673</v>
      </c>
      <c r="J32" s="2" t="s">
        <v>179</v>
      </c>
      <c r="K32" s="2" t="s">
        <v>1691</v>
      </c>
      <c r="L32" s="2" t="s">
        <v>1692</v>
      </c>
      <c r="M32" s="2" t="s">
        <v>1719</v>
      </c>
      <c r="N32" s="2">
        <v>0.05</v>
      </c>
      <c r="O32" s="2">
        <v>114243.15000000001</v>
      </c>
      <c r="P32" s="2" t="str">
        <f t="shared" si="0"/>
        <v>High</v>
      </c>
    </row>
    <row r="33" spans="1:16" ht="14.25" customHeight="1" x14ac:dyDescent="0.5">
      <c r="A33" s="2" t="s">
        <v>180</v>
      </c>
      <c r="B33" s="2" t="s">
        <v>1761</v>
      </c>
      <c r="C33" s="2" t="s">
        <v>1694</v>
      </c>
      <c r="D33" s="2" t="s">
        <v>100</v>
      </c>
      <c r="E33" s="2" t="s">
        <v>1762</v>
      </c>
      <c r="F33" s="2">
        <v>79332</v>
      </c>
      <c r="G33" s="2" t="s">
        <v>17</v>
      </c>
      <c r="H33" s="2" t="s">
        <v>45</v>
      </c>
      <c r="I33" s="2" t="s">
        <v>77</v>
      </c>
      <c r="J33" s="2" t="s">
        <v>183</v>
      </c>
      <c r="K33" s="2" t="s">
        <v>1686</v>
      </c>
      <c r="L33" s="2" t="s">
        <v>1687</v>
      </c>
      <c r="M33" s="2" t="s">
        <v>1696</v>
      </c>
      <c r="N33" s="2">
        <v>0.15</v>
      </c>
      <c r="O33" s="2">
        <v>91231.799999999988</v>
      </c>
      <c r="P33" s="2" t="str">
        <f t="shared" si="0"/>
        <v>Normal</v>
      </c>
    </row>
    <row r="34" spans="1:16" ht="14.25" customHeight="1" x14ac:dyDescent="0.5">
      <c r="A34" s="2" t="s">
        <v>184</v>
      </c>
      <c r="B34" s="2" t="s">
        <v>1761</v>
      </c>
      <c r="C34" s="2" t="s">
        <v>1717</v>
      </c>
      <c r="D34" s="2" t="s">
        <v>50</v>
      </c>
      <c r="E34" s="2" t="s">
        <v>1763</v>
      </c>
      <c r="F34" s="2">
        <v>61312</v>
      </c>
      <c r="G34" s="2" t="s">
        <v>57</v>
      </c>
      <c r="H34" s="2" t="s">
        <v>1680</v>
      </c>
      <c r="I34" s="2" t="s">
        <v>1673</v>
      </c>
      <c r="J34" s="2" t="s">
        <v>186</v>
      </c>
      <c r="K34" s="2" t="s">
        <v>1686</v>
      </c>
      <c r="L34" s="2" t="s">
        <v>1687</v>
      </c>
      <c r="M34" s="2" t="s">
        <v>1676</v>
      </c>
      <c r="N34" s="2">
        <v>0.1</v>
      </c>
      <c r="O34" s="2">
        <v>67443.200000000012</v>
      </c>
      <c r="P34" s="2" t="str">
        <f t="shared" si="0"/>
        <v>Normal</v>
      </c>
    </row>
    <row r="35" spans="1:16" ht="14.25" customHeight="1" x14ac:dyDescent="0.5">
      <c r="A35" s="2" t="s">
        <v>187</v>
      </c>
      <c r="B35" s="2" t="s">
        <v>1697</v>
      </c>
      <c r="C35" s="2" t="s">
        <v>1694</v>
      </c>
      <c r="D35" s="2" t="s">
        <v>75</v>
      </c>
      <c r="E35" s="2" t="s">
        <v>1764</v>
      </c>
      <c r="F35" s="2">
        <v>84179</v>
      </c>
      <c r="G35" s="2" t="s">
        <v>57</v>
      </c>
      <c r="H35" s="2" t="s">
        <v>1680</v>
      </c>
      <c r="I35" s="2" t="s">
        <v>1685</v>
      </c>
      <c r="J35" s="2" t="s">
        <v>189</v>
      </c>
      <c r="K35" s="2" t="s">
        <v>1686</v>
      </c>
      <c r="L35" s="2" t="s">
        <v>1687</v>
      </c>
      <c r="M35" s="2" t="s">
        <v>1688</v>
      </c>
      <c r="N35" s="2">
        <v>0.1</v>
      </c>
      <c r="O35" s="2">
        <v>92596.900000000009</v>
      </c>
      <c r="P35" s="2" t="str">
        <f t="shared" si="0"/>
        <v>Normal</v>
      </c>
    </row>
    <row r="36" spans="1:16" ht="14.25" customHeight="1" x14ac:dyDescent="0.5">
      <c r="A36" s="2" t="s">
        <v>190</v>
      </c>
      <c r="B36" s="2" t="s">
        <v>1765</v>
      </c>
      <c r="C36" s="2" t="s">
        <v>1717</v>
      </c>
      <c r="D36" s="2" t="s">
        <v>75</v>
      </c>
      <c r="E36" s="2" t="s">
        <v>1766</v>
      </c>
      <c r="F36" s="2">
        <v>111442</v>
      </c>
      <c r="G36" s="2" t="s">
        <v>44</v>
      </c>
      <c r="H36" s="2" t="s">
        <v>1699</v>
      </c>
      <c r="I36" s="2" t="s">
        <v>1703</v>
      </c>
      <c r="J36" s="2" t="s">
        <v>193</v>
      </c>
      <c r="K36" s="2" t="s">
        <v>1706</v>
      </c>
      <c r="L36" s="2" t="s">
        <v>1707</v>
      </c>
      <c r="M36" s="2" t="s">
        <v>1711</v>
      </c>
      <c r="N36" s="2">
        <v>0.2</v>
      </c>
      <c r="O36" s="2">
        <v>133730.4</v>
      </c>
      <c r="P36" s="2" t="str">
        <f t="shared" si="0"/>
        <v>High</v>
      </c>
    </row>
    <row r="37" spans="1:16" ht="14.25" customHeight="1" x14ac:dyDescent="0.5">
      <c r="A37" s="2" t="s">
        <v>194</v>
      </c>
      <c r="B37" s="2" t="s">
        <v>1677</v>
      </c>
      <c r="C37" s="2" t="s">
        <v>1709</v>
      </c>
      <c r="D37" s="2" t="s">
        <v>15</v>
      </c>
      <c r="E37" s="2" t="s">
        <v>1767</v>
      </c>
      <c r="F37" s="2">
        <v>80379</v>
      </c>
      <c r="G37" s="2" t="s">
        <v>36</v>
      </c>
      <c r="H37" s="2" t="s">
        <v>45</v>
      </c>
      <c r="I37" s="2" t="s">
        <v>1703</v>
      </c>
      <c r="J37" s="2" t="s">
        <v>196</v>
      </c>
      <c r="K37" s="2" t="s">
        <v>1691</v>
      </c>
      <c r="L37" s="2" t="s">
        <v>1692</v>
      </c>
      <c r="M37" s="2" t="s">
        <v>1693</v>
      </c>
      <c r="N37" s="2">
        <v>0.2</v>
      </c>
      <c r="O37" s="2">
        <v>96454.8</v>
      </c>
      <c r="P37" s="2" t="str">
        <f t="shared" si="0"/>
        <v>Normal</v>
      </c>
    </row>
    <row r="38" spans="1:16" ht="14.25" customHeight="1" x14ac:dyDescent="0.5">
      <c r="A38" s="2" t="s">
        <v>197</v>
      </c>
      <c r="B38" s="2" t="s">
        <v>1768</v>
      </c>
      <c r="C38" s="2" t="s">
        <v>1683</v>
      </c>
      <c r="D38" s="2" t="s">
        <v>69</v>
      </c>
      <c r="E38" s="2" t="s">
        <v>1769</v>
      </c>
      <c r="F38" s="2">
        <v>57297</v>
      </c>
      <c r="G38" s="2" t="s">
        <v>44</v>
      </c>
      <c r="H38" s="2" t="s">
        <v>1699</v>
      </c>
      <c r="I38" s="2" t="s">
        <v>1685</v>
      </c>
      <c r="J38" s="2" t="s">
        <v>200</v>
      </c>
      <c r="K38" s="2" t="s">
        <v>1691</v>
      </c>
      <c r="L38" s="2" t="s">
        <v>1692</v>
      </c>
      <c r="M38" s="2" t="s">
        <v>1688</v>
      </c>
      <c r="N38" s="2">
        <v>0.2</v>
      </c>
      <c r="O38" s="2">
        <v>68756.399999999994</v>
      </c>
      <c r="P38" s="2" t="str">
        <f t="shared" si="0"/>
        <v>Normal</v>
      </c>
    </row>
    <row r="39" spans="1:16" ht="14.25" customHeight="1" x14ac:dyDescent="0.5">
      <c r="A39" s="2" t="s">
        <v>201</v>
      </c>
      <c r="B39" s="2" t="s">
        <v>1770</v>
      </c>
      <c r="C39" s="2" t="s">
        <v>1717</v>
      </c>
      <c r="D39" s="2" t="s">
        <v>50</v>
      </c>
      <c r="E39" s="2" t="s">
        <v>1771</v>
      </c>
      <c r="F39" s="2">
        <v>42011</v>
      </c>
      <c r="G39" s="2" t="s">
        <v>36</v>
      </c>
      <c r="H39" s="2" t="s">
        <v>1699</v>
      </c>
      <c r="I39" s="2" t="s">
        <v>1681</v>
      </c>
      <c r="J39" s="2" t="s">
        <v>204</v>
      </c>
      <c r="K39" s="2" t="s">
        <v>1686</v>
      </c>
      <c r="L39" s="2" t="s">
        <v>1687</v>
      </c>
      <c r="M39" s="2" t="s">
        <v>1711</v>
      </c>
      <c r="N39" s="2">
        <v>0.15</v>
      </c>
      <c r="O39" s="2">
        <v>48312.649999999994</v>
      </c>
      <c r="P39" s="2" t="str">
        <f t="shared" si="0"/>
        <v>Normal</v>
      </c>
    </row>
    <row r="40" spans="1:16" ht="14.25" customHeight="1" x14ac:dyDescent="0.5">
      <c r="A40" s="2" t="s">
        <v>205</v>
      </c>
      <c r="B40" s="2" t="s">
        <v>1772</v>
      </c>
      <c r="C40" s="2" t="s">
        <v>1694</v>
      </c>
      <c r="D40" s="2" t="s">
        <v>50</v>
      </c>
      <c r="E40" s="2" t="s">
        <v>1773</v>
      </c>
      <c r="F40" s="2">
        <v>84014</v>
      </c>
      <c r="G40" s="2" t="s">
        <v>17</v>
      </c>
      <c r="H40" s="2" t="s">
        <v>45</v>
      </c>
      <c r="I40" s="2" t="s">
        <v>1681</v>
      </c>
      <c r="J40" s="2" t="s">
        <v>208</v>
      </c>
      <c r="K40" s="2" t="s">
        <v>1686</v>
      </c>
      <c r="L40" s="2" t="s">
        <v>1687</v>
      </c>
      <c r="M40" s="2" t="s">
        <v>1750</v>
      </c>
      <c r="N40" s="2">
        <v>0.2</v>
      </c>
      <c r="O40" s="2">
        <v>100816.8</v>
      </c>
      <c r="P40" s="2" t="str">
        <f t="shared" si="0"/>
        <v>High</v>
      </c>
    </row>
    <row r="41" spans="1:16" ht="14.25" customHeight="1" x14ac:dyDescent="0.5">
      <c r="A41" s="2" t="s">
        <v>209</v>
      </c>
      <c r="B41" s="2" t="s">
        <v>1774</v>
      </c>
      <c r="C41" s="2" t="s">
        <v>1709</v>
      </c>
      <c r="D41" s="2" t="s">
        <v>75</v>
      </c>
      <c r="E41" s="2" t="s">
        <v>1775</v>
      </c>
      <c r="F41" s="2">
        <v>51738</v>
      </c>
      <c r="G41" s="2" t="s">
        <v>83</v>
      </c>
      <c r="H41" s="2" t="s">
        <v>45</v>
      </c>
      <c r="I41" s="2" t="s">
        <v>1703</v>
      </c>
      <c r="J41" s="2" t="s">
        <v>212</v>
      </c>
      <c r="K41" s="2" t="s">
        <v>1706</v>
      </c>
      <c r="L41" s="2" t="s">
        <v>1707</v>
      </c>
      <c r="M41" s="2" t="s">
        <v>1696</v>
      </c>
      <c r="N41" s="2">
        <v>0.1</v>
      </c>
      <c r="O41" s="2">
        <v>56911.8</v>
      </c>
      <c r="P41" s="2" t="str">
        <f t="shared" si="0"/>
        <v>Normal</v>
      </c>
    </row>
    <row r="42" spans="1:16" ht="14.25" customHeight="1" x14ac:dyDescent="0.5">
      <c r="A42" s="2" t="s">
        <v>213</v>
      </c>
      <c r="B42" s="2" t="s">
        <v>1765</v>
      </c>
      <c r="C42" s="2" t="s">
        <v>1717</v>
      </c>
      <c r="D42" s="2" t="s">
        <v>42</v>
      </c>
      <c r="E42" s="2" t="s">
        <v>1776</v>
      </c>
      <c r="F42" s="2">
        <v>87498</v>
      </c>
      <c r="G42" s="2" t="s">
        <v>44</v>
      </c>
      <c r="H42" s="2" t="s">
        <v>1680</v>
      </c>
      <c r="I42" s="2" t="s">
        <v>1703</v>
      </c>
      <c r="J42" s="2" t="s">
        <v>215</v>
      </c>
      <c r="K42" s="2" t="s">
        <v>1706</v>
      </c>
      <c r="L42" s="2" t="s">
        <v>1707</v>
      </c>
      <c r="M42" s="2" t="s">
        <v>1693</v>
      </c>
      <c r="N42" s="2">
        <v>0.2</v>
      </c>
      <c r="O42" s="2">
        <v>104997.59999999999</v>
      </c>
      <c r="P42" s="2" t="str">
        <f t="shared" si="0"/>
        <v>High</v>
      </c>
    </row>
    <row r="43" spans="1:16" ht="14.25" customHeight="1" x14ac:dyDescent="0.5">
      <c r="A43" s="2" t="s">
        <v>216</v>
      </c>
      <c r="B43" s="2" t="s">
        <v>1777</v>
      </c>
      <c r="C43" s="2" t="s">
        <v>1724</v>
      </c>
      <c r="D43" s="2" t="s">
        <v>69</v>
      </c>
      <c r="E43" s="2" t="s">
        <v>1778</v>
      </c>
      <c r="F43" s="2">
        <v>51120</v>
      </c>
      <c r="G43" s="2" t="s">
        <v>44</v>
      </c>
      <c r="H43" s="2" t="s">
        <v>45</v>
      </c>
      <c r="I43" s="2" t="s">
        <v>1685</v>
      </c>
      <c r="J43" s="2" t="s">
        <v>219</v>
      </c>
      <c r="K43" s="2" t="s">
        <v>1706</v>
      </c>
      <c r="L43" s="2" t="s">
        <v>1707</v>
      </c>
      <c r="M43" s="2" t="s">
        <v>1750</v>
      </c>
      <c r="N43" s="2">
        <v>0.05</v>
      </c>
      <c r="O43" s="2">
        <v>53676</v>
      </c>
      <c r="P43" s="2" t="str">
        <f t="shared" si="0"/>
        <v>Normal</v>
      </c>
    </row>
    <row r="44" spans="1:16" ht="14.25" customHeight="1" x14ac:dyDescent="0.5">
      <c r="A44" s="2" t="s">
        <v>220</v>
      </c>
      <c r="B44" s="2" t="s">
        <v>1779</v>
      </c>
      <c r="C44" s="2" t="s">
        <v>1683</v>
      </c>
      <c r="D44" s="2" t="s">
        <v>50</v>
      </c>
      <c r="E44" s="2" t="s">
        <v>1780</v>
      </c>
      <c r="F44" s="2">
        <v>48767</v>
      </c>
      <c r="G44" s="2" t="s">
        <v>36</v>
      </c>
      <c r="H44" s="2" t="s">
        <v>45</v>
      </c>
      <c r="I44" s="2" t="s">
        <v>1681</v>
      </c>
      <c r="J44" s="2" t="s">
        <v>223</v>
      </c>
      <c r="K44" s="2" t="s">
        <v>1691</v>
      </c>
      <c r="L44" s="2" t="s">
        <v>1692</v>
      </c>
      <c r="M44" s="2" t="s">
        <v>1719</v>
      </c>
      <c r="N44" s="2">
        <v>0.2</v>
      </c>
      <c r="O44" s="2">
        <v>58520.4</v>
      </c>
      <c r="P44" s="2" t="str">
        <f t="shared" si="0"/>
        <v>Normal</v>
      </c>
    </row>
    <row r="45" spans="1:16" ht="14.25" customHeight="1" x14ac:dyDescent="0.5">
      <c r="A45" s="2" t="s">
        <v>224</v>
      </c>
      <c r="B45" s="2" t="s">
        <v>1748</v>
      </c>
      <c r="C45" s="2" t="s">
        <v>1717</v>
      </c>
      <c r="D45" s="2" t="s">
        <v>75</v>
      </c>
      <c r="E45" s="2" t="s">
        <v>1781</v>
      </c>
      <c r="F45" s="2">
        <v>62852</v>
      </c>
      <c r="G45" s="2" t="s">
        <v>17</v>
      </c>
      <c r="H45" s="2" t="s">
        <v>1680</v>
      </c>
      <c r="I45" s="2" t="s">
        <v>1703</v>
      </c>
      <c r="J45" s="2" t="s">
        <v>226</v>
      </c>
      <c r="K45" s="2" t="s">
        <v>1691</v>
      </c>
      <c r="L45" s="2" t="s">
        <v>1692</v>
      </c>
      <c r="M45" s="2" t="s">
        <v>1711</v>
      </c>
      <c r="N45" s="2">
        <v>0.15</v>
      </c>
      <c r="O45" s="2">
        <v>72279.799999999988</v>
      </c>
      <c r="P45" s="2" t="str">
        <f t="shared" si="0"/>
        <v>Normal</v>
      </c>
    </row>
    <row r="46" spans="1:16" ht="14.25" customHeight="1" x14ac:dyDescent="0.5">
      <c r="A46" s="2" t="s">
        <v>227</v>
      </c>
      <c r="B46" s="2" t="s">
        <v>1701</v>
      </c>
      <c r="C46" s="2" t="s">
        <v>1709</v>
      </c>
      <c r="D46" s="2" t="s">
        <v>50</v>
      </c>
      <c r="E46" s="2" t="s">
        <v>1782</v>
      </c>
      <c r="F46" s="2">
        <v>119239</v>
      </c>
      <c r="G46" s="2" t="s">
        <v>17</v>
      </c>
      <c r="H46" s="2" t="s">
        <v>1699</v>
      </c>
      <c r="I46" s="2" t="s">
        <v>1681</v>
      </c>
      <c r="J46" s="2" t="s">
        <v>229</v>
      </c>
      <c r="K46" s="2" t="s">
        <v>1691</v>
      </c>
      <c r="L46" s="2" t="s">
        <v>1692</v>
      </c>
      <c r="M46" s="2" t="s">
        <v>1750</v>
      </c>
      <c r="N46" s="2">
        <v>0.05</v>
      </c>
      <c r="O46" s="2">
        <v>125200.95000000001</v>
      </c>
      <c r="P46" s="2" t="str">
        <f t="shared" si="0"/>
        <v>High</v>
      </c>
    </row>
    <row r="47" spans="1:16" ht="14.25" customHeight="1" x14ac:dyDescent="0.5">
      <c r="A47" s="2" t="s">
        <v>230</v>
      </c>
      <c r="B47" s="2" t="s">
        <v>1748</v>
      </c>
      <c r="C47" s="2" t="s">
        <v>1721</v>
      </c>
      <c r="D47" s="2" t="s">
        <v>34</v>
      </c>
      <c r="E47" s="2" t="s">
        <v>1783</v>
      </c>
      <c r="F47" s="2">
        <v>40929</v>
      </c>
      <c r="G47" s="2" t="s">
        <v>36</v>
      </c>
      <c r="H47" s="2" t="s">
        <v>1680</v>
      </c>
      <c r="I47" s="2" t="s">
        <v>1703</v>
      </c>
      <c r="J47" s="2" t="s">
        <v>232</v>
      </c>
      <c r="K47" s="2" t="s">
        <v>1686</v>
      </c>
      <c r="L47" s="2" t="s">
        <v>1687</v>
      </c>
      <c r="M47" s="2" t="s">
        <v>1696</v>
      </c>
      <c r="N47" s="2">
        <v>0.05</v>
      </c>
      <c r="O47" s="2">
        <v>42975.450000000004</v>
      </c>
      <c r="P47" s="2" t="str">
        <f t="shared" si="0"/>
        <v>Normal</v>
      </c>
    </row>
    <row r="48" spans="1:16" ht="14.25" customHeight="1" x14ac:dyDescent="0.5">
      <c r="A48" s="2" t="s">
        <v>233</v>
      </c>
      <c r="B48" s="2" t="s">
        <v>1784</v>
      </c>
      <c r="C48" s="2" t="s">
        <v>1785</v>
      </c>
      <c r="D48" s="2" t="s">
        <v>69</v>
      </c>
      <c r="E48" s="2" t="s">
        <v>1786</v>
      </c>
      <c r="F48" s="2">
        <v>117487</v>
      </c>
      <c r="G48" s="2" t="s">
        <v>17</v>
      </c>
      <c r="H48" s="2" t="s">
        <v>1680</v>
      </c>
      <c r="I48" s="2" t="s">
        <v>1673</v>
      </c>
      <c r="J48" s="2" t="s">
        <v>237</v>
      </c>
      <c r="K48" s="2" t="s">
        <v>1691</v>
      </c>
      <c r="L48" s="2" t="s">
        <v>1692</v>
      </c>
      <c r="M48" s="2" t="s">
        <v>1696</v>
      </c>
      <c r="N48" s="2">
        <v>0.05</v>
      </c>
      <c r="O48" s="2">
        <v>123361.35</v>
      </c>
      <c r="P48" s="2" t="str">
        <f t="shared" si="0"/>
        <v>High</v>
      </c>
    </row>
    <row r="49" spans="1:16" ht="14.25" customHeight="1" x14ac:dyDescent="0.5">
      <c r="A49" s="2" t="s">
        <v>238</v>
      </c>
      <c r="B49" s="2" t="s">
        <v>1682</v>
      </c>
      <c r="C49" s="2" t="s">
        <v>1733</v>
      </c>
      <c r="D49" s="2" t="s">
        <v>69</v>
      </c>
      <c r="E49" s="2" t="s">
        <v>1787</v>
      </c>
      <c r="F49" s="2">
        <v>57438</v>
      </c>
      <c r="G49" s="2" t="s">
        <v>57</v>
      </c>
      <c r="H49" s="2" t="s">
        <v>45</v>
      </c>
      <c r="I49" s="2" t="s">
        <v>77</v>
      </c>
      <c r="J49" s="2" t="s">
        <v>240</v>
      </c>
      <c r="K49" s="2" t="s">
        <v>1674</v>
      </c>
      <c r="L49" s="2" t="s">
        <v>1675</v>
      </c>
      <c r="M49" s="2" t="s">
        <v>1719</v>
      </c>
      <c r="N49" s="2">
        <v>0.15</v>
      </c>
      <c r="O49" s="2">
        <v>66053.7</v>
      </c>
      <c r="P49" s="2" t="str">
        <f t="shared" si="0"/>
        <v>Normal</v>
      </c>
    </row>
    <row r="50" spans="1:16" ht="14.25" customHeight="1" x14ac:dyDescent="0.5">
      <c r="A50" s="2" t="s">
        <v>241</v>
      </c>
      <c r="B50" s="2" t="s">
        <v>1735</v>
      </c>
      <c r="C50" s="2" t="s">
        <v>1785</v>
      </c>
      <c r="D50" s="2" t="s">
        <v>34</v>
      </c>
      <c r="E50" s="2" t="s">
        <v>1788</v>
      </c>
      <c r="F50" s="2">
        <v>88515</v>
      </c>
      <c r="G50" s="2" t="s">
        <v>83</v>
      </c>
      <c r="H50" s="2" t="s">
        <v>45</v>
      </c>
      <c r="I50" s="2" t="s">
        <v>77</v>
      </c>
      <c r="J50" s="2" t="s">
        <v>243</v>
      </c>
      <c r="K50" s="2" t="s">
        <v>1674</v>
      </c>
      <c r="L50" s="2" t="s">
        <v>1675</v>
      </c>
      <c r="M50" s="2" t="s">
        <v>1696</v>
      </c>
      <c r="N50" s="2">
        <v>0.1</v>
      </c>
      <c r="O50" s="2">
        <v>97366.500000000015</v>
      </c>
      <c r="P50" s="2" t="str">
        <f t="shared" si="0"/>
        <v>Normal</v>
      </c>
    </row>
    <row r="51" spans="1:16" ht="14.25" customHeight="1" x14ac:dyDescent="0.5">
      <c r="A51" s="2" t="s">
        <v>244</v>
      </c>
      <c r="B51" s="2" t="s">
        <v>1789</v>
      </c>
      <c r="C51" s="2" t="s">
        <v>1785</v>
      </c>
      <c r="D51" s="2" t="s">
        <v>100</v>
      </c>
      <c r="E51" s="2" t="s">
        <v>1790</v>
      </c>
      <c r="F51" s="2">
        <v>45744</v>
      </c>
      <c r="G51" s="2" t="s">
        <v>44</v>
      </c>
      <c r="H51" s="2" t="s">
        <v>45</v>
      </c>
      <c r="I51" s="2" t="s">
        <v>1673</v>
      </c>
      <c r="J51" s="2" t="s">
        <v>247</v>
      </c>
      <c r="K51" s="2" t="s">
        <v>1706</v>
      </c>
      <c r="L51" s="2" t="s">
        <v>1707</v>
      </c>
      <c r="M51" s="2" t="s">
        <v>1711</v>
      </c>
      <c r="N51" s="2">
        <v>0.2</v>
      </c>
      <c r="O51" s="2">
        <v>54892.799999999996</v>
      </c>
      <c r="P51" s="2" t="str">
        <f t="shared" si="0"/>
        <v>Normal</v>
      </c>
    </row>
    <row r="52" spans="1:16" ht="14.25" customHeight="1" x14ac:dyDescent="0.5">
      <c r="A52" s="2" t="s">
        <v>248</v>
      </c>
      <c r="B52" s="2" t="s">
        <v>1791</v>
      </c>
      <c r="C52" s="2" t="s">
        <v>1671</v>
      </c>
      <c r="D52" s="2" t="s">
        <v>34</v>
      </c>
      <c r="E52" s="2" t="s">
        <v>1792</v>
      </c>
      <c r="F52" s="2">
        <v>82417</v>
      </c>
      <c r="G52" s="2" t="s">
        <v>83</v>
      </c>
      <c r="H52" s="2" t="s">
        <v>1699</v>
      </c>
      <c r="I52" s="2" t="s">
        <v>77</v>
      </c>
      <c r="J52" s="2" t="s">
        <v>251</v>
      </c>
      <c r="K52" s="2" t="s">
        <v>1691</v>
      </c>
      <c r="L52" s="2" t="s">
        <v>1692</v>
      </c>
      <c r="M52" s="2" t="s">
        <v>1711</v>
      </c>
      <c r="N52" s="2">
        <v>0.05</v>
      </c>
      <c r="O52" s="2">
        <v>86537.85</v>
      </c>
      <c r="P52" s="2" t="str">
        <f t="shared" si="0"/>
        <v>Normal</v>
      </c>
    </row>
    <row r="53" spans="1:16" ht="14.25" customHeight="1" x14ac:dyDescent="0.5">
      <c r="A53" s="2" t="s">
        <v>252</v>
      </c>
      <c r="B53" s="2" t="s">
        <v>1793</v>
      </c>
      <c r="C53" s="2" t="s">
        <v>1724</v>
      </c>
      <c r="D53" s="2" t="s">
        <v>15</v>
      </c>
      <c r="E53" s="2" t="s">
        <v>1794</v>
      </c>
      <c r="F53" s="2">
        <v>47069</v>
      </c>
      <c r="G53" s="2" t="s">
        <v>44</v>
      </c>
      <c r="H53" s="2" t="s">
        <v>1699</v>
      </c>
      <c r="I53" s="2" t="s">
        <v>1703</v>
      </c>
      <c r="J53" s="2" t="s">
        <v>255</v>
      </c>
      <c r="K53" s="2" t="s">
        <v>1674</v>
      </c>
      <c r="L53" s="2" t="s">
        <v>1675</v>
      </c>
      <c r="M53" s="2" t="s">
        <v>1696</v>
      </c>
      <c r="N53" s="2">
        <v>0.05</v>
      </c>
      <c r="O53" s="2">
        <v>49422.450000000004</v>
      </c>
      <c r="P53" s="2" t="str">
        <f t="shared" si="0"/>
        <v>Normal</v>
      </c>
    </row>
    <row r="54" spans="1:16" ht="14.25" customHeight="1" x14ac:dyDescent="0.5">
      <c r="A54" s="2" t="s">
        <v>256</v>
      </c>
      <c r="B54" s="2" t="s">
        <v>1677</v>
      </c>
      <c r="C54" s="2" t="s">
        <v>1721</v>
      </c>
      <c r="D54" s="2" t="s">
        <v>15</v>
      </c>
      <c r="E54" s="2" t="s">
        <v>1795</v>
      </c>
      <c r="F54" s="2">
        <v>82359</v>
      </c>
      <c r="G54" s="2" t="s">
        <v>57</v>
      </c>
      <c r="H54" s="2" t="s">
        <v>1699</v>
      </c>
      <c r="I54" s="2" t="s">
        <v>77</v>
      </c>
      <c r="J54" s="2" t="s">
        <v>258</v>
      </c>
      <c r="K54" s="2" t="s">
        <v>1706</v>
      </c>
      <c r="L54" s="2" t="s">
        <v>1707</v>
      </c>
      <c r="M54" s="2" t="s">
        <v>1750</v>
      </c>
      <c r="N54" s="2">
        <v>0.05</v>
      </c>
      <c r="O54" s="2">
        <v>86476.95</v>
      </c>
      <c r="P54" s="2" t="str">
        <f t="shared" si="0"/>
        <v>Normal</v>
      </c>
    </row>
    <row r="55" spans="1:16" ht="14.25" customHeight="1" x14ac:dyDescent="0.5">
      <c r="A55" s="2" t="s">
        <v>259</v>
      </c>
      <c r="B55" s="2" t="s">
        <v>1796</v>
      </c>
      <c r="C55" s="2" t="s">
        <v>1678</v>
      </c>
      <c r="D55" s="2" t="s">
        <v>75</v>
      </c>
      <c r="E55" s="2" t="s">
        <v>1797</v>
      </c>
      <c r="F55" s="2">
        <v>59799</v>
      </c>
      <c r="G55" s="2" t="s">
        <v>17</v>
      </c>
      <c r="H55" s="2" t="s">
        <v>1699</v>
      </c>
      <c r="I55" s="2" t="s">
        <v>77</v>
      </c>
      <c r="J55" s="2" t="s">
        <v>262</v>
      </c>
      <c r="K55" s="2" t="s">
        <v>1691</v>
      </c>
      <c r="L55" s="2" t="s">
        <v>1692</v>
      </c>
      <c r="M55" s="2" t="s">
        <v>1711</v>
      </c>
      <c r="N55" s="2">
        <v>0.1</v>
      </c>
      <c r="O55" s="2">
        <v>65778.900000000009</v>
      </c>
      <c r="P55" s="2" t="str">
        <f t="shared" si="0"/>
        <v>Normal</v>
      </c>
    </row>
    <row r="56" spans="1:16" ht="14.25" customHeight="1" x14ac:dyDescent="0.5">
      <c r="A56" s="2" t="s">
        <v>263</v>
      </c>
      <c r="B56" s="2" t="s">
        <v>1798</v>
      </c>
      <c r="C56" s="2" t="s">
        <v>1717</v>
      </c>
      <c r="D56" s="2" t="s">
        <v>69</v>
      </c>
      <c r="E56" s="2" t="s">
        <v>1799</v>
      </c>
      <c r="F56" s="2">
        <v>110188</v>
      </c>
      <c r="G56" s="2" t="s">
        <v>36</v>
      </c>
      <c r="H56" s="2" t="s">
        <v>1680</v>
      </c>
      <c r="I56" s="2" t="s">
        <v>1703</v>
      </c>
      <c r="J56" s="2" t="s">
        <v>266</v>
      </c>
      <c r="K56" s="2" t="s">
        <v>1686</v>
      </c>
      <c r="L56" s="2" t="s">
        <v>1687</v>
      </c>
      <c r="M56" s="2" t="s">
        <v>1688</v>
      </c>
      <c r="N56" s="2">
        <v>0.1</v>
      </c>
      <c r="O56" s="2">
        <v>121206.8</v>
      </c>
      <c r="P56" s="2" t="str">
        <f t="shared" si="0"/>
        <v>High</v>
      </c>
    </row>
    <row r="57" spans="1:16" ht="14.25" customHeight="1" x14ac:dyDescent="0.5">
      <c r="A57" s="2" t="s">
        <v>267</v>
      </c>
      <c r="B57" s="2" t="s">
        <v>1800</v>
      </c>
      <c r="C57" s="2" t="s">
        <v>1733</v>
      </c>
      <c r="D57" s="2" t="s">
        <v>100</v>
      </c>
      <c r="E57" s="2" t="s">
        <v>1801</v>
      </c>
      <c r="F57" s="2">
        <v>47597</v>
      </c>
      <c r="G57" s="2" t="s">
        <v>57</v>
      </c>
      <c r="H57" s="2" t="s">
        <v>45</v>
      </c>
      <c r="I57" s="2" t="s">
        <v>1703</v>
      </c>
      <c r="J57" s="2" t="s">
        <v>270</v>
      </c>
      <c r="K57" s="2" t="s">
        <v>1674</v>
      </c>
      <c r="L57" s="2" t="s">
        <v>1675</v>
      </c>
      <c r="M57" s="2" t="s">
        <v>1696</v>
      </c>
      <c r="N57" s="2">
        <v>0.15</v>
      </c>
      <c r="O57" s="2">
        <v>54736.549999999996</v>
      </c>
      <c r="P57" s="2" t="str">
        <f t="shared" si="0"/>
        <v>Normal</v>
      </c>
    </row>
    <row r="58" spans="1:16" ht="14.25" customHeight="1" x14ac:dyDescent="0.5">
      <c r="A58" s="2" t="s">
        <v>271</v>
      </c>
      <c r="B58" s="2" t="s">
        <v>1730</v>
      </c>
      <c r="C58" s="2" t="s">
        <v>1683</v>
      </c>
      <c r="D58" s="2" t="s">
        <v>100</v>
      </c>
      <c r="E58" s="2" t="s">
        <v>1758</v>
      </c>
      <c r="F58" s="2">
        <v>87093</v>
      </c>
      <c r="G58" s="2" t="s">
        <v>83</v>
      </c>
      <c r="H58" s="2" t="s">
        <v>45</v>
      </c>
      <c r="I58" s="2" t="s">
        <v>1681</v>
      </c>
      <c r="J58" s="2" t="s">
        <v>273</v>
      </c>
      <c r="K58" s="2" t="s">
        <v>1686</v>
      </c>
      <c r="L58" s="2" t="s">
        <v>1687</v>
      </c>
      <c r="M58" s="2" t="s">
        <v>1711</v>
      </c>
      <c r="N58" s="2">
        <v>0.1</v>
      </c>
      <c r="O58" s="2">
        <v>95802.3</v>
      </c>
      <c r="P58" s="2" t="str">
        <f t="shared" si="0"/>
        <v>Normal</v>
      </c>
    </row>
    <row r="59" spans="1:16" ht="14.25" customHeight="1" x14ac:dyDescent="0.5">
      <c r="A59" s="2" t="s">
        <v>274</v>
      </c>
      <c r="B59" s="2" t="s">
        <v>1802</v>
      </c>
      <c r="C59" s="2" t="s">
        <v>1721</v>
      </c>
      <c r="D59" s="2" t="s">
        <v>50</v>
      </c>
      <c r="E59" s="2" t="s">
        <v>1803</v>
      </c>
      <c r="F59" s="2">
        <v>77226</v>
      </c>
      <c r="G59" s="2" t="s">
        <v>36</v>
      </c>
      <c r="H59" s="2" t="s">
        <v>1699</v>
      </c>
      <c r="I59" s="2" t="s">
        <v>1703</v>
      </c>
      <c r="J59" s="2" t="s">
        <v>277</v>
      </c>
      <c r="K59" s="2" t="s">
        <v>1691</v>
      </c>
      <c r="L59" s="2" t="s">
        <v>1692</v>
      </c>
      <c r="M59" s="2" t="s">
        <v>1700</v>
      </c>
      <c r="N59" s="2">
        <v>0.2</v>
      </c>
      <c r="O59" s="2">
        <v>92671.2</v>
      </c>
      <c r="P59" s="2" t="str">
        <f t="shared" si="0"/>
        <v>Normal</v>
      </c>
    </row>
    <row r="60" spans="1:16" ht="14.25" customHeight="1" x14ac:dyDescent="0.5">
      <c r="A60" s="2" t="s">
        <v>278</v>
      </c>
      <c r="B60" s="2" t="s">
        <v>1804</v>
      </c>
      <c r="C60" s="2" t="s">
        <v>1694</v>
      </c>
      <c r="D60" s="2" t="s">
        <v>50</v>
      </c>
      <c r="E60" s="2" t="s">
        <v>1805</v>
      </c>
      <c r="F60" s="2">
        <v>112127</v>
      </c>
      <c r="G60" s="2" t="s">
        <v>17</v>
      </c>
      <c r="H60" s="2" t="s">
        <v>45</v>
      </c>
      <c r="I60" s="2" t="s">
        <v>1685</v>
      </c>
      <c r="J60" s="2" t="s">
        <v>281</v>
      </c>
      <c r="K60" s="2" t="s">
        <v>1674</v>
      </c>
      <c r="L60" s="2" t="s">
        <v>1675</v>
      </c>
      <c r="M60" s="2" t="s">
        <v>1719</v>
      </c>
      <c r="N60" s="2">
        <v>0.15</v>
      </c>
      <c r="O60" s="2">
        <v>128946.04999999999</v>
      </c>
      <c r="P60" s="2" t="str">
        <f t="shared" si="0"/>
        <v>High</v>
      </c>
    </row>
    <row r="61" spans="1:16" ht="14.25" customHeight="1" x14ac:dyDescent="0.5">
      <c r="A61" s="2" t="s">
        <v>282</v>
      </c>
      <c r="B61" s="2" t="s">
        <v>1765</v>
      </c>
      <c r="C61" s="2" t="s">
        <v>1678</v>
      </c>
      <c r="D61" s="2" t="s">
        <v>34</v>
      </c>
      <c r="E61" s="2" t="s">
        <v>1806</v>
      </c>
      <c r="F61" s="2">
        <v>117362</v>
      </c>
      <c r="G61" s="2" t="s">
        <v>57</v>
      </c>
      <c r="H61" s="2" t="s">
        <v>1680</v>
      </c>
      <c r="I61" s="2" t="s">
        <v>1703</v>
      </c>
      <c r="J61" s="2" t="s">
        <v>284</v>
      </c>
      <c r="K61" s="2" t="s">
        <v>1691</v>
      </c>
      <c r="L61" s="2" t="s">
        <v>1692</v>
      </c>
      <c r="M61" s="2" t="s">
        <v>1696</v>
      </c>
      <c r="N61" s="2">
        <v>0.15</v>
      </c>
      <c r="O61" s="2">
        <v>134966.29999999999</v>
      </c>
      <c r="P61" s="2" t="str">
        <f t="shared" si="0"/>
        <v>High</v>
      </c>
    </row>
    <row r="62" spans="1:16" ht="14.25" customHeight="1" x14ac:dyDescent="0.5">
      <c r="A62" s="2" t="s">
        <v>285</v>
      </c>
      <c r="B62" s="2" t="s">
        <v>1807</v>
      </c>
      <c r="C62" s="2" t="s">
        <v>1671</v>
      </c>
      <c r="D62" s="2" t="s">
        <v>100</v>
      </c>
      <c r="E62" s="2" t="s">
        <v>1808</v>
      </c>
      <c r="F62" s="2">
        <v>66417</v>
      </c>
      <c r="G62" s="2" t="s">
        <v>36</v>
      </c>
      <c r="H62" s="2" t="s">
        <v>1680</v>
      </c>
      <c r="I62" s="2" t="s">
        <v>1685</v>
      </c>
      <c r="J62" s="2" t="s">
        <v>288</v>
      </c>
      <c r="K62" s="2" t="s">
        <v>1686</v>
      </c>
      <c r="L62" s="2" t="s">
        <v>1687</v>
      </c>
      <c r="M62" s="2" t="s">
        <v>1711</v>
      </c>
      <c r="N62" s="2">
        <v>0.2</v>
      </c>
      <c r="O62" s="2">
        <v>79700.399999999994</v>
      </c>
      <c r="P62" s="2" t="str">
        <f t="shared" si="0"/>
        <v>Normal</v>
      </c>
    </row>
    <row r="63" spans="1:16" ht="14.25" customHeight="1" x14ac:dyDescent="0.5">
      <c r="A63" s="2" t="s">
        <v>289</v>
      </c>
      <c r="B63" s="2" t="s">
        <v>1689</v>
      </c>
      <c r="C63" s="2" t="s">
        <v>1671</v>
      </c>
      <c r="D63" s="2" t="s">
        <v>34</v>
      </c>
      <c r="E63" s="2" t="s">
        <v>1801</v>
      </c>
      <c r="F63" s="2">
        <v>58693</v>
      </c>
      <c r="G63" s="2" t="s">
        <v>57</v>
      </c>
      <c r="H63" s="2" t="s">
        <v>1680</v>
      </c>
      <c r="I63" s="2" t="s">
        <v>1703</v>
      </c>
      <c r="J63" s="2" t="s">
        <v>291</v>
      </c>
      <c r="K63" s="2" t="s">
        <v>1674</v>
      </c>
      <c r="L63" s="2" t="s">
        <v>1675</v>
      </c>
      <c r="M63" s="2" t="s">
        <v>1700</v>
      </c>
      <c r="N63" s="2">
        <v>0.2</v>
      </c>
      <c r="O63" s="2">
        <v>70431.599999999991</v>
      </c>
      <c r="P63" s="2" t="str">
        <f t="shared" si="0"/>
        <v>Normal</v>
      </c>
    </row>
    <row r="64" spans="1:16" ht="14.25" customHeight="1" x14ac:dyDescent="0.5">
      <c r="A64" s="2" t="s">
        <v>292</v>
      </c>
      <c r="B64" s="2" t="s">
        <v>1809</v>
      </c>
      <c r="C64" s="2" t="s">
        <v>1721</v>
      </c>
      <c r="D64" s="2" t="s">
        <v>34</v>
      </c>
      <c r="E64" s="2" t="s">
        <v>1810</v>
      </c>
      <c r="F64" s="2">
        <v>119674</v>
      </c>
      <c r="G64" s="2" t="s">
        <v>57</v>
      </c>
      <c r="H64" s="2" t="s">
        <v>45</v>
      </c>
      <c r="I64" s="2" t="s">
        <v>1681</v>
      </c>
      <c r="J64" s="2" t="s">
        <v>295</v>
      </c>
      <c r="K64" s="2" t="s">
        <v>1686</v>
      </c>
      <c r="L64" s="2" t="s">
        <v>1687</v>
      </c>
      <c r="M64" s="2" t="s">
        <v>1711</v>
      </c>
      <c r="N64" s="2">
        <v>0.2</v>
      </c>
      <c r="O64" s="2">
        <v>143608.79999999999</v>
      </c>
      <c r="P64" s="2" t="str">
        <f t="shared" si="0"/>
        <v>High</v>
      </c>
    </row>
    <row r="65" spans="1:16" ht="14.25" customHeight="1" x14ac:dyDescent="0.5">
      <c r="A65" s="2" t="s">
        <v>296</v>
      </c>
      <c r="B65" s="2" t="s">
        <v>1811</v>
      </c>
      <c r="C65" s="2" t="s">
        <v>1709</v>
      </c>
      <c r="D65" s="2" t="s">
        <v>50</v>
      </c>
      <c r="E65" s="2" t="s">
        <v>1812</v>
      </c>
      <c r="F65" s="2">
        <v>93161</v>
      </c>
      <c r="G65" s="2" t="s">
        <v>17</v>
      </c>
      <c r="H65" s="2" t="s">
        <v>45</v>
      </c>
      <c r="I65" s="2" t="s">
        <v>1685</v>
      </c>
      <c r="J65" s="2" t="s">
        <v>299</v>
      </c>
      <c r="K65" s="2" t="s">
        <v>1691</v>
      </c>
      <c r="L65" s="2" t="s">
        <v>1692</v>
      </c>
      <c r="M65" s="2" t="s">
        <v>1711</v>
      </c>
      <c r="N65" s="2">
        <v>0.15</v>
      </c>
      <c r="O65" s="2">
        <v>107135.15</v>
      </c>
      <c r="P65" s="2" t="str">
        <f t="shared" si="0"/>
        <v>High</v>
      </c>
    </row>
    <row r="66" spans="1:16" ht="14.25" customHeight="1" x14ac:dyDescent="0.5">
      <c r="A66" s="2" t="s">
        <v>300</v>
      </c>
      <c r="B66" s="2" t="s">
        <v>1793</v>
      </c>
      <c r="C66" s="2" t="s">
        <v>1785</v>
      </c>
      <c r="D66" s="2" t="s">
        <v>69</v>
      </c>
      <c r="E66" s="2" t="s">
        <v>1813</v>
      </c>
      <c r="F66" s="2">
        <v>42169</v>
      </c>
      <c r="G66" s="2" t="s">
        <v>44</v>
      </c>
      <c r="H66" s="2" t="s">
        <v>1680</v>
      </c>
      <c r="I66" s="2" t="s">
        <v>1673</v>
      </c>
      <c r="J66" s="2" t="s">
        <v>302</v>
      </c>
      <c r="K66" s="2" t="s">
        <v>1691</v>
      </c>
      <c r="L66" s="2" t="s">
        <v>1692</v>
      </c>
      <c r="M66" s="2" t="s">
        <v>1750</v>
      </c>
      <c r="N66" s="2">
        <v>0.15</v>
      </c>
      <c r="O66" s="2">
        <v>48494.35</v>
      </c>
      <c r="P66" s="2" t="str">
        <f t="shared" si="0"/>
        <v>Normal</v>
      </c>
    </row>
    <row r="67" spans="1:16" ht="14.25" customHeight="1" x14ac:dyDescent="0.5">
      <c r="A67" s="2" t="s">
        <v>303</v>
      </c>
      <c r="B67" s="2" t="s">
        <v>1814</v>
      </c>
      <c r="C67" s="2" t="s">
        <v>1694</v>
      </c>
      <c r="D67" s="2" t="s">
        <v>34</v>
      </c>
      <c r="E67" s="2" t="s">
        <v>1815</v>
      </c>
      <c r="F67" s="2">
        <v>62052</v>
      </c>
      <c r="G67" s="2" t="s">
        <v>36</v>
      </c>
      <c r="H67" s="2" t="s">
        <v>45</v>
      </c>
      <c r="I67" s="2" t="s">
        <v>1685</v>
      </c>
      <c r="J67" s="2" t="s">
        <v>306</v>
      </c>
      <c r="K67" s="2" t="s">
        <v>1686</v>
      </c>
      <c r="L67" s="2" t="s">
        <v>1687</v>
      </c>
      <c r="M67" s="2" t="s">
        <v>1688</v>
      </c>
      <c r="N67" s="2">
        <v>0.15</v>
      </c>
      <c r="O67" s="2">
        <v>71359.799999999988</v>
      </c>
      <c r="P67" s="2" t="str">
        <f t="shared" si="0"/>
        <v>Normal</v>
      </c>
    </row>
    <row r="68" spans="1:16" ht="14.25" customHeight="1" x14ac:dyDescent="0.5">
      <c r="A68" s="2" t="s">
        <v>307</v>
      </c>
      <c r="B68" s="2" t="s">
        <v>1816</v>
      </c>
      <c r="C68" s="2" t="s">
        <v>1671</v>
      </c>
      <c r="D68" s="2" t="s">
        <v>42</v>
      </c>
      <c r="E68" s="2" t="s">
        <v>1817</v>
      </c>
      <c r="F68" s="2">
        <v>111849</v>
      </c>
      <c r="G68" s="2" t="s">
        <v>17</v>
      </c>
      <c r="H68" s="2" t="s">
        <v>45</v>
      </c>
      <c r="I68" s="2" t="s">
        <v>1681</v>
      </c>
      <c r="J68" s="2" t="s">
        <v>310</v>
      </c>
      <c r="K68" s="2" t="s">
        <v>1674</v>
      </c>
      <c r="L68" s="2" t="s">
        <v>1675</v>
      </c>
      <c r="M68" s="2" t="s">
        <v>1696</v>
      </c>
      <c r="N68" s="2">
        <v>0.2</v>
      </c>
      <c r="O68" s="2">
        <v>134218.79999999999</v>
      </c>
      <c r="P68" s="2" t="str">
        <f t="shared" si="0"/>
        <v>High</v>
      </c>
    </row>
    <row r="69" spans="1:16" ht="14.25" customHeight="1" x14ac:dyDescent="0.5">
      <c r="A69" s="2" t="s">
        <v>311</v>
      </c>
      <c r="B69" s="2" t="s">
        <v>1761</v>
      </c>
      <c r="C69" s="2" t="s">
        <v>1733</v>
      </c>
      <c r="D69" s="2" t="s">
        <v>69</v>
      </c>
      <c r="E69" s="2" t="s">
        <v>1818</v>
      </c>
      <c r="F69" s="2">
        <v>113851</v>
      </c>
      <c r="G69" s="2" t="s">
        <v>57</v>
      </c>
      <c r="H69" s="2" t="s">
        <v>1680</v>
      </c>
      <c r="I69" s="2" t="s">
        <v>77</v>
      </c>
      <c r="J69" s="2" t="s">
        <v>313</v>
      </c>
      <c r="K69" s="2" t="s">
        <v>1686</v>
      </c>
      <c r="L69" s="2" t="s">
        <v>1687</v>
      </c>
      <c r="M69" s="2" t="s">
        <v>1719</v>
      </c>
      <c r="N69" s="2">
        <v>0.2</v>
      </c>
      <c r="O69" s="2">
        <v>136621.19999999998</v>
      </c>
      <c r="P69" s="2" t="str">
        <f t="shared" si="0"/>
        <v>High</v>
      </c>
    </row>
    <row r="70" spans="1:16" ht="14.25" customHeight="1" x14ac:dyDescent="0.5">
      <c r="A70" s="2" t="s">
        <v>314</v>
      </c>
      <c r="B70" s="2" t="s">
        <v>1819</v>
      </c>
      <c r="C70" s="2" t="s">
        <v>1671</v>
      </c>
      <c r="D70" s="2" t="s">
        <v>100</v>
      </c>
      <c r="E70" s="2" t="s">
        <v>1820</v>
      </c>
      <c r="F70" s="2">
        <v>48036</v>
      </c>
      <c r="G70" s="2" t="s">
        <v>17</v>
      </c>
      <c r="H70" s="2" t="s">
        <v>1680</v>
      </c>
      <c r="I70" s="2" t="s">
        <v>1685</v>
      </c>
      <c r="J70" s="2" t="s">
        <v>317</v>
      </c>
      <c r="K70" s="2" t="s">
        <v>1691</v>
      </c>
      <c r="L70" s="2" t="s">
        <v>1692</v>
      </c>
      <c r="M70" s="2" t="s">
        <v>1696</v>
      </c>
      <c r="N70" s="2">
        <v>0.05</v>
      </c>
      <c r="O70" s="2">
        <v>50437.8</v>
      </c>
      <c r="P70" s="2" t="str">
        <f t="shared" si="0"/>
        <v>Normal</v>
      </c>
    </row>
    <row r="71" spans="1:16" ht="14.25" customHeight="1" x14ac:dyDescent="0.5">
      <c r="A71" s="2" t="s">
        <v>318</v>
      </c>
      <c r="B71" s="2" t="s">
        <v>1821</v>
      </c>
      <c r="C71" s="2" t="s">
        <v>1683</v>
      </c>
      <c r="D71" s="2" t="s">
        <v>100</v>
      </c>
      <c r="E71" s="2" t="s">
        <v>1822</v>
      </c>
      <c r="F71" s="2">
        <v>71778</v>
      </c>
      <c r="G71" s="2" t="s">
        <v>44</v>
      </c>
      <c r="H71" s="2" t="s">
        <v>45</v>
      </c>
      <c r="I71" s="2" t="s">
        <v>1703</v>
      </c>
      <c r="J71" s="2" t="s">
        <v>321</v>
      </c>
      <c r="K71" s="2" t="s">
        <v>1686</v>
      </c>
      <c r="L71" s="2" t="s">
        <v>1687</v>
      </c>
      <c r="M71" s="2" t="s">
        <v>1688</v>
      </c>
      <c r="N71" s="2">
        <v>0.1</v>
      </c>
      <c r="O71" s="2">
        <v>78955.8</v>
      </c>
      <c r="P71" s="2" t="str">
        <f t="shared" si="0"/>
        <v>Normal</v>
      </c>
    </row>
    <row r="72" spans="1:16" ht="14.25" customHeight="1" x14ac:dyDescent="0.5">
      <c r="A72" s="2" t="s">
        <v>322</v>
      </c>
      <c r="B72" s="2" t="s">
        <v>1804</v>
      </c>
      <c r="C72" s="2" t="s">
        <v>1717</v>
      </c>
      <c r="D72" s="2" t="s">
        <v>34</v>
      </c>
      <c r="E72" s="2" t="s">
        <v>1823</v>
      </c>
      <c r="F72" s="2">
        <v>67734</v>
      </c>
      <c r="G72" s="2" t="s">
        <v>36</v>
      </c>
      <c r="H72" s="2" t="s">
        <v>1680</v>
      </c>
      <c r="I72" s="2" t="s">
        <v>1703</v>
      </c>
      <c r="J72" s="2" t="s">
        <v>324</v>
      </c>
      <c r="K72" s="2" t="s">
        <v>1691</v>
      </c>
      <c r="L72" s="2" t="s">
        <v>1692</v>
      </c>
      <c r="M72" s="2" t="s">
        <v>1693</v>
      </c>
      <c r="N72" s="2">
        <v>0.05</v>
      </c>
      <c r="O72" s="2">
        <v>71120.7</v>
      </c>
      <c r="P72" s="2" t="str">
        <f t="shared" si="0"/>
        <v>Normal</v>
      </c>
    </row>
    <row r="73" spans="1:16" ht="14.25" customHeight="1" x14ac:dyDescent="0.5">
      <c r="A73" s="2" t="s">
        <v>325</v>
      </c>
      <c r="B73" s="2" t="s">
        <v>1735</v>
      </c>
      <c r="C73" s="2" t="s">
        <v>1671</v>
      </c>
      <c r="D73" s="2" t="s">
        <v>69</v>
      </c>
      <c r="E73" s="2" t="s">
        <v>1824</v>
      </c>
      <c r="F73" s="2">
        <v>63173</v>
      </c>
      <c r="G73" s="2" t="s">
        <v>44</v>
      </c>
      <c r="H73" s="2" t="s">
        <v>1680</v>
      </c>
      <c r="I73" s="2" t="s">
        <v>77</v>
      </c>
      <c r="J73" s="2" t="s">
        <v>327</v>
      </c>
      <c r="K73" s="2" t="s">
        <v>1686</v>
      </c>
      <c r="L73" s="2" t="s">
        <v>1687</v>
      </c>
      <c r="M73" s="2" t="s">
        <v>1750</v>
      </c>
      <c r="N73" s="2">
        <v>0.2</v>
      </c>
      <c r="O73" s="2">
        <v>75807.599999999991</v>
      </c>
      <c r="P73" s="2" t="str">
        <f t="shared" si="0"/>
        <v>Normal</v>
      </c>
    </row>
    <row r="74" spans="1:16" ht="14.25" customHeight="1" x14ac:dyDescent="0.5">
      <c r="A74" s="2" t="s">
        <v>328</v>
      </c>
      <c r="B74" s="2" t="s">
        <v>1825</v>
      </c>
      <c r="C74" s="2" t="s">
        <v>1683</v>
      </c>
      <c r="D74" s="2" t="s">
        <v>50</v>
      </c>
      <c r="E74" s="2" t="s">
        <v>1826</v>
      </c>
      <c r="F74" s="2">
        <v>70403</v>
      </c>
      <c r="G74" s="2" t="s">
        <v>83</v>
      </c>
      <c r="H74" s="2" t="s">
        <v>1699</v>
      </c>
      <c r="I74" s="2" t="s">
        <v>1681</v>
      </c>
      <c r="J74" s="2" t="s">
        <v>331</v>
      </c>
      <c r="K74" s="2" t="s">
        <v>1674</v>
      </c>
      <c r="L74" s="2" t="s">
        <v>1675</v>
      </c>
      <c r="M74" s="2" t="s">
        <v>1750</v>
      </c>
      <c r="N74" s="2">
        <v>0.15</v>
      </c>
      <c r="O74" s="2">
        <v>80963.45</v>
      </c>
      <c r="P74" s="2" t="str">
        <f t="shared" si="0"/>
        <v>Normal</v>
      </c>
    </row>
    <row r="75" spans="1:16" ht="14.25" customHeight="1" x14ac:dyDescent="0.5">
      <c r="A75" s="2" t="s">
        <v>332</v>
      </c>
      <c r="B75" s="2" t="s">
        <v>1772</v>
      </c>
      <c r="C75" s="2" t="s">
        <v>1721</v>
      </c>
      <c r="D75" s="2" t="s">
        <v>50</v>
      </c>
      <c r="E75" s="2" t="s">
        <v>1827</v>
      </c>
      <c r="F75" s="2">
        <v>106321</v>
      </c>
      <c r="G75" s="2" t="s">
        <v>36</v>
      </c>
      <c r="H75" s="2" t="s">
        <v>1699</v>
      </c>
      <c r="I75" s="2" t="s">
        <v>77</v>
      </c>
      <c r="J75" s="2" t="s">
        <v>334</v>
      </c>
      <c r="K75" s="2" t="s">
        <v>1674</v>
      </c>
      <c r="L75" s="2" t="s">
        <v>1675</v>
      </c>
      <c r="M75" s="2" t="s">
        <v>1688</v>
      </c>
      <c r="N75" s="2">
        <v>0.2</v>
      </c>
      <c r="O75" s="2">
        <v>127585.2</v>
      </c>
      <c r="P75" s="2" t="str">
        <f t="shared" si="0"/>
        <v>High</v>
      </c>
    </row>
    <row r="76" spans="1:16" ht="14.25" customHeight="1" x14ac:dyDescent="0.5">
      <c r="A76" s="2" t="s">
        <v>335</v>
      </c>
      <c r="B76" s="2" t="s">
        <v>1828</v>
      </c>
      <c r="C76" s="2" t="s">
        <v>1721</v>
      </c>
      <c r="D76" s="2" t="s">
        <v>15</v>
      </c>
      <c r="E76" s="2" t="s">
        <v>1829</v>
      </c>
      <c r="F76" s="2">
        <v>111675</v>
      </c>
      <c r="G76" s="2" t="s">
        <v>44</v>
      </c>
      <c r="H76" s="2" t="s">
        <v>45</v>
      </c>
      <c r="I76" s="2" t="s">
        <v>1703</v>
      </c>
      <c r="J76" s="2" t="s">
        <v>338</v>
      </c>
      <c r="K76" s="2" t="s">
        <v>1686</v>
      </c>
      <c r="L76" s="2" t="s">
        <v>1687</v>
      </c>
      <c r="M76" s="2" t="s">
        <v>1676</v>
      </c>
      <c r="N76" s="2">
        <v>0.1</v>
      </c>
      <c r="O76" s="2">
        <v>122842.50000000001</v>
      </c>
      <c r="P76" s="2" t="str">
        <f t="shared" si="0"/>
        <v>High</v>
      </c>
    </row>
    <row r="77" spans="1:16" ht="14.25" customHeight="1" x14ac:dyDescent="0.5">
      <c r="A77" s="2" t="s">
        <v>339</v>
      </c>
      <c r="B77" s="2" t="s">
        <v>1689</v>
      </c>
      <c r="C77" s="2" t="s">
        <v>1678</v>
      </c>
      <c r="D77" s="2" t="s">
        <v>100</v>
      </c>
      <c r="E77" s="2" t="s">
        <v>1830</v>
      </c>
      <c r="F77" s="2">
        <v>46344</v>
      </c>
      <c r="G77" s="2" t="s">
        <v>57</v>
      </c>
      <c r="H77" s="2" t="s">
        <v>1680</v>
      </c>
      <c r="I77" s="2" t="s">
        <v>1673</v>
      </c>
      <c r="J77" s="2" t="s">
        <v>341</v>
      </c>
      <c r="K77" s="2" t="s">
        <v>1686</v>
      </c>
      <c r="L77" s="2" t="s">
        <v>1687</v>
      </c>
      <c r="M77" s="2" t="s">
        <v>1750</v>
      </c>
      <c r="N77" s="2">
        <v>0.05</v>
      </c>
      <c r="O77" s="2">
        <v>48661.200000000004</v>
      </c>
      <c r="P77" s="2" t="str">
        <f t="shared" si="0"/>
        <v>Normal</v>
      </c>
    </row>
    <row r="78" spans="1:16" ht="14.25" customHeight="1" x14ac:dyDescent="0.5">
      <c r="A78" s="2" t="s">
        <v>342</v>
      </c>
      <c r="B78" s="2" t="s">
        <v>1831</v>
      </c>
      <c r="C78" s="2" t="s">
        <v>1671</v>
      </c>
      <c r="D78" s="2" t="s">
        <v>75</v>
      </c>
      <c r="E78" s="2" t="s">
        <v>1832</v>
      </c>
      <c r="F78" s="2">
        <v>58800</v>
      </c>
      <c r="G78" s="2" t="s">
        <v>36</v>
      </c>
      <c r="H78" s="2" t="s">
        <v>1680</v>
      </c>
      <c r="I78" s="2" t="s">
        <v>1681</v>
      </c>
      <c r="J78" s="2" t="s">
        <v>345</v>
      </c>
      <c r="K78" s="2" t="s">
        <v>1674</v>
      </c>
      <c r="L78" s="2" t="s">
        <v>1675</v>
      </c>
      <c r="M78" s="2" t="s">
        <v>1696</v>
      </c>
      <c r="N78" s="2">
        <v>0.05</v>
      </c>
      <c r="O78" s="2">
        <v>61740</v>
      </c>
      <c r="P78" s="2" t="str">
        <f t="shared" si="0"/>
        <v>Normal</v>
      </c>
    </row>
    <row r="79" spans="1:16" ht="14.25" customHeight="1" x14ac:dyDescent="0.5">
      <c r="A79" s="2" t="s">
        <v>346</v>
      </c>
      <c r="B79" s="2" t="s">
        <v>1819</v>
      </c>
      <c r="C79" s="2" t="s">
        <v>1733</v>
      </c>
      <c r="D79" s="2" t="s">
        <v>15</v>
      </c>
      <c r="E79" s="2" t="s">
        <v>1833</v>
      </c>
      <c r="F79" s="2">
        <v>65372</v>
      </c>
      <c r="G79" s="2" t="s">
        <v>36</v>
      </c>
      <c r="H79" s="2" t="s">
        <v>1699</v>
      </c>
      <c r="I79" s="2" t="s">
        <v>1685</v>
      </c>
      <c r="J79" s="2" t="s">
        <v>348</v>
      </c>
      <c r="K79" s="2" t="s">
        <v>1691</v>
      </c>
      <c r="L79" s="2" t="s">
        <v>1692</v>
      </c>
      <c r="M79" s="2" t="s">
        <v>1688</v>
      </c>
      <c r="N79" s="2">
        <v>0.15</v>
      </c>
      <c r="O79" s="2">
        <v>75177.799999999988</v>
      </c>
      <c r="P79" s="2" t="str">
        <f t="shared" si="0"/>
        <v>Normal</v>
      </c>
    </row>
    <row r="80" spans="1:16" ht="14.25" customHeight="1" x14ac:dyDescent="0.5">
      <c r="A80" s="2" t="s">
        <v>349</v>
      </c>
      <c r="B80" s="2" t="s">
        <v>1800</v>
      </c>
      <c r="C80" s="2" t="s">
        <v>1671</v>
      </c>
      <c r="D80" s="2" t="s">
        <v>50</v>
      </c>
      <c r="E80" s="2" t="s">
        <v>1834</v>
      </c>
      <c r="F80" s="2">
        <v>101516</v>
      </c>
      <c r="G80" s="2" t="s">
        <v>17</v>
      </c>
      <c r="H80" s="2" t="s">
        <v>1699</v>
      </c>
      <c r="I80" s="2" t="s">
        <v>1685</v>
      </c>
      <c r="J80" s="2" t="s">
        <v>351</v>
      </c>
      <c r="K80" s="2" t="s">
        <v>1674</v>
      </c>
      <c r="L80" s="2" t="s">
        <v>1675</v>
      </c>
      <c r="M80" s="2" t="s">
        <v>1750</v>
      </c>
      <c r="N80" s="2">
        <v>0.05</v>
      </c>
      <c r="O80" s="2">
        <v>106591.8</v>
      </c>
      <c r="P80" s="2" t="str">
        <f t="shared" si="0"/>
        <v>High</v>
      </c>
    </row>
    <row r="81" spans="1:16" ht="14.25" customHeight="1" x14ac:dyDescent="0.5">
      <c r="A81" s="2" t="s">
        <v>352</v>
      </c>
      <c r="B81" s="2" t="s">
        <v>1835</v>
      </c>
      <c r="C81" s="2" t="s">
        <v>1733</v>
      </c>
      <c r="D81" s="2" t="s">
        <v>69</v>
      </c>
      <c r="E81" s="2" t="s">
        <v>1836</v>
      </c>
      <c r="F81" s="2">
        <v>60538</v>
      </c>
      <c r="G81" s="2" t="s">
        <v>57</v>
      </c>
      <c r="H81" s="2" t="s">
        <v>1680</v>
      </c>
      <c r="I81" s="2" t="s">
        <v>1673</v>
      </c>
      <c r="J81" s="2" t="s">
        <v>355</v>
      </c>
      <c r="K81" s="2" t="s">
        <v>1691</v>
      </c>
      <c r="L81" s="2" t="s">
        <v>1692</v>
      </c>
      <c r="M81" s="2" t="s">
        <v>1711</v>
      </c>
      <c r="N81" s="2">
        <v>0.05</v>
      </c>
      <c r="O81" s="2">
        <v>63564.9</v>
      </c>
      <c r="P81" s="2" t="str">
        <f t="shared" si="0"/>
        <v>Normal</v>
      </c>
    </row>
    <row r="82" spans="1:16" ht="14.25" customHeight="1" x14ac:dyDescent="0.5">
      <c r="A82" s="2" t="s">
        <v>356</v>
      </c>
      <c r="B82" s="2" t="s">
        <v>1831</v>
      </c>
      <c r="C82" s="2" t="s">
        <v>1724</v>
      </c>
      <c r="D82" s="2" t="s">
        <v>50</v>
      </c>
      <c r="E82" s="2" t="s">
        <v>1837</v>
      </c>
      <c r="F82" s="2">
        <v>103918</v>
      </c>
      <c r="G82" s="2" t="s">
        <v>83</v>
      </c>
      <c r="H82" s="2" t="s">
        <v>1680</v>
      </c>
      <c r="I82" s="2" t="s">
        <v>1703</v>
      </c>
      <c r="J82" s="2" t="s">
        <v>358</v>
      </c>
      <c r="K82" s="2" t="s">
        <v>1686</v>
      </c>
      <c r="L82" s="2" t="s">
        <v>1687</v>
      </c>
      <c r="M82" s="2" t="s">
        <v>1688</v>
      </c>
      <c r="N82" s="2">
        <v>0.2</v>
      </c>
      <c r="O82" s="2">
        <v>124701.59999999999</v>
      </c>
      <c r="P82" s="2" t="str">
        <f t="shared" si="0"/>
        <v>High</v>
      </c>
    </row>
    <row r="83" spans="1:16" ht="14.25" customHeight="1" x14ac:dyDescent="0.5">
      <c r="A83" s="2" t="s">
        <v>359</v>
      </c>
      <c r="B83" s="2" t="s">
        <v>1838</v>
      </c>
      <c r="C83" s="2" t="s">
        <v>1678</v>
      </c>
      <c r="D83" s="2" t="s">
        <v>69</v>
      </c>
      <c r="E83" s="2" t="s">
        <v>1839</v>
      </c>
      <c r="F83" s="2">
        <v>54973</v>
      </c>
      <c r="G83" s="2" t="s">
        <v>44</v>
      </c>
      <c r="H83" s="2" t="s">
        <v>45</v>
      </c>
      <c r="I83" s="2" t="s">
        <v>1681</v>
      </c>
      <c r="J83" s="2" t="s">
        <v>362</v>
      </c>
      <c r="K83" s="2" t="s">
        <v>1686</v>
      </c>
      <c r="L83" s="2" t="s">
        <v>1687</v>
      </c>
      <c r="M83" s="2" t="s">
        <v>1688</v>
      </c>
      <c r="N83" s="2">
        <v>0.05</v>
      </c>
      <c r="O83" s="2">
        <v>57721.65</v>
      </c>
      <c r="P83" s="2" t="str">
        <f t="shared" si="0"/>
        <v>Normal</v>
      </c>
    </row>
    <row r="84" spans="1:16" ht="14.25" customHeight="1" x14ac:dyDescent="0.5">
      <c r="A84" s="2" t="s">
        <v>363</v>
      </c>
      <c r="B84" s="2" t="s">
        <v>1825</v>
      </c>
      <c r="C84" s="2" t="s">
        <v>1724</v>
      </c>
      <c r="D84" s="2" t="s">
        <v>15</v>
      </c>
      <c r="E84" s="2" t="s">
        <v>1840</v>
      </c>
      <c r="F84" s="2">
        <v>111155</v>
      </c>
      <c r="G84" s="2" t="s">
        <v>17</v>
      </c>
      <c r="H84" s="2" t="s">
        <v>1699</v>
      </c>
      <c r="I84" s="2" t="s">
        <v>1673</v>
      </c>
      <c r="J84" s="2" t="s">
        <v>365</v>
      </c>
      <c r="K84" s="2" t="s">
        <v>1691</v>
      </c>
      <c r="L84" s="2" t="s">
        <v>1692</v>
      </c>
      <c r="M84" s="2" t="s">
        <v>1696</v>
      </c>
      <c r="N84" s="2">
        <v>0.05</v>
      </c>
      <c r="O84" s="2">
        <v>116712.75</v>
      </c>
      <c r="P84" s="2" t="str">
        <f t="shared" si="0"/>
        <v>High</v>
      </c>
    </row>
    <row r="85" spans="1:16" ht="14.25" customHeight="1" x14ac:dyDescent="0.5">
      <c r="A85" s="2" t="s">
        <v>366</v>
      </c>
      <c r="B85" s="2" t="s">
        <v>1841</v>
      </c>
      <c r="C85" s="2" t="s">
        <v>1671</v>
      </c>
      <c r="D85" s="2" t="s">
        <v>100</v>
      </c>
      <c r="E85" s="2" t="s">
        <v>1842</v>
      </c>
      <c r="F85" s="2">
        <v>99500</v>
      </c>
      <c r="G85" s="2" t="s">
        <v>44</v>
      </c>
      <c r="H85" s="2" t="s">
        <v>1680</v>
      </c>
      <c r="I85" s="2" t="s">
        <v>1703</v>
      </c>
      <c r="J85" s="2" t="s">
        <v>369</v>
      </c>
      <c r="K85" s="2" t="s">
        <v>1686</v>
      </c>
      <c r="L85" s="2" t="s">
        <v>1687</v>
      </c>
      <c r="M85" s="2" t="s">
        <v>1700</v>
      </c>
      <c r="N85" s="2">
        <v>0.05</v>
      </c>
      <c r="O85" s="2">
        <v>104475</v>
      </c>
      <c r="P85" s="2" t="str">
        <f t="shared" si="0"/>
        <v>High</v>
      </c>
    </row>
    <row r="86" spans="1:16" ht="14.25" customHeight="1" x14ac:dyDescent="0.5">
      <c r="A86" s="2" t="s">
        <v>370</v>
      </c>
      <c r="B86" s="2" t="s">
        <v>1843</v>
      </c>
      <c r="C86" s="2" t="s">
        <v>1678</v>
      </c>
      <c r="D86" s="2" t="s">
        <v>50</v>
      </c>
      <c r="E86" s="2" t="s">
        <v>1844</v>
      </c>
      <c r="F86" s="2">
        <v>76575</v>
      </c>
      <c r="G86" s="2" t="s">
        <v>83</v>
      </c>
      <c r="H86" s="2" t="s">
        <v>1699</v>
      </c>
      <c r="I86" s="2" t="s">
        <v>1681</v>
      </c>
      <c r="J86" s="2" t="s">
        <v>373</v>
      </c>
      <c r="K86" s="2" t="s">
        <v>1691</v>
      </c>
      <c r="L86" s="2" t="s">
        <v>1692</v>
      </c>
      <c r="M86" s="2" t="s">
        <v>1750</v>
      </c>
      <c r="N86" s="2">
        <v>0.15</v>
      </c>
      <c r="O86" s="2">
        <v>88061.25</v>
      </c>
      <c r="P86" s="2" t="str">
        <f t="shared" si="0"/>
        <v>Normal</v>
      </c>
    </row>
    <row r="87" spans="1:16" ht="14.25" customHeight="1" x14ac:dyDescent="0.5">
      <c r="A87" s="2" t="s">
        <v>374</v>
      </c>
      <c r="B87" s="2" t="s">
        <v>1748</v>
      </c>
      <c r="C87" s="2" t="s">
        <v>1724</v>
      </c>
      <c r="D87" s="2" t="s">
        <v>34</v>
      </c>
      <c r="E87" s="2" t="s">
        <v>1845</v>
      </c>
      <c r="F87" s="2">
        <v>82261</v>
      </c>
      <c r="G87" s="2" t="s">
        <v>83</v>
      </c>
      <c r="H87" s="2" t="s">
        <v>45</v>
      </c>
      <c r="I87" s="2" t="s">
        <v>1685</v>
      </c>
      <c r="J87" s="2" t="s">
        <v>376</v>
      </c>
      <c r="K87" s="2" t="s">
        <v>1706</v>
      </c>
      <c r="L87" s="2" t="s">
        <v>1707</v>
      </c>
      <c r="M87" s="2" t="s">
        <v>1750</v>
      </c>
      <c r="N87" s="2">
        <v>0.15</v>
      </c>
      <c r="O87" s="2">
        <v>94600.15</v>
      </c>
      <c r="P87" s="2" t="str">
        <f t="shared" si="0"/>
        <v>Normal</v>
      </c>
    </row>
    <row r="88" spans="1:16" ht="14.25" customHeight="1" x14ac:dyDescent="0.5">
      <c r="A88" s="2" t="s">
        <v>377</v>
      </c>
      <c r="B88" s="2" t="s">
        <v>1846</v>
      </c>
      <c r="C88" s="2" t="s">
        <v>1785</v>
      </c>
      <c r="D88" s="2" t="s">
        <v>69</v>
      </c>
      <c r="E88" s="2" t="s">
        <v>1847</v>
      </c>
      <c r="F88" s="2">
        <v>67716</v>
      </c>
      <c r="G88" s="2" t="s">
        <v>36</v>
      </c>
      <c r="H88" s="2" t="s">
        <v>1680</v>
      </c>
      <c r="I88" s="2" t="s">
        <v>1681</v>
      </c>
      <c r="J88" s="2" t="s">
        <v>380</v>
      </c>
      <c r="K88" s="2" t="s">
        <v>1674</v>
      </c>
      <c r="L88" s="2" t="s">
        <v>1675</v>
      </c>
      <c r="M88" s="2" t="s">
        <v>1688</v>
      </c>
      <c r="N88" s="2">
        <v>0.2</v>
      </c>
      <c r="O88" s="2">
        <v>81259.199999999997</v>
      </c>
      <c r="P88" s="2" t="str">
        <f t="shared" si="0"/>
        <v>Normal</v>
      </c>
    </row>
    <row r="89" spans="1:16" ht="14.25" customHeight="1" x14ac:dyDescent="0.5">
      <c r="A89" s="2" t="s">
        <v>381</v>
      </c>
      <c r="B89" s="2" t="s">
        <v>1777</v>
      </c>
      <c r="C89" s="2" t="s">
        <v>1671</v>
      </c>
      <c r="D89" s="2" t="s">
        <v>100</v>
      </c>
      <c r="E89" s="2" t="s">
        <v>1848</v>
      </c>
      <c r="F89" s="2">
        <v>43236</v>
      </c>
      <c r="G89" s="2" t="s">
        <v>83</v>
      </c>
      <c r="H89" s="2" t="s">
        <v>45</v>
      </c>
      <c r="I89" s="2" t="s">
        <v>77</v>
      </c>
      <c r="J89" s="2" t="s">
        <v>383</v>
      </c>
      <c r="K89" s="2" t="s">
        <v>1706</v>
      </c>
      <c r="L89" s="2" t="s">
        <v>1707</v>
      </c>
      <c r="M89" s="2" t="s">
        <v>1711</v>
      </c>
      <c r="N89" s="2">
        <v>0.05</v>
      </c>
      <c r="O89" s="2">
        <v>45397.8</v>
      </c>
      <c r="P89" s="2" t="str">
        <f t="shared" si="0"/>
        <v>Normal</v>
      </c>
    </row>
    <row r="90" spans="1:16" ht="14.25" customHeight="1" x14ac:dyDescent="0.5">
      <c r="A90" s="2" t="s">
        <v>384</v>
      </c>
      <c r="B90" s="2" t="s">
        <v>1849</v>
      </c>
      <c r="C90" s="2" t="s">
        <v>1724</v>
      </c>
      <c r="D90" s="2" t="s">
        <v>75</v>
      </c>
      <c r="E90" s="2" t="s">
        <v>1850</v>
      </c>
      <c r="F90" s="2">
        <v>55848</v>
      </c>
      <c r="G90" s="2" t="s">
        <v>44</v>
      </c>
      <c r="H90" s="2" t="s">
        <v>1680</v>
      </c>
      <c r="I90" s="2" t="s">
        <v>77</v>
      </c>
      <c r="J90" s="2" t="s">
        <v>387</v>
      </c>
      <c r="K90" s="2" t="s">
        <v>1691</v>
      </c>
      <c r="L90" s="2" t="s">
        <v>1692</v>
      </c>
      <c r="M90" s="2" t="s">
        <v>1711</v>
      </c>
      <c r="N90" s="2">
        <v>0.15</v>
      </c>
      <c r="O90" s="2">
        <v>64225.2</v>
      </c>
      <c r="P90" s="2" t="str">
        <f t="shared" si="0"/>
        <v>Normal</v>
      </c>
    </row>
    <row r="91" spans="1:16" ht="14.25" customHeight="1" x14ac:dyDescent="0.5">
      <c r="A91" s="2" t="s">
        <v>388</v>
      </c>
      <c r="B91" s="2" t="s">
        <v>1755</v>
      </c>
      <c r="C91" s="2" t="s">
        <v>1785</v>
      </c>
      <c r="D91" s="2" t="s">
        <v>69</v>
      </c>
      <c r="E91" s="2" t="s">
        <v>1851</v>
      </c>
      <c r="F91" s="2">
        <v>42352</v>
      </c>
      <c r="G91" s="2" t="s">
        <v>57</v>
      </c>
      <c r="H91" s="2" t="s">
        <v>1680</v>
      </c>
      <c r="I91" s="2" t="s">
        <v>1681</v>
      </c>
      <c r="J91" s="2" t="s">
        <v>390</v>
      </c>
      <c r="K91" s="2" t="s">
        <v>1674</v>
      </c>
      <c r="L91" s="2" t="s">
        <v>1675</v>
      </c>
      <c r="M91" s="2" t="s">
        <v>1719</v>
      </c>
      <c r="N91" s="2">
        <v>0.15</v>
      </c>
      <c r="O91" s="2">
        <v>48704.799999999996</v>
      </c>
      <c r="P91" s="2" t="str">
        <f t="shared" si="0"/>
        <v>Normal</v>
      </c>
    </row>
    <row r="92" spans="1:16" ht="14.25" customHeight="1" x14ac:dyDescent="0.5">
      <c r="A92" s="2" t="s">
        <v>391</v>
      </c>
      <c r="B92" s="2" t="s">
        <v>1732</v>
      </c>
      <c r="C92" s="2" t="s">
        <v>1785</v>
      </c>
      <c r="D92" s="2" t="s">
        <v>15</v>
      </c>
      <c r="E92" s="2" t="s">
        <v>1852</v>
      </c>
      <c r="F92" s="2">
        <v>41932</v>
      </c>
      <c r="G92" s="2" t="s">
        <v>57</v>
      </c>
      <c r="H92" s="2" t="s">
        <v>45</v>
      </c>
      <c r="I92" s="2" t="s">
        <v>77</v>
      </c>
      <c r="J92" s="2" t="s">
        <v>393</v>
      </c>
      <c r="K92" s="2" t="s">
        <v>1691</v>
      </c>
      <c r="L92" s="2" t="s">
        <v>1692</v>
      </c>
      <c r="M92" s="2" t="s">
        <v>1711</v>
      </c>
      <c r="N92" s="2">
        <v>0.2</v>
      </c>
      <c r="O92" s="2">
        <v>50318.400000000001</v>
      </c>
      <c r="P92" s="2" t="str">
        <f t="shared" si="0"/>
        <v>Normal</v>
      </c>
    </row>
    <row r="93" spans="1:16" ht="14.25" customHeight="1" x14ac:dyDescent="0.5">
      <c r="A93" s="2" t="s">
        <v>394</v>
      </c>
      <c r="B93" s="2" t="s">
        <v>1825</v>
      </c>
      <c r="C93" s="2" t="s">
        <v>1721</v>
      </c>
      <c r="D93" s="2" t="s">
        <v>75</v>
      </c>
      <c r="E93" s="2" t="s">
        <v>1853</v>
      </c>
      <c r="F93" s="2">
        <v>116449</v>
      </c>
      <c r="G93" s="2" t="s">
        <v>36</v>
      </c>
      <c r="H93" s="2" t="s">
        <v>1699</v>
      </c>
      <c r="I93" s="2" t="s">
        <v>1681</v>
      </c>
      <c r="J93" s="2" t="s">
        <v>396</v>
      </c>
      <c r="K93" s="2" t="s">
        <v>1674</v>
      </c>
      <c r="L93" s="2" t="s">
        <v>1675</v>
      </c>
      <c r="M93" s="2" t="s">
        <v>1750</v>
      </c>
      <c r="N93" s="2">
        <v>0.1</v>
      </c>
      <c r="O93" s="2">
        <v>128093.90000000001</v>
      </c>
      <c r="P93" s="2" t="str">
        <f t="shared" si="0"/>
        <v>High</v>
      </c>
    </row>
    <row r="94" spans="1:16" ht="14.25" customHeight="1" x14ac:dyDescent="0.5">
      <c r="A94" s="2" t="s">
        <v>397</v>
      </c>
      <c r="B94" s="2" t="s">
        <v>1854</v>
      </c>
      <c r="C94" s="2" t="s">
        <v>1671</v>
      </c>
      <c r="D94" s="2" t="s">
        <v>75</v>
      </c>
      <c r="E94" s="2" t="s">
        <v>1855</v>
      </c>
      <c r="F94" s="2">
        <v>48556</v>
      </c>
      <c r="G94" s="2" t="s">
        <v>44</v>
      </c>
      <c r="H94" s="2" t="s">
        <v>1699</v>
      </c>
      <c r="I94" s="2" t="s">
        <v>77</v>
      </c>
      <c r="J94" s="2" t="s">
        <v>400</v>
      </c>
      <c r="K94" s="2" t="s">
        <v>1674</v>
      </c>
      <c r="L94" s="2" t="s">
        <v>1675</v>
      </c>
      <c r="M94" s="2" t="s">
        <v>1676</v>
      </c>
      <c r="N94" s="2">
        <v>0.05</v>
      </c>
      <c r="O94" s="2">
        <v>50983.8</v>
      </c>
      <c r="P94" s="2" t="str">
        <f t="shared" si="0"/>
        <v>Normal</v>
      </c>
    </row>
    <row r="95" spans="1:16" ht="14.25" customHeight="1" x14ac:dyDescent="0.5">
      <c r="A95" s="2" t="s">
        <v>401</v>
      </c>
      <c r="B95" s="2" t="s">
        <v>1784</v>
      </c>
      <c r="C95" s="2" t="s">
        <v>1785</v>
      </c>
      <c r="D95" s="2" t="s">
        <v>42</v>
      </c>
      <c r="E95" s="2" t="s">
        <v>1856</v>
      </c>
      <c r="F95" s="2">
        <v>45498</v>
      </c>
      <c r="G95" s="2" t="s">
        <v>44</v>
      </c>
      <c r="H95" s="2" t="s">
        <v>1699</v>
      </c>
      <c r="I95" s="2" t="s">
        <v>77</v>
      </c>
      <c r="J95" s="2" t="s">
        <v>403</v>
      </c>
      <c r="K95" s="2" t="s">
        <v>1674</v>
      </c>
      <c r="L95" s="2" t="s">
        <v>1675</v>
      </c>
      <c r="M95" s="2" t="s">
        <v>1700</v>
      </c>
      <c r="N95" s="2">
        <v>0.15</v>
      </c>
      <c r="O95" s="2">
        <v>52322.7</v>
      </c>
      <c r="P95" s="2" t="str">
        <f t="shared" si="0"/>
        <v>Normal</v>
      </c>
    </row>
    <row r="96" spans="1:16" ht="14.25" customHeight="1" x14ac:dyDescent="0.5">
      <c r="A96" s="2" t="s">
        <v>404</v>
      </c>
      <c r="B96" s="2" t="s">
        <v>1857</v>
      </c>
      <c r="C96" s="2" t="s">
        <v>1721</v>
      </c>
      <c r="D96" s="2" t="s">
        <v>50</v>
      </c>
      <c r="E96" s="2" t="s">
        <v>1858</v>
      </c>
      <c r="F96" s="2">
        <v>116118</v>
      </c>
      <c r="G96" s="2" t="s">
        <v>83</v>
      </c>
      <c r="H96" s="2" t="s">
        <v>45</v>
      </c>
      <c r="I96" s="2" t="s">
        <v>1685</v>
      </c>
      <c r="J96" s="2" t="s">
        <v>407</v>
      </c>
      <c r="K96" s="2" t="s">
        <v>1674</v>
      </c>
      <c r="L96" s="2" t="s">
        <v>1675</v>
      </c>
      <c r="M96" s="2" t="s">
        <v>1688</v>
      </c>
      <c r="N96" s="2">
        <v>0.2</v>
      </c>
      <c r="O96" s="2">
        <v>139341.6</v>
      </c>
      <c r="P96" s="2" t="str">
        <f t="shared" si="0"/>
        <v>High</v>
      </c>
    </row>
    <row r="97" spans="1:16" ht="14.25" customHeight="1" x14ac:dyDescent="0.5">
      <c r="A97" s="2" t="s">
        <v>408</v>
      </c>
      <c r="B97" s="2" t="s">
        <v>1814</v>
      </c>
      <c r="C97" s="2" t="s">
        <v>1724</v>
      </c>
      <c r="D97" s="2" t="s">
        <v>69</v>
      </c>
      <c r="E97" s="2" t="s">
        <v>1859</v>
      </c>
      <c r="F97" s="2">
        <v>90098</v>
      </c>
      <c r="G97" s="2" t="s">
        <v>44</v>
      </c>
      <c r="H97" s="2" t="s">
        <v>45</v>
      </c>
      <c r="I97" s="2" t="s">
        <v>1703</v>
      </c>
      <c r="J97" s="2" t="s">
        <v>410</v>
      </c>
      <c r="K97" s="2" t="s">
        <v>1691</v>
      </c>
      <c r="L97" s="2" t="s">
        <v>1692</v>
      </c>
      <c r="M97" s="2" t="s">
        <v>1693</v>
      </c>
      <c r="N97" s="2">
        <v>0.2</v>
      </c>
      <c r="O97" s="2">
        <v>108117.59999999999</v>
      </c>
      <c r="P97" s="2" t="str">
        <f t="shared" si="0"/>
        <v>High</v>
      </c>
    </row>
    <row r="98" spans="1:16" ht="14.25" customHeight="1" x14ac:dyDescent="0.5">
      <c r="A98" s="2" t="s">
        <v>411</v>
      </c>
      <c r="B98" s="2" t="s">
        <v>1777</v>
      </c>
      <c r="C98" s="2" t="s">
        <v>1683</v>
      </c>
      <c r="D98" s="2" t="s">
        <v>75</v>
      </c>
      <c r="E98" s="2" t="s">
        <v>1860</v>
      </c>
      <c r="F98" s="2">
        <v>104386</v>
      </c>
      <c r="G98" s="2" t="s">
        <v>17</v>
      </c>
      <c r="H98" s="2" t="s">
        <v>1699</v>
      </c>
      <c r="I98" s="2" t="s">
        <v>77</v>
      </c>
      <c r="J98" s="2" t="s">
        <v>413</v>
      </c>
      <c r="K98" s="2" t="s">
        <v>1674</v>
      </c>
      <c r="L98" s="2" t="s">
        <v>1675</v>
      </c>
      <c r="M98" s="2" t="s">
        <v>1700</v>
      </c>
      <c r="N98" s="2">
        <v>0.2</v>
      </c>
      <c r="O98" s="2">
        <v>125263.2</v>
      </c>
      <c r="P98" s="2" t="str">
        <f t="shared" si="0"/>
        <v>High</v>
      </c>
    </row>
    <row r="99" spans="1:16" ht="14.25" customHeight="1" x14ac:dyDescent="0.5">
      <c r="A99" s="2" t="s">
        <v>414</v>
      </c>
      <c r="B99" s="2" t="s">
        <v>1831</v>
      </c>
      <c r="C99" s="2" t="s">
        <v>1671</v>
      </c>
      <c r="D99" s="2" t="s">
        <v>42</v>
      </c>
      <c r="E99" s="2" t="s">
        <v>1861</v>
      </c>
      <c r="F99" s="2">
        <v>49569</v>
      </c>
      <c r="G99" s="2" t="s">
        <v>83</v>
      </c>
      <c r="H99" s="2" t="s">
        <v>1680</v>
      </c>
      <c r="I99" s="2" t="s">
        <v>77</v>
      </c>
      <c r="J99" s="2" t="s">
        <v>416</v>
      </c>
      <c r="K99" s="2" t="s">
        <v>1674</v>
      </c>
      <c r="L99" s="2" t="s">
        <v>1675</v>
      </c>
      <c r="M99" s="2" t="s">
        <v>1696</v>
      </c>
      <c r="N99" s="2">
        <v>0.15</v>
      </c>
      <c r="O99" s="2">
        <v>57004.35</v>
      </c>
      <c r="P99" s="2" t="str">
        <f t="shared" si="0"/>
        <v>Normal</v>
      </c>
    </row>
    <row r="100" spans="1:16" ht="14.25" customHeight="1" x14ac:dyDescent="0.5">
      <c r="A100" s="2" t="s">
        <v>417</v>
      </c>
      <c r="B100" s="2" t="s">
        <v>1862</v>
      </c>
      <c r="C100" s="2" t="s">
        <v>1678</v>
      </c>
      <c r="D100" s="2" t="s">
        <v>15</v>
      </c>
      <c r="E100" s="2" t="s">
        <v>1863</v>
      </c>
      <c r="F100" s="2">
        <v>96882</v>
      </c>
      <c r="G100" s="2" t="s">
        <v>17</v>
      </c>
      <c r="H100" s="2" t="s">
        <v>45</v>
      </c>
      <c r="I100" s="2" t="s">
        <v>77</v>
      </c>
      <c r="J100" s="2" t="s">
        <v>420</v>
      </c>
      <c r="K100" s="2" t="s">
        <v>1706</v>
      </c>
      <c r="L100" s="2" t="s">
        <v>1707</v>
      </c>
      <c r="M100" s="2" t="s">
        <v>1696</v>
      </c>
      <c r="N100" s="2">
        <v>0.05</v>
      </c>
      <c r="O100" s="2">
        <v>101726.1</v>
      </c>
      <c r="P100" s="2" t="str">
        <f t="shared" si="0"/>
        <v>High</v>
      </c>
    </row>
    <row r="101" spans="1:16" ht="14.25" customHeight="1" x14ac:dyDescent="0.5">
      <c r="A101" s="2" t="s">
        <v>421</v>
      </c>
      <c r="B101" s="2" t="s">
        <v>1755</v>
      </c>
      <c r="C101" s="2" t="s">
        <v>1733</v>
      </c>
      <c r="D101" s="2" t="s">
        <v>100</v>
      </c>
      <c r="E101" s="2" t="s">
        <v>1864</v>
      </c>
      <c r="F101" s="2">
        <v>110393</v>
      </c>
      <c r="G101" s="2" t="s">
        <v>36</v>
      </c>
      <c r="H101" s="2" t="s">
        <v>45</v>
      </c>
      <c r="I101" s="2" t="s">
        <v>1685</v>
      </c>
      <c r="J101" s="2" t="s">
        <v>423</v>
      </c>
      <c r="K101" s="2" t="s">
        <v>1686</v>
      </c>
      <c r="L101" s="2" t="s">
        <v>1687</v>
      </c>
      <c r="M101" s="2" t="s">
        <v>1676</v>
      </c>
      <c r="N101" s="2">
        <v>0.1</v>
      </c>
      <c r="O101" s="2">
        <v>121432.3</v>
      </c>
      <c r="P101" s="2" t="str">
        <f t="shared" si="0"/>
        <v>High</v>
      </c>
    </row>
    <row r="102" spans="1:16" ht="14.25" customHeight="1" x14ac:dyDescent="0.5">
      <c r="A102" s="2" t="s">
        <v>424</v>
      </c>
      <c r="B102" s="2" t="s">
        <v>1865</v>
      </c>
      <c r="C102" s="2" t="s">
        <v>1733</v>
      </c>
      <c r="D102" s="2" t="s">
        <v>34</v>
      </c>
      <c r="E102" s="2" t="s">
        <v>1866</v>
      </c>
      <c r="F102" s="2">
        <v>40340</v>
      </c>
      <c r="G102" s="2" t="s">
        <v>57</v>
      </c>
      <c r="H102" s="2" t="s">
        <v>1680</v>
      </c>
      <c r="I102" s="2" t="s">
        <v>77</v>
      </c>
      <c r="J102" s="2" t="s">
        <v>427</v>
      </c>
      <c r="K102" s="2" t="s">
        <v>1686</v>
      </c>
      <c r="L102" s="2" t="s">
        <v>1687</v>
      </c>
      <c r="M102" s="2" t="s">
        <v>1693</v>
      </c>
      <c r="N102" s="2">
        <v>0.05</v>
      </c>
      <c r="O102" s="2">
        <v>42357</v>
      </c>
      <c r="P102" s="2" t="str">
        <f t="shared" si="0"/>
        <v>Normal</v>
      </c>
    </row>
    <row r="103" spans="1:16" ht="14.25" customHeight="1" x14ac:dyDescent="0.5">
      <c r="A103" s="2" t="s">
        <v>428</v>
      </c>
      <c r="B103" s="2" t="s">
        <v>1867</v>
      </c>
      <c r="C103" s="2" t="s">
        <v>1724</v>
      </c>
      <c r="D103" s="2" t="s">
        <v>34</v>
      </c>
      <c r="E103" s="2" t="s">
        <v>1868</v>
      </c>
      <c r="F103" s="2">
        <v>83949</v>
      </c>
      <c r="G103" s="2" t="s">
        <v>36</v>
      </c>
      <c r="H103" s="2" t="s">
        <v>45</v>
      </c>
      <c r="I103" s="2" t="s">
        <v>77</v>
      </c>
      <c r="J103" s="2" t="s">
        <v>431</v>
      </c>
      <c r="K103" s="2" t="s">
        <v>1706</v>
      </c>
      <c r="L103" s="2" t="s">
        <v>1707</v>
      </c>
      <c r="M103" s="2" t="s">
        <v>1700</v>
      </c>
      <c r="N103" s="2">
        <v>0.2</v>
      </c>
      <c r="O103" s="2">
        <v>100738.8</v>
      </c>
      <c r="P103" s="2" t="str">
        <f t="shared" si="0"/>
        <v>High</v>
      </c>
    </row>
    <row r="104" spans="1:16" ht="14.25" customHeight="1" x14ac:dyDescent="0.5">
      <c r="A104" s="2" t="s">
        <v>432</v>
      </c>
      <c r="B104" s="2" t="s">
        <v>1869</v>
      </c>
      <c r="C104" s="2" t="s">
        <v>1709</v>
      </c>
      <c r="D104" s="2" t="s">
        <v>69</v>
      </c>
      <c r="E104" s="2" t="s">
        <v>1870</v>
      </c>
      <c r="F104" s="2">
        <v>102443</v>
      </c>
      <c r="G104" s="2" t="s">
        <v>57</v>
      </c>
      <c r="H104" s="2" t="s">
        <v>1699</v>
      </c>
      <c r="I104" s="2" t="s">
        <v>77</v>
      </c>
      <c r="J104" s="2" t="s">
        <v>435</v>
      </c>
      <c r="K104" s="2" t="s">
        <v>1706</v>
      </c>
      <c r="L104" s="2" t="s">
        <v>1707</v>
      </c>
      <c r="M104" s="2" t="s">
        <v>1711</v>
      </c>
      <c r="N104" s="2">
        <v>0.2</v>
      </c>
      <c r="O104" s="2">
        <v>122931.59999999999</v>
      </c>
      <c r="P104" s="2" t="str">
        <f t="shared" si="0"/>
        <v>High</v>
      </c>
    </row>
    <row r="105" spans="1:16" ht="14.25" customHeight="1" x14ac:dyDescent="0.5">
      <c r="A105" s="2" t="s">
        <v>436</v>
      </c>
      <c r="B105" s="2" t="s">
        <v>1871</v>
      </c>
      <c r="C105" s="2" t="s">
        <v>1709</v>
      </c>
      <c r="D105" s="2" t="s">
        <v>75</v>
      </c>
      <c r="E105" s="2" t="s">
        <v>1872</v>
      </c>
      <c r="F105" s="2">
        <v>114027</v>
      </c>
      <c r="G105" s="2" t="s">
        <v>36</v>
      </c>
      <c r="H105" s="2" t="s">
        <v>1699</v>
      </c>
      <c r="I105" s="2" t="s">
        <v>1673</v>
      </c>
      <c r="J105" s="2" t="s">
        <v>439</v>
      </c>
      <c r="K105" s="2" t="s">
        <v>1691</v>
      </c>
      <c r="L105" s="2" t="s">
        <v>1692</v>
      </c>
      <c r="M105" s="2" t="s">
        <v>1750</v>
      </c>
      <c r="N105" s="2">
        <v>0.1</v>
      </c>
      <c r="O105" s="2">
        <v>125429.70000000001</v>
      </c>
      <c r="P105" s="2" t="str">
        <f t="shared" si="0"/>
        <v>High</v>
      </c>
    </row>
    <row r="106" spans="1:16" ht="14.25" customHeight="1" x14ac:dyDescent="0.5">
      <c r="A106" s="2" t="s">
        <v>440</v>
      </c>
      <c r="B106" s="2" t="s">
        <v>1723</v>
      </c>
      <c r="C106" s="2" t="s">
        <v>1724</v>
      </c>
      <c r="D106" s="2" t="s">
        <v>34</v>
      </c>
      <c r="E106" s="2" t="s">
        <v>1873</v>
      </c>
      <c r="F106" s="2">
        <v>40138</v>
      </c>
      <c r="G106" s="2" t="s">
        <v>44</v>
      </c>
      <c r="H106" s="2" t="s">
        <v>1680</v>
      </c>
      <c r="I106" s="2" t="s">
        <v>1685</v>
      </c>
      <c r="J106" s="2" t="s">
        <v>442</v>
      </c>
      <c r="K106" s="2" t="s">
        <v>1691</v>
      </c>
      <c r="L106" s="2" t="s">
        <v>1692</v>
      </c>
      <c r="M106" s="2" t="s">
        <v>1676</v>
      </c>
      <c r="N106" s="2">
        <v>0.05</v>
      </c>
      <c r="O106" s="2">
        <v>42144.9</v>
      </c>
      <c r="P106" s="2" t="str">
        <f t="shared" si="0"/>
        <v>Normal</v>
      </c>
    </row>
    <row r="107" spans="1:16" ht="14.25" customHeight="1" x14ac:dyDescent="0.5">
      <c r="A107" s="2" t="s">
        <v>443</v>
      </c>
      <c r="B107" s="2" t="s">
        <v>1869</v>
      </c>
      <c r="C107" s="2" t="s">
        <v>1785</v>
      </c>
      <c r="D107" s="2" t="s">
        <v>50</v>
      </c>
      <c r="E107" s="2" t="s">
        <v>1874</v>
      </c>
      <c r="F107" s="2">
        <v>40358</v>
      </c>
      <c r="G107" s="2" t="s">
        <v>17</v>
      </c>
      <c r="H107" s="2" t="s">
        <v>45</v>
      </c>
      <c r="I107" s="2" t="s">
        <v>1673</v>
      </c>
      <c r="J107" s="2" t="s">
        <v>445</v>
      </c>
      <c r="K107" s="2" t="s">
        <v>1691</v>
      </c>
      <c r="L107" s="2" t="s">
        <v>1692</v>
      </c>
      <c r="M107" s="2" t="s">
        <v>1693</v>
      </c>
      <c r="N107" s="2">
        <v>0.2</v>
      </c>
      <c r="O107" s="2">
        <v>48429.599999999999</v>
      </c>
      <c r="P107" s="2" t="str">
        <f t="shared" si="0"/>
        <v>Normal</v>
      </c>
    </row>
    <row r="108" spans="1:16" ht="14.25" customHeight="1" x14ac:dyDescent="0.5">
      <c r="A108" s="2" t="s">
        <v>446</v>
      </c>
      <c r="B108" s="2" t="s">
        <v>1670</v>
      </c>
      <c r="C108" s="2" t="s">
        <v>1671</v>
      </c>
      <c r="D108" s="2" t="s">
        <v>34</v>
      </c>
      <c r="E108" s="2" t="s">
        <v>1875</v>
      </c>
      <c r="F108" s="2">
        <v>115250</v>
      </c>
      <c r="G108" s="2" t="s">
        <v>57</v>
      </c>
      <c r="H108" s="2" t="s">
        <v>1680</v>
      </c>
      <c r="I108" s="2" t="s">
        <v>1685</v>
      </c>
      <c r="J108" s="2" t="s">
        <v>448</v>
      </c>
      <c r="K108" s="2" t="s">
        <v>1706</v>
      </c>
      <c r="L108" s="2" t="s">
        <v>1707</v>
      </c>
      <c r="M108" s="2" t="s">
        <v>1676</v>
      </c>
      <c r="N108" s="2">
        <v>0.2</v>
      </c>
      <c r="O108" s="2">
        <v>138300</v>
      </c>
      <c r="P108" s="2" t="str">
        <f t="shared" si="0"/>
        <v>High</v>
      </c>
    </row>
    <row r="109" spans="1:16" ht="14.25" customHeight="1" x14ac:dyDescent="0.5">
      <c r="A109" s="2" t="s">
        <v>449</v>
      </c>
      <c r="B109" s="2" t="s">
        <v>1720</v>
      </c>
      <c r="C109" s="2" t="s">
        <v>1733</v>
      </c>
      <c r="D109" s="2" t="s">
        <v>34</v>
      </c>
      <c r="E109" s="2" t="s">
        <v>1876</v>
      </c>
      <c r="F109" s="2">
        <v>70654</v>
      </c>
      <c r="G109" s="2" t="s">
        <v>83</v>
      </c>
      <c r="H109" s="2" t="s">
        <v>45</v>
      </c>
      <c r="I109" s="2" t="s">
        <v>77</v>
      </c>
      <c r="J109" s="2" t="s">
        <v>451</v>
      </c>
      <c r="K109" s="2" t="s">
        <v>1706</v>
      </c>
      <c r="L109" s="2" t="s">
        <v>1707</v>
      </c>
      <c r="M109" s="2" t="s">
        <v>1700</v>
      </c>
      <c r="N109" s="2">
        <v>0.05</v>
      </c>
      <c r="O109" s="2">
        <v>74186.7</v>
      </c>
      <c r="P109" s="2" t="str">
        <f t="shared" si="0"/>
        <v>Normal</v>
      </c>
    </row>
    <row r="110" spans="1:16" ht="14.25" customHeight="1" x14ac:dyDescent="0.5">
      <c r="A110" s="2" t="s">
        <v>452</v>
      </c>
      <c r="B110" s="2" t="s">
        <v>1877</v>
      </c>
      <c r="C110" s="2" t="s">
        <v>1733</v>
      </c>
      <c r="D110" s="2" t="s">
        <v>34</v>
      </c>
      <c r="E110" s="2" t="s">
        <v>1878</v>
      </c>
      <c r="F110" s="2">
        <v>65879</v>
      </c>
      <c r="G110" s="2" t="s">
        <v>17</v>
      </c>
      <c r="H110" s="2" t="s">
        <v>45</v>
      </c>
      <c r="I110" s="2" t="s">
        <v>77</v>
      </c>
      <c r="J110" s="2" t="s">
        <v>455</v>
      </c>
      <c r="K110" s="2" t="s">
        <v>1674</v>
      </c>
      <c r="L110" s="2" t="s">
        <v>1675</v>
      </c>
      <c r="M110" s="2" t="s">
        <v>1750</v>
      </c>
      <c r="N110" s="2">
        <v>0.2</v>
      </c>
      <c r="O110" s="2">
        <v>79054.8</v>
      </c>
      <c r="P110" s="2" t="str">
        <f t="shared" si="0"/>
        <v>Normal</v>
      </c>
    </row>
    <row r="111" spans="1:16" ht="14.25" customHeight="1" x14ac:dyDescent="0.5">
      <c r="A111" s="2" t="s">
        <v>456</v>
      </c>
      <c r="B111" s="2" t="s">
        <v>1708</v>
      </c>
      <c r="C111" s="2" t="s">
        <v>1785</v>
      </c>
      <c r="D111" s="2" t="s">
        <v>42</v>
      </c>
      <c r="E111" s="2" t="s">
        <v>1766</v>
      </c>
      <c r="F111" s="2">
        <v>95778</v>
      </c>
      <c r="G111" s="2" t="s">
        <v>83</v>
      </c>
      <c r="H111" s="2" t="s">
        <v>1680</v>
      </c>
      <c r="I111" s="2" t="s">
        <v>1673</v>
      </c>
      <c r="J111" s="2" t="s">
        <v>458</v>
      </c>
      <c r="K111" s="2" t="s">
        <v>1691</v>
      </c>
      <c r="L111" s="2" t="s">
        <v>1692</v>
      </c>
      <c r="M111" s="2" t="s">
        <v>1676</v>
      </c>
      <c r="N111" s="2">
        <v>0.05</v>
      </c>
      <c r="O111" s="2">
        <v>100566.90000000001</v>
      </c>
      <c r="P111" s="2" t="str">
        <f t="shared" si="0"/>
        <v>High</v>
      </c>
    </row>
    <row r="112" spans="1:16" ht="14.25" customHeight="1" x14ac:dyDescent="0.5">
      <c r="A112" s="2" t="s">
        <v>459</v>
      </c>
      <c r="B112" s="2" t="s">
        <v>1774</v>
      </c>
      <c r="C112" s="2" t="s">
        <v>1733</v>
      </c>
      <c r="D112" s="2" t="s">
        <v>75</v>
      </c>
      <c r="E112" s="2" t="s">
        <v>1879</v>
      </c>
      <c r="F112" s="2">
        <v>77772</v>
      </c>
      <c r="G112" s="2" t="s">
        <v>17</v>
      </c>
      <c r="H112" s="2" t="s">
        <v>45</v>
      </c>
      <c r="I112" s="2" t="s">
        <v>77</v>
      </c>
      <c r="J112" s="2" t="s">
        <v>461</v>
      </c>
      <c r="K112" s="2" t="s">
        <v>1691</v>
      </c>
      <c r="L112" s="2" t="s">
        <v>1692</v>
      </c>
      <c r="M112" s="2" t="s">
        <v>1693</v>
      </c>
      <c r="N112" s="2">
        <v>0.2</v>
      </c>
      <c r="O112" s="2">
        <v>93326.399999999994</v>
      </c>
      <c r="P112" s="2" t="str">
        <f t="shared" si="0"/>
        <v>Normal</v>
      </c>
    </row>
    <row r="113" spans="1:16" ht="14.25" customHeight="1" x14ac:dyDescent="0.5">
      <c r="A113" s="2" t="s">
        <v>462</v>
      </c>
      <c r="B113" s="2" t="s">
        <v>1739</v>
      </c>
      <c r="C113" s="2" t="s">
        <v>1678</v>
      </c>
      <c r="D113" s="2" t="s">
        <v>50</v>
      </c>
      <c r="E113" s="2" t="s">
        <v>1880</v>
      </c>
      <c r="F113" s="2">
        <v>98478</v>
      </c>
      <c r="G113" s="2" t="s">
        <v>17</v>
      </c>
      <c r="H113" s="2" t="s">
        <v>1699</v>
      </c>
      <c r="I113" s="2" t="s">
        <v>77</v>
      </c>
      <c r="J113" s="2" t="s">
        <v>464</v>
      </c>
      <c r="K113" s="2" t="s">
        <v>1691</v>
      </c>
      <c r="L113" s="2" t="s">
        <v>1692</v>
      </c>
      <c r="M113" s="2" t="s">
        <v>1688</v>
      </c>
      <c r="N113" s="2">
        <v>0.05</v>
      </c>
      <c r="O113" s="2">
        <v>103401.90000000001</v>
      </c>
      <c r="P113" s="2" t="str">
        <f t="shared" si="0"/>
        <v>High</v>
      </c>
    </row>
    <row r="114" spans="1:16" ht="14.25" customHeight="1" x14ac:dyDescent="0.5">
      <c r="A114" s="2" t="s">
        <v>465</v>
      </c>
      <c r="B114" s="2" t="s">
        <v>1682</v>
      </c>
      <c r="C114" s="2" t="s">
        <v>1671</v>
      </c>
      <c r="D114" s="2" t="s">
        <v>75</v>
      </c>
      <c r="E114" s="2" t="s">
        <v>1881</v>
      </c>
      <c r="F114" s="2">
        <v>104353</v>
      </c>
      <c r="G114" s="2" t="s">
        <v>36</v>
      </c>
      <c r="H114" s="2" t="s">
        <v>1680</v>
      </c>
      <c r="I114" s="2" t="s">
        <v>1685</v>
      </c>
      <c r="J114" s="2" t="s">
        <v>467</v>
      </c>
      <c r="K114" s="2" t="s">
        <v>1686</v>
      </c>
      <c r="L114" s="2" t="s">
        <v>1687</v>
      </c>
      <c r="M114" s="2" t="s">
        <v>1700</v>
      </c>
      <c r="N114" s="2">
        <v>0.1</v>
      </c>
      <c r="O114" s="2">
        <v>114788.3</v>
      </c>
      <c r="P114" s="2" t="str">
        <f t="shared" si="0"/>
        <v>High</v>
      </c>
    </row>
    <row r="115" spans="1:16" ht="14.25" customHeight="1" x14ac:dyDescent="0.5">
      <c r="A115" s="2" t="s">
        <v>468</v>
      </c>
      <c r="B115" s="2" t="s">
        <v>1689</v>
      </c>
      <c r="C115" s="2" t="s">
        <v>1717</v>
      </c>
      <c r="D115" s="2" t="s">
        <v>69</v>
      </c>
      <c r="E115" s="2" t="s">
        <v>1882</v>
      </c>
      <c r="F115" s="2">
        <v>66762</v>
      </c>
      <c r="G115" s="2" t="s">
        <v>57</v>
      </c>
      <c r="H115" s="2" t="s">
        <v>1699</v>
      </c>
      <c r="I115" s="2" t="s">
        <v>77</v>
      </c>
      <c r="J115" s="2" t="s">
        <v>470</v>
      </c>
      <c r="K115" s="2" t="s">
        <v>1674</v>
      </c>
      <c r="L115" s="2" t="s">
        <v>1675</v>
      </c>
      <c r="M115" s="2" t="s">
        <v>1688</v>
      </c>
      <c r="N115" s="2">
        <v>0.2</v>
      </c>
      <c r="O115" s="2">
        <v>80114.399999999994</v>
      </c>
      <c r="P115" s="2" t="str">
        <f t="shared" si="0"/>
        <v>Normal</v>
      </c>
    </row>
    <row r="116" spans="1:16" ht="14.25" customHeight="1" x14ac:dyDescent="0.5">
      <c r="A116" s="2" t="s">
        <v>471</v>
      </c>
      <c r="B116" s="2" t="s">
        <v>1741</v>
      </c>
      <c r="C116" s="2" t="s">
        <v>1733</v>
      </c>
      <c r="D116" s="2" t="s">
        <v>69</v>
      </c>
      <c r="E116" s="2" t="s">
        <v>1883</v>
      </c>
      <c r="F116" s="2">
        <v>53283</v>
      </c>
      <c r="G116" s="2" t="s">
        <v>57</v>
      </c>
      <c r="H116" s="2" t="s">
        <v>45</v>
      </c>
      <c r="I116" s="2" t="s">
        <v>77</v>
      </c>
      <c r="J116" s="2" t="s">
        <v>473</v>
      </c>
      <c r="K116" s="2" t="s">
        <v>1691</v>
      </c>
      <c r="L116" s="2" t="s">
        <v>1692</v>
      </c>
      <c r="M116" s="2" t="s">
        <v>1711</v>
      </c>
      <c r="N116" s="2">
        <v>0.1</v>
      </c>
      <c r="O116" s="2">
        <v>58611.3</v>
      </c>
      <c r="P116" s="2" t="str">
        <f t="shared" si="0"/>
        <v>Normal</v>
      </c>
    </row>
    <row r="117" spans="1:16" ht="14.25" customHeight="1" x14ac:dyDescent="0.5">
      <c r="A117" s="2" t="s">
        <v>474</v>
      </c>
      <c r="B117" s="2" t="s">
        <v>1884</v>
      </c>
      <c r="C117" s="2" t="s">
        <v>1724</v>
      </c>
      <c r="D117" s="2" t="s">
        <v>69</v>
      </c>
      <c r="E117" s="2" t="s">
        <v>1885</v>
      </c>
      <c r="F117" s="2">
        <v>103922</v>
      </c>
      <c r="G117" s="2" t="s">
        <v>17</v>
      </c>
      <c r="H117" s="2" t="s">
        <v>1699</v>
      </c>
      <c r="I117" s="2" t="s">
        <v>1673</v>
      </c>
      <c r="J117" s="2" t="s">
        <v>477</v>
      </c>
      <c r="K117" s="2" t="s">
        <v>1691</v>
      </c>
      <c r="L117" s="2" t="s">
        <v>1692</v>
      </c>
      <c r="M117" s="2" t="s">
        <v>1688</v>
      </c>
      <c r="N117" s="2">
        <v>0.2</v>
      </c>
      <c r="O117" s="2">
        <v>124706.4</v>
      </c>
      <c r="P117" s="2" t="str">
        <f t="shared" si="0"/>
        <v>High</v>
      </c>
    </row>
    <row r="118" spans="1:16" ht="14.25" customHeight="1" x14ac:dyDescent="0.5">
      <c r="A118" s="2" t="s">
        <v>478</v>
      </c>
      <c r="B118" s="2" t="s">
        <v>1791</v>
      </c>
      <c r="C118" s="2" t="s">
        <v>1678</v>
      </c>
      <c r="D118" s="2" t="s">
        <v>15</v>
      </c>
      <c r="E118" s="2" t="s">
        <v>1886</v>
      </c>
      <c r="F118" s="2">
        <v>79420</v>
      </c>
      <c r="G118" s="2" t="s">
        <v>44</v>
      </c>
      <c r="H118" s="2" t="s">
        <v>1680</v>
      </c>
      <c r="I118" s="2" t="s">
        <v>1673</v>
      </c>
      <c r="J118" s="2" t="s">
        <v>480</v>
      </c>
      <c r="K118" s="2" t="s">
        <v>1691</v>
      </c>
      <c r="L118" s="2" t="s">
        <v>1692</v>
      </c>
      <c r="M118" s="2" t="s">
        <v>1688</v>
      </c>
      <c r="N118" s="2">
        <v>0.2</v>
      </c>
      <c r="O118" s="2">
        <v>95304</v>
      </c>
      <c r="P118" s="2" t="str">
        <f t="shared" si="0"/>
        <v>Normal</v>
      </c>
    </row>
    <row r="119" spans="1:16" ht="14.25" customHeight="1" x14ac:dyDescent="0.5">
      <c r="A119" s="2" t="s">
        <v>481</v>
      </c>
      <c r="B119" s="2" t="s">
        <v>1887</v>
      </c>
      <c r="C119" s="2" t="s">
        <v>1733</v>
      </c>
      <c r="D119" s="2" t="s">
        <v>34</v>
      </c>
      <c r="E119" s="2" t="s">
        <v>1888</v>
      </c>
      <c r="F119" s="2">
        <v>95568</v>
      </c>
      <c r="G119" s="2" t="s">
        <v>44</v>
      </c>
      <c r="H119" s="2" t="s">
        <v>45</v>
      </c>
      <c r="I119" s="2" t="s">
        <v>77</v>
      </c>
      <c r="J119" s="2" t="s">
        <v>484</v>
      </c>
      <c r="K119" s="2" t="s">
        <v>1686</v>
      </c>
      <c r="L119" s="2" t="s">
        <v>1687</v>
      </c>
      <c r="M119" s="2" t="s">
        <v>1719</v>
      </c>
      <c r="N119" s="2">
        <v>0.15</v>
      </c>
      <c r="O119" s="2">
        <v>109903.2</v>
      </c>
      <c r="P119" s="2" t="str">
        <f t="shared" si="0"/>
        <v>High</v>
      </c>
    </row>
    <row r="120" spans="1:16" ht="14.25" customHeight="1" x14ac:dyDescent="0.5">
      <c r="A120" s="2" t="s">
        <v>485</v>
      </c>
      <c r="B120" s="2" t="s">
        <v>1765</v>
      </c>
      <c r="C120" s="2" t="s">
        <v>1678</v>
      </c>
      <c r="D120" s="2" t="s">
        <v>15</v>
      </c>
      <c r="E120" s="2" t="s">
        <v>1889</v>
      </c>
      <c r="F120" s="2">
        <v>60219</v>
      </c>
      <c r="G120" s="2" t="s">
        <v>83</v>
      </c>
      <c r="H120" s="2" t="s">
        <v>1699</v>
      </c>
      <c r="I120" s="2" t="s">
        <v>77</v>
      </c>
      <c r="J120" s="2" t="s">
        <v>487</v>
      </c>
      <c r="K120" s="2" t="s">
        <v>1686</v>
      </c>
      <c r="L120" s="2" t="s">
        <v>1687</v>
      </c>
      <c r="M120" s="2" t="s">
        <v>1700</v>
      </c>
      <c r="N120" s="2">
        <v>0.05</v>
      </c>
      <c r="O120" s="2">
        <v>63229.950000000004</v>
      </c>
      <c r="P120" s="2" t="str">
        <f t="shared" si="0"/>
        <v>Normal</v>
      </c>
    </row>
    <row r="121" spans="1:16" ht="14.25" customHeight="1" x14ac:dyDescent="0.5">
      <c r="A121" s="2" t="s">
        <v>488</v>
      </c>
      <c r="B121" s="2" t="s">
        <v>1728</v>
      </c>
      <c r="C121" s="2" t="s">
        <v>1721</v>
      </c>
      <c r="D121" s="2" t="s">
        <v>42</v>
      </c>
      <c r="E121" s="2" t="s">
        <v>1890</v>
      </c>
      <c r="F121" s="2">
        <v>97169</v>
      </c>
      <c r="G121" s="2" t="s">
        <v>83</v>
      </c>
      <c r="H121" s="2" t="s">
        <v>1680</v>
      </c>
      <c r="I121" s="2" t="s">
        <v>1681</v>
      </c>
      <c r="J121" s="2" t="s">
        <v>490</v>
      </c>
      <c r="K121" s="2" t="s">
        <v>1706</v>
      </c>
      <c r="L121" s="2" t="s">
        <v>1707</v>
      </c>
      <c r="M121" s="2" t="s">
        <v>1711</v>
      </c>
      <c r="N121" s="2">
        <v>0.1</v>
      </c>
      <c r="O121" s="2">
        <v>106885.90000000001</v>
      </c>
      <c r="P121" s="2" t="str">
        <f t="shared" si="0"/>
        <v>High</v>
      </c>
    </row>
    <row r="122" spans="1:16" ht="14.25" customHeight="1" x14ac:dyDescent="0.5">
      <c r="A122" s="2" t="s">
        <v>491</v>
      </c>
      <c r="B122" s="2" t="s">
        <v>1891</v>
      </c>
      <c r="C122" s="2" t="s">
        <v>1717</v>
      </c>
      <c r="D122" s="2" t="s">
        <v>69</v>
      </c>
      <c r="E122" s="2" t="s">
        <v>1892</v>
      </c>
      <c r="F122" s="2">
        <v>114965</v>
      </c>
      <c r="G122" s="2" t="s">
        <v>36</v>
      </c>
      <c r="H122" s="2" t="s">
        <v>1680</v>
      </c>
      <c r="I122" s="2" t="s">
        <v>1685</v>
      </c>
      <c r="J122" s="2" t="s">
        <v>494</v>
      </c>
      <c r="K122" s="2" t="s">
        <v>1674</v>
      </c>
      <c r="L122" s="2" t="s">
        <v>1675</v>
      </c>
      <c r="M122" s="2" t="s">
        <v>1688</v>
      </c>
      <c r="N122" s="2">
        <v>0.1</v>
      </c>
      <c r="O122" s="2">
        <v>126461.50000000001</v>
      </c>
      <c r="P122" s="2" t="str">
        <f t="shared" si="0"/>
        <v>High</v>
      </c>
    </row>
    <row r="123" spans="1:16" ht="14.25" customHeight="1" x14ac:dyDescent="0.5">
      <c r="A123" s="2" t="s">
        <v>495</v>
      </c>
      <c r="B123" s="2" t="s">
        <v>1697</v>
      </c>
      <c r="C123" s="2" t="s">
        <v>1694</v>
      </c>
      <c r="D123" s="2" t="s">
        <v>50</v>
      </c>
      <c r="E123" s="2" t="s">
        <v>1893</v>
      </c>
      <c r="F123" s="2">
        <v>86840</v>
      </c>
      <c r="G123" s="2" t="s">
        <v>17</v>
      </c>
      <c r="H123" s="2" t="s">
        <v>45</v>
      </c>
      <c r="I123" s="2" t="s">
        <v>1685</v>
      </c>
      <c r="J123" s="2" t="s">
        <v>497</v>
      </c>
      <c r="K123" s="2" t="s">
        <v>1706</v>
      </c>
      <c r="L123" s="2" t="s">
        <v>1707</v>
      </c>
      <c r="M123" s="2" t="s">
        <v>1696</v>
      </c>
      <c r="N123" s="2">
        <v>0.1</v>
      </c>
      <c r="O123" s="2">
        <v>95524.000000000015</v>
      </c>
      <c r="P123" s="2" t="str">
        <f t="shared" si="0"/>
        <v>Normal</v>
      </c>
    </row>
    <row r="124" spans="1:16" ht="14.25" customHeight="1" x14ac:dyDescent="0.5">
      <c r="A124" s="2" t="s">
        <v>498</v>
      </c>
      <c r="B124" s="2" t="s">
        <v>1831</v>
      </c>
      <c r="C124" s="2" t="s">
        <v>1724</v>
      </c>
      <c r="D124" s="2" t="s">
        <v>75</v>
      </c>
      <c r="E124" s="2" t="s">
        <v>1894</v>
      </c>
      <c r="F124" s="2">
        <v>84695</v>
      </c>
      <c r="G124" s="2" t="s">
        <v>83</v>
      </c>
      <c r="H124" s="2" t="s">
        <v>45</v>
      </c>
      <c r="I124" s="2" t="s">
        <v>77</v>
      </c>
      <c r="J124" s="2" t="s">
        <v>500</v>
      </c>
      <c r="K124" s="2" t="s">
        <v>1674</v>
      </c>
      <c r="L124" s="2" t="s">
        <v>1675</v>
      </c>
      <c r="M124" s="2" t="s">
        <v>1750</v>
      </c>
      <c r="N124" s="2">
        <v>0.05</v>
      </c>
      <c r="O124" s="2">
        <v>88929.75</v>
      </c>
      <c r="P124" s="2" t="str">
        <f t="shared" si="0"/>
        <v>Normal</v>
      </c>
    </row>
    <row r="125" spans="1:16" ht="14.25" customHeight="1" x14ac:dyDescent="0.5">
      <c r="A125" s="2" t="s">
        <v>501</v>
      </c>
      <c r="B125" s="2" t="s">
        <v>1895</v>
      </c>
      <c r="C125" s="2" t="s">
        <v>1724</v>
      </c>
      <c r="D125" s="2" t="s">
        <v>34</v>
      </c>
      <c r="E125" s="2" t="s">
        <v>1896</v>
      </c>
      <c r="F125" s="2">
        <v>117988</v>
      </c>
      <c r="G125" s="2" t="s">
        <v>83</v>
      </c>
      <c r="H125" s="2" t="s">
        <v>1699</v>
      </c>
      <c r="I125" s="2" t="s">
        <v>1681</v>
      </c>
      <c r="J125" s="2" t="s">
        <v>504</v>
      </c>
      <c r="K125" s="2" t="s">
        <v>1686</v>
      </c>
      <c r="L125" s="2" t="s">
        <v>1687</v>
      </c>
      <c r="M125" s="2" t="s">
        <v>1693</v>
      </c>
      <c r="N125" s="2">
        <v>0.15</v>
      </c>
      <c r="O125" s="2">
        <v>135686.19999999998</v>
      </c>
      <c r="P125" s="2" t="str">
        <f t="shared" si="0"/>
        <v>High</v>
      </c>
    </row>
    <row r="126" spans="1:16" ht="14.25" customHeight="1" x14ac:dyDescent="0.5">
      <c r="A126" s="2" t="s">
        <v>505</v>
      </c>
      <c r="B126" s="2" t="s">
        <v>1884</v>
      </c>
      <c r="C126" s="2" t="s">
        <v>1671</v>
      </c>
      <c r="D126" s="2" t="s">
        <v>100</v>
      </c>
      <c r="E126" s="2" t="s">
        <v>1897</v>
      </c>
      <c r="F126" s="2">
        <v>98342</v>
      </c>
      <c r="G126" s="2" t="s">
        <v>17</v>
      </c>
      <c r="H126" s="2" t="s">
        <v>45</v>
      </c>
      <c r="I126" s="2" t="s">
        <v>1673</v>
      </c>
      <c r="J126" s="2" t="s">
        <v>507</v>
      </c>
      <c r="K126" s="2" t="s">
        <v>1691</v>
      </c>
      <c r="L126" s="2" t="s">
        <v>1692</v>
      </c>
      <c r="M126" s="2" t="s">
        <v>1688</v>
      </c>
      <c r="N126" s="2">
        <v>0.1</v>
      </c>
      <c r="O126" s="2">
        <v>108176.20000000001</v>
      </c>
      <c r="P126" s="2" t="str">
        <f t="shared" si="0"/>
        <v>High</v>
      </c>
    </row>
    <row r="127" spans="1:16" ht="14.25" customHeight="1" x14ac:dyDescent="0.5">
      <c r="A127" s="2" t="s">
        <v>508</v>
      </c>
      <c r="B127" s="2" t="s">
        <v>1753</v>
      </c>
      <c r="C127" s="2" t="s">
        <v>1678</v>
      </c>
      <c r="D127" s="2" t="s">
        <v>50</v>
      </c>
      <c r="E127" s="2" t="s">
        <v>1898</v>
      </c>
      <c r="F127" s="2">
        <v>58951</v>
      </c>
      <c r="G127" s="2" t="s">
        <v>36</v>
      </c>
      <c r="H127" s="2" t="s">
        <v>1680</v>
      </c>
      <c r="I127" s="2" t="s">
        <v>1703</v>
      </c>
      <c r="J127" s="2" t="s">
        <v>510</v>
      </c>
      <c r="K127" s="2" t="s">
        <v>1706</v>
      </c>
      <c r="L127" s="2" t="s">
        <v>1707</v>
      </c>
      <c r="M127" s="2" t="s">
        <v>1711</v>
      </c>
      <c r="N127" s="2">
        <v>0.05</v>
      </c>
      <c r="O127" s="2">
        <v>61898.55</v>
      </c>
      <c r="P127" s="2" t="str">
        <f t="shared" si="0"/>
        <v>Normal</v>
      </c>
    </row>
    <row r="128" spans="1:16" ht="14.25" customHeight="1" x14ac:dyDescent="0.5">
      <c r="A128" s="2" t="s">
        <v>511</v>
      </c>
      <c r="B128" s="2" t="s">
        <v>1831</v>
      </c>
      <c r="C128" s="2" t="s">
        <v>1785</v>
      </c>
      <c r="D128" s="2" t="s">
        <v>34</v>
      </c>
      <c r="E128" s="2" t="s">
        <v>1899</v>
      </c>
      <c r="F128" s="2">
        <v>41307</v>
      </c>
      <c r="G128" s="2" t="s">
        <v>83</v>
      </c>
      <c r="H128" s="2" t="s">
        <v>1699</v>
      </c>
      <c r="I128" s="2" t="s">
        <v>1703</v>
      </c>
      <c r="J128" s="2" t="s">
        <v>513</v>
      </c>
      <c r="K128" s="2" t="s">
        <v>1691</v>
      </c>
      <c r="L128" s="2" t="s">
        <v>1692</v>
      </c>
      <c r="M128" s="2" t="s">
        <v>1688</v>
      </c>
      <c r="N128" s="2">
        <v>0.2</v>
      </c>
      <c r="O128" s="2">
        <v>49568.4</v>
      </c>
      <c r="P128" s="2" t="str">
        <f t="shared" si="0"/>
        <v>Normal</v>
      </c>
    </row>
    <row r="129" spans="1:16" ht="14.25" customHeight="1" x14ac:dyDescent="0.5">
      <c r="A129" s="2" t="s">
        <v>514</v>
      </c>
      <c r="B129" s="2" t="s">
        <v>1871</v>
      </c>
      <c r="C129" s="2" t="s">
        <v>1724</v>
      </c>
      <c r="D129" s="2" t="s">
        <v>15</v>
      </c>
      <c r="E129" s="2" t="s">
        <v>1900</v>
      </c>
      <c r="F129" s="2">
        <v>75428</v>
      </c>
      <c r="G129" s="2" t="s">
        <v>36</v>
      </c>
      <c r="H129" s="2" t="s">
        <v>45</v>
      </c>
      <c r="I129" s="2" t="s">
        <v>77</v>
      </c>
      <c r="J129" s="2" t="s">
        <v>516</v>
      </c>
      <c r="K129" s="2" t="s">
        <v>1706</v>
      </c>
      <c r="L129" s="2" t="s">
        <v>1707</v>
      </c>
      <c r="M129" s="2" t="s">
        <v>1693</v>
      </c>
      <c r="N129" s="2">
        <v>0.1</v>
      </c>
      <c r="O129" s="2">
        <v>82970.8</v>
      </c>
      <c r="P129" s="2" t="str">
        <f t="shared" si="0"/>
        <v>Normal</v>
      </c>
    </row>
    <row r="130" spans="1:16" ht="14.25" customHeight="1" x14ac:dyDescent="0.5">
      <c r="A130" s="2" t="s">
        <v>517</v>
      </c>
      <c r="B130" s="2" t="s">
        <v>1728</v>
      </c>
      <c r="C130" s="2" t="s">
        <v>1678</v>
      </c>
      <c r="D130" s="2" t="s">
        <v>15</v>
      </c>
      <c r="E130" s="2" t="s">
        <v>1901</v>
      </c>
      <c r="F130" s="2">
        <v>115774</v>
      </c>
      <c r="G130" s="2" t="s">
        <v>57</v>
      </c>
      <c r="H130" s="2" t="s">
        <v>1699</v>
      </c>
      <c r="I130" s="2" t="s">
        <v>1681</v>
      </c>
      <c r="J130" s="2" t="s">
        <v>519</v>
      </c>
      <c r="K130" s="2" t="s">
        <v>1686</v>
      </c>
      <c r="L130" s="2" t="s">
        <v>1687</v>
      </c>
      <c r="M130" s="2" t="s">
        <v>1711</v>
      </c>
      <c r="N130" s="2">
        <v>0.1</v>
      </c>
      <c r="O130" s="2">
        <v>127351.40000000001</v>
      </c>
      <c r="P130" s="2" t="str">
        <f t="shared" si="0"/>
        <v>High</v>
      </c>
    </row>
    <row r="131" spans="1:16" ht="14.25" customHeight="1" x14ac:dyDescent="0.5">
      <c r="A131" s="2" t="s">
        <v>520</v>
      </c>
      <c r="B131" s="2" t="s">
        <v>1739</v>
      </c>
      <c r="C131" s="2" t="s">
        <v>1678</v>
      </c>
      <c r="D131" s="2" t="s">
        <v>50</v>
      </c>
      <c r="E131" s="2" t="s">
        <v>1902</v>
      </c>
      <c r="F131" s="2">
        <v>78975</v>
      </c>
      <c r="G131" s="2" t="s">
        <v>36</v>
      </c>
      <c r="H131" s="2" t="s">
        <v>1680</v>
      </c>
      <c r="I131" s="2" t="s">
        <v>1681</v>
      </c>
      <c r="J131" s="2" t="s">
        <v>522</v>
      </c>
      <c r="K131" s="2" t="s">
        <v>1686</v>
      </c>
      <c r="L131" s="2" t="s">
        <v>1687</v>
      </c>
      <c r="M131" s="2" t="s">
        <v>1700</v>
      </c>
      <c r="N131" s="2">
        <v>0.15</v>
      </c>
      <c r="O131" s="2">
        <v>90821.25</v>
      </c>
      <c r="P131" s="2" t="str">
        <f t="shared" si="0"/>
        <v>Normal</v>
      </c>
    </row>
    <row r="132" spans="1:16" ht="14.25" customHeight="1" x14ac:dyDescent="0.5">
      <c r="A132" s="2" t="s">
        <v>523</v>
      </c>
      <c r="B132" s="2" t="s">
        <v>1903</v>
      </c>
      <c r="C132" s="2" t="s">
        <v>1683</v>
      </c>
      <c r="D132" s="2" t="s">
        <v>15</v>
      </c>
      <c r="E132" s="2" t="s">
        <v>1904</v>
      </c>
      <c r="F132" s="2">
        <v>41140</v>
      </c>
      <c r="G132" s="2" t="s">
        <v>44</v>
      </c>
      <c r="H132" s="2" t="s">
        <v>45</v>
      </c>
      <c r="I132" s="2" t="s">
        <v>1685</v>
      </c>
      <c r="J132" s="2" t="s">
        <v>526</v>
      </c>
      <c r="K132" s="2" t="s">
        <v>1686</v>
      </c>
      <c r="L132" s="2" t="s">
        <v>1687</v>
      </c>
      <c r="M132" s="2" t="s">
        <v>1711</v>
      </c>
      <c r="N132" s="2">
        <v>0.1</v>
      </c>
      <c r="O132" s="2">
        <v>45254.000000000007</v>
      </c>
      <c r="P132" s="2" t="str">
        <f t="shared" si="0"/>
        <v>Normal</v>
      </c>
    </row>
    <row r="133" spans="1:16" ht="14.25" customHeight="1" x14ac:dyDescent="0.5">
      <c r="A133" s="2" t="s">
        <v>527</v>
      </c>
      <c r="B133" s="2" t="s">
        <v>1798</v>
      </c>
      <c r="C133" s="2" t="s">
        <v>1683</v>
      </c>
      <c r="D133" s="2" t="s">
        <v>69</v>
      </c>
      <c r="E133" s="2" t="s">
        <v>1905</v>
      </c>
      <c r="F133" s="2">
        <v>64842</v>
      </c>
      <c r="G133" s="2" t="s">
        <v>44</v>
      </c>
      <c r="H133" s="2" t="s">
        <v>45</v>
      </c>
      <c r="I133" s="2" t="s">
        <v>1673</v>
      </c>
      <c r="J133" s="2" t="s">
        <v>529</v>
      </c>
      <c r="K133" s="2" t="s">
        <v>1706</v>
      </c>
      <c r="L133" s="2" t="s">
        <v>1707</v>
      </c>
      <c r="M133" s="2" t="s">
        <v>1700</v>
      </c>
      <c r="N133" s="2">
        <v>0.1</v>
      </c>
      <c r="O133" s="2">
        <v>71326.200000000012</v>
      </c>
      <c r="P133" s="2" t="str">
        <f t="shared" si="0"/>
        <v>Normal</v>
      </c>
    </row>
    <row r="134" spans="1:16" ht="14.25" customHeight="1" x14ac:dyDescent="0.5">
      <c r="A134" s="2" t="s">
        <v>530</v>
      </c>
      <c r="B134" s="2" t="s">
        <v>1838</v>
      </c>
      <c r="C134" s="2" t="s">
        <v>1694</v>
      </c>
      <c r="D134" s="2" t="s">
        <v>42</v>
      </c>
      <c r="E134" s="2" t="s">
        <v>1906</v>
      </c>
      <c r="F134" s="2">
        <v>66421</v>
      </c>
      <c r="G134" s="2" t="s">
        <v>36</v>
      </c>
      <c r="H134" s="2" t="s">
        <v>1680</v>
      </c>
      <c r="I134" s="2" t="s">
        <v>77</v>
      </c>
      <c r="J134" s="2" t="s">
        <v>532</v>
      </c>
      <c r="K134" s="2" t="s">
        <v>1674</v>
      </c>
      <c r="L134" s="2" t="s">
        <v>1675</v>
      </c>
      <c r="M134" s="2" t="s">
        <v>1711</v>
      </c>
      <c r="N134" s="2">
        <v>0.2</v>
      </c>
      <c r="O134" s="2">
        <v>79705.2</v>
      </c>
      <c r="P134" s="2" t="str">
        <f t="shared" si="0"/>
        <v>Normal</v>
      </c>
    </row>
    <row r="135" spans="1:16" ht="14.25" customHeight="1" x14ac:dyDescent="0.5">
      <c r="A135" s="2" t="s">
        <v>533</v>
      </c>
      <c r="B135" s="2" t="s">
        <v>1809</v>
      </c>
      <c r="C135" s="2" t="s">
        <v>1721</v>
      </c>
      <c r="D135" s="2" t="s">
        <v>75</v>
      </c>
      <c r="E135" s="2" t="s">
        <v>1907</v>
      </c>
      <c r="F135" s="2">
        <v>41708</v>
      </c>
      <c r="G135" s="2" t="s">
        <v>44</v>
      </c>
      <c r="H135" s="2" t="s">
        <v>1680</v>
      </c>
      <c r="I135" s="2" t="s">
        <v>1681</v>
      </c>
      <c r="J135" s="2" t="s">
        <v>535</v>
      </c>
      <c r="K135" s="2" t="s">
        <v>1706</v>
      </c>
      <c r="L135" s="2" t="s">
        <v>1707</v>
      </c>
      <c r="M135" s="2" t="s">
        <v>1696</v>
      </c>
      <c r="N135" s="2">
        <v>0.05</v>
      </c>
      <c r="O135" s="2">
        <v>43793.4</v>
      </c>
      <c r="P135" s="2" t="str">
        <f t="shared" si="0"/>
        <v>Normal</v>
      </c>
    </row>
    <row r="136" spans="1:16" ht="14.25" customHeight="1" x14ac:dyDescent="0.5">
      <c r="A136" s="2" t="s">
        <v>536</v>
      </c>
      <c r="B136" s="2" t="s">
        <v>1802</v>
      </c>
      <c r="C136" s="2" t="s">
        <v>1694</v>
      </c>
      <c r="D136" s="2" t="s">
        <v>42</v>
      </c>
      <c r="E136" s="2" t="s">
        <v>1908</v>
      </c>
      <c r="F136" s="2">
        <v>43630</v>
      </c>
      <c r="G136" s="2" t="s">
        <v>57</v>
      </c>
      <c r="H136" s="2" t="s">
        <v>1680</v>
      </c>
      <c r="I136" s="2" t="s">
        <v>77</v>
      </c>
      <c r="J136" s="2" t="s">
        <v>538</v>
      </c>
      <c r="K136" s="2" t="s">
        <v>1674</v>
      </c>
      <c r="L136" s="2" t="s">
        <v>1675</v>
      </c>
      <c r="M136" s="2" t="s">
        <v>1676</v>
      </c>
      <c r="N136" s="2">
        <v>0.05</v>
      </c>
      <c r="O136" s="2">
        <v>45811.5</v>
      </c>
      <c r="P136" s="2" t="str">
        <f t="shared" si="0"/>
        <v>Normal</v>
      </c>
    </row>
    <row r="137" spans="1:16" ht="14.25" customHeight="1" x14ac:dyDescent="0.5">
      <c r="A137" s="2" t="s">
        <v>539</v>
      </c>
      <c r="B137" s="2" t="s">
        <v>1697</v>
      </c>
      <c r="C137" s="2" t="s">
        <v>1733</v>
      </c>
      <c r="D137" s="2" t="s">
        <v>34</v>
      </c>
      <c r="E137" s="2" t="s">
        <v>1909</v>
      </c>
      <c r="F137" s="2">
        <v>59595</v>
      </c>
      <c r="G137" s="2" t="s">
        <v>17</v>
      </c>
      <c r="H137" s="2" t="s">
        <v>1699</v>
      </c>
      <c r="I137" s="2" t="s">
        <v>1703</v>
      </c>
      <c r="J137" s="2" t="s">
        <v>541</v>
      </c>
      <c r="K137" s="2" t="s">
        <v>1706</v>
      </c>
      <c r="L137" s="2" t="s">
        <v>1707</v>
      </c>
      <c r="M137" s="2" t="s">
        <v>1693</v>
      </c>
      <c r="N137" s="2">
        <v>0.15</v>
      </c>
      <c r="O137" s="2">
        <v>68534.25</v>
      </c>
      <c r="P137" s="2" t="str">
        <f t="shared" si="0"/>
        <v>Normal</v>
      </c>
    </row>
    <row r="138" spans="1:16" ht="14.25" customHeight="1" x14ac:dyDescent="0.5">
      <c r="A138" s="2" t="s">
        <v>542</v>
      </c>
      <c r="B138" s="2" t="s">
        <v>1877</v>
      </c>
      <c r="C138" s="2" t="s">
        <v>1785</v>
      </c>
      <c r="D138" s="2" t="s">
        <v>75</v>
      </c>
      <c r="E138" s="2" t="s">
        <v>1910</v>
      </c>
      <c r="F138" s="2">
        <v>116021</v>
      </c>
      <c r="G138" s="2" t="s">
        <v>44</v>
      </c>
      <c r="H138" s="2" t="s">
        <v>1680</v>
      </c>
      <c r="I138" s="2" t="s">
        <v>77</v>
      </c>
      <c r="J138" s="2" t="s">
        <v>544</v>
      </c>
      <c r="K138" s="2" t="s">
        <v>1706</v>
      </c>
      <c r="L138" s="2" t="s">
        <v>1707</v>
      </c>
      <c r="M138" s="2" t="s">
        <v>1693</v>
      </c>
      <c r="N138" s="2">
        <v>0.2</v>
      </c>
      <c r="O138" s="2">
        <v>139225.19999999998</v>
      </c>
      <c r="P138" s="2" t="str">
        <f t="shared" si="0"/>
        <v>High</v>
      </c>
    </row>
    <row r="139" spans="1:16" ht="14.25" customHeight="1" x14ac:dyDescent="0.5">
      <c r="A139" s="2" t="s">
        <v>545</v>
      </c>
      <c r="B139" s="2" t="s">
        <v>1748</v>
      </c>
      <c r="C139" s="2" t="s">
        <v>1733</v>
      </c>
      <c r="D139" s="2" t="s">
        <v>75</v>
      </c>
      <c r="E139" s="2" t="s">
        <v>1911</v>
      </c>
      <c r="F139" s="2">
        <v>68308</v>
      </c>
      <c r="G139" s="2" t="s">
        <v>44</v>
      </c>
      <c r="H139" s="2" t="s">
        <v>45</v>
      </c>
      <c r="I139" s="2" t="s">
        <v>1673</v>
      </c>
      <c r="J139" s="2" t="s">
        <v>547</v>
      </c>
      <c r="K139" s="2" t="s">
        <v>1686</v>
      </c>
      <c r="L139" s="2" t="s">
        <v>1687</v>
      </c>
      <c r="M139" s="2" t="s">
        <v>1711</v>
      </c>
      <c r="N139" s="2">
        <v>0.05</v>
      </c>
      <c r="O139" s="2">
        <v>71723.400000000009</v>
      </c>
      <c r="P139" s="2" t="str">
        <f t="shared" si="0"/>
        <v>Normal</v>
      </c>
    </row>
    <row r="140" spans="1:16" ht="14.25" customHeight="1" x14ac:dyDescent="0.5">
      <c r="A140" s="2" t="s">
        <v>548</v>
      </c>
      <c r="B140" s="2" t="s">
        <v>1800</v>
      </c>
      <c r="C140" s="2" t="s">
        <v>1709</v>
      </c>
      <c r="D140" s="2" t="s">
        <v>42</v>
      </c>
      <c r="E140" s="2" t="s">
        <v>1912</v>
      </c>
      <c r="F140" s="2">
        <v>84789</v>
      </c>
      <c r="G140" s="2" t="s">
        <v>36</v>
      </c>
      <c r="H140" s="2" t="s">
        <v>45</v>
      </c>
      <c r="I140" s="2" t="s">
        <v>1673</v>
      </c>
      <c r="J140" s="2" t="s">
        <v>550</v>
      </c>
      <c r="K140" s="2" t="s">
        <v>1691</v>
      </c>
      <c r="L140" s="2" t="s">
        <v>1692</v>
      </c>
      <c r="M140" s="2" t="s">
        <v>1676</v>
      </c>
      <c r="N140" s="2">
        <v>0.2</v>
      </c>
      <c r="O140" s="2">
        <v>101746.8</v>
      </c>
      <c r="P140" s="2" t="str">
        <f t="shared" si="0"/>
        <v>High</v>
      </c>
    </row>
    <row r="141" spans="1:16" ht="14.25" customHeight="1" x14ac:dyDescent="0.5">
      <c r="A141" s="2" t="s">
        <v>551</v>
      </c>
      <c r="B141" s="2" t="s">
        <v>1857</v>
      </c>
      <c r="C141" s="2" t="s">
        <v>1733</v>
      </c>
      <c r="D141" s="2" t="s">
        <v>50</v>
      </c>
      <c r="E141" s="2" t="s">
        <v>1913</v>
      </c>
      <c r="F141" s="2">
        <v>95690</v>
      </c>
      <c r="G141" s="2" t="s">
        <v>57</v>
      </c>
      <c r="H141" s="2" t="s">
        <v>1699</v>
      </c>
      <c r="I141" s="2" t="s">
        <v>77</v>
      </c>
      <c r="J141" s="2" t="s">
        <v>553</v>
      </c>
      <c r="K141" s="2" t="s">
        <v>1691</v>
      </c>
      <c r="L141" s="2" t="s">
        <v>1692</v>
      </c>
      <c r="M141" s="2" t="s">
        <v>1688</v>
      </c>
      <c r="N141" s="2">
        <v>0.05</v>
      </c>
      <c r="O141" s="2">
        <v>100474.5</v>
      </c>
      <c r="P141" s="2" t="str">
        <f t="shared" si="0"/>
        <v>High</v>
      </c>
    </row>
    <row r="142" spans="1:16" ht="14.25" customHeight="1" x14ac:dyDescent="0.5">
      <c r="A142" s="2" t="s">
        <v>554</v>
      </c>
      <c r="B142" s="2" t="s">
        <v>1914</v>
      </c>
      <c r="C142" s="2" t="s">
        <v>1671</v>
      </c>
      <c r="D142" s="2" t="s">
        <v>75</v>
      </c>
      <c r="E142" s="2" t="s">
        <v>1915</v>
      </c>
      <c r="F142" s="2">
        <v>66086</v>
      </c>
      <c r="G142" s="2" t="s">
        <v>17</v>
      </c>
      <c r="H142" s="2" t="s">
        <v>1680</v>
      </c>
      <c r="I142" s="2" t="s">
        <v>77</v>
      </c>
      <c r="J142" s="2" t="s">
        <v>557</v>
      </c>
      <c r="K142" s="2" t="s">
        <v>1674</v>
      </c>
      <c r="L142" s="2" t="s">
        <v>1675</v>
      </c>
      <c r="M142" s="2" t="s">
        <v>1693</v>
      </c>
      <c r="N142" s="2">
        <v>0.2</v>
      </c>
      <c r="O142" s="2">
        <v>79303.199999999997</v>
      </c>
      <c r="P142" s="2" t="str">
        <f t="shared" si="0"/>
        <v>Normal</v>
      </c>
    </row>
    <row r="143" spans="1:16" ht="14.25" customHeight="1" x14ac:dyDescent="0.5">
      <c r="A143" s="2" t="s">
        <v>558</v>
      </c>
      <c r="B143" s="2" t="s">
        <v>1798</v>
      </c>
      <c r="C143" s="2" t="s">
        <v>1733</v>
      </c>
      <c r="D143" s="2" t="s">
        <v>42</v>
      </c>
      <c r="E143" s="2" t="s">
        <v>1916</v>
      </c>
      <c r="F143" s="2">
        <v>56859</v>
      </c>
      <c r="G143" s="2" t="s">
        <v>36</v>
      </c>
      <c r="H143" s="2" t="s">
        <v>45</v>
      </c>
      <c r="I143" s="2" t="s">
        <v>1681</v>
      </c>
      <c r="J143" s="2" t="s">
        <v>560</v>
      </c>
      <c r="K143" s="2" t="s">
        <v>1691</v>
      </c>
      <c r="L143" s="2" t="s">
        <v>1692</v>
      </c>
      <c r="M143" s="2" t="s">
        <v>1696</v>
      </c>
      <c r="N143" s="2">
        <v>0.15</v>
      </c>
      <c r="O143" s="2">
        <v>65387.85</v>
      </c>
      <c r="P143" s="2" t="str">
        <f t="shared" si="0"/>
        <v>Normal</v>
      </c>
    </row>
    <row r="144" spans="1:16" ht="14.25" customHeight="1" x14ac:dyDescent="0.5">
      <c r="A144" s="2" t="s">
        <v>561</v>
      </c>
      <c r="B144" s="2" t="s">
        <v>1831</v>
      </c>
      <c r="C144" s="2" t="s">
        <v>1694</v>
      </c>
      <c r="D144" s="2" t="s">
        <v>75</v>
      </c>
      <c r="E144" s="2" t="s">
        <v>1917</v>
      </c>
      <c r="F144" s="2">
        <v>47684</v>
      </c>
      <c r="G144" s="2" t="s">
        <v>36</v>
      </c>
      <c r="H144" s="2" t="s">
        <v>45</v>
      </c>
      <c r="I144" s="2" t="s">
        <v>77</v>
      </c>
      <c r="J144" s="2" t="s">
        <v>563</v>
      </c>
      <c r="K144" s="2" t="s">
        <v>1706</v>
      </c>
      <c r="L144" s="2" t="s">
        <v>1707</v>
      </c>
      <c r="M144" s="2" t="s">
        <v>1700</v>
      </c>
      <c r="N144" s="2">
        <v>0.1</v>
      </c>
      <c r="O144" s="2">
        <v>52452.4</v>
      </c>
      <c r="P144" s="2" t="str">
        <f t="shared" si="0"/>
        <v>Normal</v>
      </c>
    </row>
    <row r="145" spans="1:16" ht="14.25" customHeight="1" x14ac:dyDescent="0.5">
      <c r="A145" s="2" t="s">
        <v>564</v>
      </c>
      <c r="B145" s="2" t="s">
        <v>1768</v>
      </c>
      <c r="C145" s="2" t="s">
        <v>1724</v>
      </c>
      <c r="D145" s="2" t="s">
        <v>100</v>
      </c>
      <c r="E145" s="2" t="s">
        <v>1918</v>
      </c>
      <c r="F145" s="2">
        <v>41207</v>
      </c>
      <c r="G145" s="2" t="s">
        <v>57</v>
      </c>
      <c r="H145" s="2" t="s">
        <v>45</v>
      </c>
      <c r="I145" s="2" t="s">
        <v>77</v>
      </c>
      <c r="J145" s="2" t="s">
        <v>566</v>
      </c>
      <c r="K145" s="2" t="s">
        <v>1706</v>
      </c>
      <c r="L145" s="2" t="s">
        <v>1707</v>
      </c>
      <c r="M145" s="2" t="s">
        <v>1700</v>
      </c>
      <c r="N145" s="2">
        <v>0.15</v>
      </c>
      <c r="O145" s="2">
        <v>47388.049999999996</v>
      </c>
      <c r="P145" s="2" t="str">
        <f t="shared" si="0"/>
        <v>Normal</v>
      </c>
    </row>
    <row r="146" spans="1:16" ht="14.25" customHeight="1" x14ac:dyDescent="0.5">
      <c r="A146" s="2" t="s">
        <v>567</v>
      </c>
      <c r="B146" s="2" t="s">
        <v>1825</v>
      </c>
      <c r="C146" s="2" t="s">
        <v>1724</v>
      </c>
      <c r="D146" s="2" t="s">
        <v>50</v>
      </c>
      <c r="E146" s="2" t="s">
        <v>1919</v>
      </c>
      <c r="F146" s="2">
        <v>86099</v>
      </c>
      <c r="G146" s="2" t="s">
        <v>17</v>
      </c>
      <c r="H146" s="2" t="s">
        <v>1680</v>
      </c>
      <c r="I146" s="2" t="s">
        <v>1681</v>
      </c>
      <c r="J146" s="2" t="s">
        <v>569</v>
      </c>
      <c r="K146" s="2" t="s">
        <v>1686</v>
      </c>
      <c r="L146" s="2" t="s">
        <v>1687</v>
      </c>
      <c r="M146" s="2" t="s">
        <v>1750</v>
      </c>
      <c r="N146" s="2">
        <v>0.05</v>
      </c>
      <c r="O146" s="2">
        <v>90403.95</v>
      </c>
      <c r="P146" s="2" t="str">
        <f t="shared" si="0"/>
        <v>Normal</v>
      </c>
    </row>
    <row r="147" spans="1:16" ht="14.25" customHeight="1" x14ac:dyDescent="0.5">
      <c r="A147" s="2" t="s">
        <v>570</v>
      </c>
      <c r="B147" s="2" t="s">
        <v>1730</v>
      </c>
      <c r="C147" s="2" t="s">
        <v>1683</v>
      </c>
      <c r="D147" s="2" t="s">
        <v>69</v>
      </c>
      <c r="E147" s="2" t="s">
        <v>1920</v>
      </c>
      <c r="F147" s="2">
        <v>107496</v>
      </c>
      <c r="G147" s="2" t="s">
        <v>57</v>
      </c>
      <c r="H147" s="2" t="s">
        <v>45</v>
      </c>
      <c r="I147" s="2" t="s">
        <v>1685</v>
      </c>
      <c r="J147" s="2" t="s">
        <v>572</v>
      </c>
      <c r="K147" s="2" t="s">
        <v>1686</v>
      </c>
      <c r="L147" s="2" t="s">
        <v>1687</v>
      </c>
      <c r="M147" s="2" t="s">
        <v>1719</v>
      </c>
      <c r="N147" s="2">
        <v>0.15</v>
      </c>
      <c r="O147" s="2">
        <v>123620.4</v>
      </c>
      <c r="P147" s="2" t="str">
        <f t="shared" si="0"/>
        <v>High</v>
      </c>
    </row>
    <row r="148" spans="1:16" ht="14.25" customHeight="1" x14ac:dyDescent="0.5">
      <c r="A148" s="2" t="s">
        <v>573</v>
      </c>
      <c r="B148" s="2" t="s">
        <v>1871</v>
      </c>
      <c r="C148" s="2" t="s">
        <v>1785</v>
      </c>
      <c r="D148" s="2" t="s">
        <v>75</v>
      </c>
      <c r="E148" s="2" t="s">
        <v>1778</v>
      </c>
      <c r="F148" s="2">
        <v>106093</v>
      </c>
      <c r="G148" s="2" t="s">
        <v>17</v>
      </c>
      <c r="H148" s="2" t="s">
        <v>1699</v>
      </c>
      <c r="I148" s="2" t="s">
        <v>77</v>
      </c>
      <c r="J148" s="2" t="s">
        <v>575</v>
      </c>
      <c r="K148" s="2" t="s">
        <v>1691</v>
      </c>
      <c r="L148" s="2" t="s">
        <v>1692</v>
      </c>
      <c r="M148" s="2" t="s">
        <v>1676</v>
      </c>
      <c r="N148" s="2">
        <v>0.1</v>
      </c>
      <c r="O148" s="2">
        <v>116702.3</v>
      </c>
      <c r="P148" s="2" t="str">
        <f t="shared" si="0"/>
        <v>High</v>
      </c>
    </row>
    <row r="149" spans="1:16" ht="14.25" customHeight="1" x14ac:dyDescent="0.5">
      <c r="A149" s="2" t="s">
        <v>576</v>
      </c>
      <c r="B149" s="2" t="s">
        <v>1825</v>
      </c>
      <c r="C149" s="2" t="s">
        <v>1785</v>
      </c>
      <c r="D149" s="2" t="s">
        <v>100</v>
      </c>
      <c r="E149" s="2" t="s">
        <v>1921</v>
      </c>
      <c r="F149" s="2">
        <v>69689</v>
      </c>
      <c r="G149" s="2" t="s">
        <v>57</v>
      </c>
      <c r="H149" s="2" t="s">
        <v>1680</v>
      </c>
      <c r="I149" s="2" t="s">
        <v>77</v>
      </c>
      <c r="J149" s="2" t="s">
        <v>578</v>
      </c>
      <c r="K149" s="2" t="s">
        <v>1674</v>
      </c>
      <c r="L149" s="2" t="s">
        <v>1675</v>
      </c>
      <c r="M149" s="2" t="s">
        <v>1719</v>
      </c>
      <c r="N149" s="2">
        <v>0.15</v>
      </c>
      <c r="O149" s="2">
        <v>80142.349999999991</v>
      </c>
      <c r="P149" s="2" t="str">
        <f t="shared" si="0"/>
        <v>Normal</v>
      </c>
    </row>
    <row r="150" spans="1:16" ht="14.25" customHeight="1" x14ac:dyDescent="0.5">
      <c r="A150" s="2" t="s">
        <v>579</v>
      </c>
      <c r="B150" s="2" t="s">
        <v>1922</v>
      </c>
      <c r="C150" s="2" t="s">
        <v>1671</v>
      </c>
      <c r="D150" s="2" t="s">
        <v>69</v>
      </c>
      <c r="E150" s="2" t="s">
        <v>1923</v>
      </c>
      <c r="F150" s="2">
        <v>88651</v>
      </c>
      <c r="G150" s="2" t="s">
        <v>36</v>
      </c>
      <c r="H150" s="2" t="s">
        <v>45</v>
      </c>
      <c r="I150" s="2" t="s">
        <v>77</v>
      </c>
      <c r="J150" s="2" t="s">
        <v>582</v>
      </c>
      <c r="K150" s="2" t="s">
        <v>1691</v>
      </c>
      <c r="L150" s="2" t="s">
        <v>1692</v>
      </c>
      <c r="M150" s="2" t="s">
        <v>1719</v>
      </c>
      <c r="N150" s="2">
        <v>0.05</v>
      </c>
      <c r="O150" s="2">
        <v>93083.55</v>
      </c>
      <c r="P150" s="2" t="str">
        <f t="shared" si="0"/>
        <v>Normal</v>
      </c>
    </row>
    <row r="151" spans="1:16" ht="14.25" customHeight="1" x14ac:dyDescent="0.5">
      <c r="A151" s="2" t="s">
        <v>583</v>
      </c>
      <c r="B151" s="2" t="s">
        <v>1924</v>
      </c>
      <c r="C151" s="2" t="s">
        <v>1694</v>
      </c>
      <c r="D151" s="2" t="s">
        <v>69</v>
      </c>
      <c r="E151" s="2" t="s">
        <v>1925</v>
      </c>
      <c r="F151" s="2">
        <v>53893</v>
      </c>
      <c r="G151" s="2" t="s">
        <v>36</v>
      </c>
      <c r="H151" s="2" t="s">
        <v>1699</v>
      </c>
      <c r="I151" s="2" t="s">
        <v>1703</v>
      </c>
      <c r="J151" s="2" t="s">
        <v>586</v>
      </c>
      <c r="K151" s="2" t="s">
        <v>1691</v>
      </c>
      <c r="L151" s="2" t="s">
        <v>1692</v>
      </c>
      <c r="M151" s="2" t="s">
        <v>1700</v>
      </c>
      <c r="N151" s="2">
        <v>0.05</v>
      </c>
      <c r="O151" s="2">
        <v>56587.65</v>
      </c>
      <c r="P151" s="2" t="str">
        <f t="shared" si="0"/>
        <v>Normal</v>
      </c>
    </row>
    <row r="152" spans="1:16" ht="14.25" customHeight="1" x14ac:dyDescent="0.5">
      <c r="A152" s="2" t="s">
        <v>587</v>
      </c>
      <c r="B152" s="2" t="s">
        <v>1926</v>
      </c>
      <c r="C152" s="2" t="s">
        <v>1683</v>
      </c>
      <c r="D152" s="2" t="s">
        <v>34</v>
      </c>
      <c r="E152" s="2" t="s">
        <v>1927</v>
      </c>
      <c r="F152" s="2">
        <v>106418</v>
      </c>
      <c r="G152" s="2" t="s">
        <v>83</v>
      </c>
      <c r="H152" s="2" t="s">
        <v>45</v>
      </c>
      <c r="I152" s="2" t="s">
        <v>77</v>
      </c>
      <c r="J152" s="2" t="s">
        <v>590</v>
      </c>
      <c r="K152" s="2" t="s">
        <v>1691</v>
      </c>
      <c r="L152" s="2" t="s">
        <v>1692</v>
      </c>
      <c r="M152" s="2" t="s">
        <v>1696</v>
      </c>
      <c r="N152" s="2">
        <v>0.15</v>
      </c>
      <c r="O152" s="2">
        <v>122380.7</v>
      </c>
      <c r="P152" s="2" t="str">
        <f t="shared" si="0"/>
        <v>High</v>
      </c>
    </row>
    <row r="153" spans="1:16" ht="14.25" customHeight="1" x14ac:dyDescent="0.5">
      <c r="A153" s="2" t="s">
        <v>591</v>
      </c>
      <c r="B153" s="2" t="s">
        <v>1802</v>
      </c>
      <c r="C153" s="2" t="s">
        <v>1709</v>
      </c>
      <c r="D153" s="2" t="s">
        <v>75</v>
      </c>
      <c r="E153" s="2" t="s">
        <v>1923</v>
      </c>
      <c r="F153" s="2">
        <v>100011</v>
      </c>
      <c r="G153" s="2" t="s">
        <v>44</v>
      </c>
      <c r="H153" s="2" t="s">
        <v>45</v>
      </c>
      <c r="I153" s="2" t="s">
        <v>77</v>
      </c>
      <c r="J153" s="2" t="s">
        <v>593</v>
      </c>
      <c r="K153" s="2" t="s">
        <v>1691</v>
      </c>
      <c r="L153" s="2" t="s">
        <v>1692</v>
      </c>
      <c r="M153" s="2" t="s">
        <v>1696</v>
      </c>
      <c r="N153" s="2">
        <v>0.1</v>
      </c>
      <c r="O153" s="2">
        <v>110012.1</v>
      </c>
      <c r="P153" s="2" t="str">
        <f t="shared" si="0"/>
        <v>High</v>
      </c>
    </row>
    <row r="154" spans="1:16" ht="14.25" customHeight="1" x14ac:dyDescent="0.5">
      <c r="A154" s="2" t="s">
        <v>594</v>
      </c>
      <c r="B154" s="2" t="s">
        <v>1748</v>
      </c>
      <c r="C154" s="2" t="s">
        <v>1785</v>
      </c>
      <c r="D154" s="2" t="s">
        <v>42</v>
      </c>
      <c r="E154" s="2" t="s">
        <v>1928</v>
      </c>
      <c r="F154" s="2">
        <v>78635</v>
      </c>
      <c r="G154" s="2" t="s">
        <v>57</v>
      </c>
      <c r="H154" s="2" t="s">
        <v>1680</v>
      </c>
      <c r="I154" s="2" t="s">
        <v>1681</v>
      </c>
      <c r="J154" s="2" t="s">
        <v>596</v>
      </c>
      <c r="K154" s="2" t="s">
        <v>1706</v>
      </c>
      <c r="L154" s="2" t="s">
        <v>1707</v>
      </c>
      <c r="M154" s="2" t="s">
        <v>1750</v>
      </c>
      <c r="N154" s="2">
        <v>0.15</v>
      </c>
      <c r="O154" s="2">
        <v>90430.25</v>
      </c>
      <c r="P154" s="2" t="str">
        <f t="shared" si="0"/>
        <v>Normal</v>
      </c>
    </row>
    <row r="155" spans="1:16" ht="14.25" customHeight="1" x14ac:dyDescent="0.5">
      <c r="A155" s="2" t="s">
        <v>597</v>
      </c>
      <c r="B155" s="2" t="s">
        <v>1811</v>
      </c>
      <c r="C155" s="2" t="s">
        <v>1724</v>
      </c>
      <c r="D155" s="2" t="s">
        <v>75</v>
      </c>
      <c r="E155" s="2" t="s">
        <v>1929</v>
      </c>
      <c r="F155" s="2">
        <v>96115</v>
      </c>
      <c r="G155" s="2" t="s">
        <v>83</v>
      </c>
      <c r="H155" s="2" t="s">
        <v>45</v>
      </c>
      <c r="I155" s="2" t="s">
        <v>1703</v>
      </c>
      <c r="J155" s="2" t="s">
        <v>599</v>
      </c>
      <c r="K155" s="2" t="s">
        <v>1674</v>
      </c>
      <c r="L155" s="2" t="s">
        <v>1675</v>
      </c>
      <c r="M155" s="2" t="s">
        <v>1719</v>
      </c>
      <c r="N155" s="2">
        <v>0.1</v>
      </c>
      <c r="O155" s="2">
        <v>105726.50000000001</v>
      </c>
      <c r="P155" s="2" t="str">
        <f t="shared" si="0"/>
        <v>High</v>
      </c>
    </row>
    <row r="156" spans="1:16" ht="14.25" customHeight="1" x14ac:dyDescent="0.5">
      <c r="A156" s="2" t="s">
        <v>600</v>
      </c>
      <c r="B156" s="2" t="s">
        <v>1930</v>
      </c>
      <c r="C156" s="2" t="s">
        <v>1733</v>
      </c>
      <c r="D156" s="2" t="s">
        <v>100</v>
      </c>
      <c r="E156" s="2" t="s">
        <v>1795</v>
      </c>
      <c r="F156" s="2">
        <v>118405</v>
      </c>
      <c r="G156" s="2" t="s">
        <v>44</v>
      </c>
      <c r="H156" s="2" t="s">
        <v>1699</v>
      </c>
      <c r="I156" s="2" t="s">
        <v>77</v>
      </c>
      <c r="J156" s="2" t="s">
        <v>603</v>
      </c>
      <c r="K156" s="2" t="s">
        <v>1706</v>
      </c>
      <c r="L156" s="2" t="s">
        <v>1707</v>
      </c>
      <c r="M156" s="2" t="s">
        <v>1719</v>
      </c>
      <c r="N156" s="2">
        <v>0.2</v>
      </c>
      <c r="O156" s="2">
        <v>142086</v>
      </c>
      <c r="P156" s="2" t="str">
        <f t="shared" si="0"/>
        <v>High</v>
      </c>
    </row>
    <row r="157" spans="1:16" ht="14.25" customHeight="1" x14ac:dyDescent="0.5">
      <c r="A157" s="2" t="s">
        <v>604</v>
      </c>
      <c r="B157" s="2" t="s">
        <v>1854</v>
      </c>
      <c r="C157" s="2" t="s">
        <v>1733</v>
      </c>
      <c r="D157" s="2" t="s">
        <v>69</v>
      </c>
      <c r="E157" s="2" t="s">
        <v>1931</v>
      </c>
      <c r="F157" s="2">
        <v>112702</v>
      </c>
      <c r="G157" s="2" t="s">
        <v>57</v>
      </c>
      <c r="H157" s="2" t="s">
        <v>45</v>
      </c>
      <c r="I157" s="2" t="s">
        <v>77</v>
      </c>
      <c r="J157" s="2" t="s">
        <v>606</v>
      </c>
      <c r="K157" s="2" t="s">
        <v>1674</v>
      </c>
      <c r="L157" s="2" t="s">
        <v>1675</v>
      </c>
      <c r="M157" s="2" t="s">
        <v>1711</v>
      </c>
      <c r="N157" s="2">
        <v>0.1</v>
      </c>
      <c r="O157" s="2">
        <v>123972.20000000001</v>
      </c>
      <c r="P157" s="2" t="str">
        <f t="shared" si="0"/>
        <v>High</v>
      </c>
    </row>
    <row r="158" spans="1:16" ht="14.25" customHeight="1" x14ac:dyDescent="0.5">
      <c r="A158" s="2" t="s">
        <v>607</v>
      </c>
      <c r="B158" s="2" t="s">
        <v>1932</v>
      </c>
      <c r="C158" s="2" t="s">
        <v>1683</v>
      </c>
      <c r="D158" s="2" t="s">
        <v>75</v>
      </c>
      <c r="E158" s="2" t="s">
        <v>1933</v>
      </c>
      <c r="F158" s="2">
        <v>118518</v>
      </c>
      <c r="G158" s="2" t="s">
        <v>17</v>
      </c>
      <c r="H158" s="2" t="s">
        <v>45</v>
      </c>
      <c r="I158" s="2" t="s">
        <v>77</v>
      </c>
      <c r="J158" s="2" t="s">
        <v>610</v>
      </c>
      <c r="K158" s="2" t="s">
        <v>1686</v>
      </c>
      <c r="L158" s="2" t="s">
        <v>1687</v>
      </c>
      <c r="M158" s="2" t="s">
        <v>1711</v>
      </c>
      <c r="N158" s="2">
        <v>0.2</v>
      </c>
      <c r="O158" s="2">
        <v>142221.6</v>
      </c>
      <c r="P158" s="2" t="str">
        <f t="shared" si="0"/>
        <v>High</v>
      </c>
    </row>
    <row r="159" spans="1:16" ht="14.25" customHeight="1" x14ac:dyDescent="0.5">
      <c r="A159" s="2" t="s">
        <v>611</v>
      </c>
      <c r="B159" s="2" t="s">
        <v>1757</v>
      </c>
      <c r="C159" s="2" t="s">
        <v>1694</v>
      </c>
      <c r="D159" s="2" t="s">
        <v>42</v>
      </c>
      <c r="E159" s="2" t="s">
        <v>1934</v>
      </c>
      <c r="F159" s="2">
        <v>112805</v>
      </c>
      <c r="G159" s="2" t="s">
        <v>44</v>
      </c>
      <c r="H159" s="2" t="s">
        <v>45</v>
      </c>
      <c r="I159" s="2" t="s">
        <v>77</v>
      </c>
      <c r="J159" s="2" t="s">
        <v>613</v>
      </c>
      <c r="K159" s="2" t="s">
        <v>1691</v>
      </c>
      <c r="L159" s="2" t="s">
        <v>1692</v>
      </c>
      <c r="M159" s="2" t="s">
        <v>1711</v>
      </c>
      <c r="N159" s="2">
        <v>0.15</v>
      </c>
      <c r="O159" s="2">
        <v>129725.74999999999</v>
      </c>
      <c r="P159" s="2" t="str">
        <f t="shared" si="0"/>
        <v>High</v>
      </c>
    </row>
    <row r="160" spans="1:16" ht="14.25" customHeight="1" x14ac:dyDescent="0.5">
      <c r="A160" s="2" t="s">
        <v>614</v>
      </c>
      <c r="B160" s="2" t="s">
        <v>1796</v>
      </c>
      <c r="C160" s="2" t="s">
        <v>1694</v>
      </c>
      <c r="D160" s="2" t="s">
        <v>34</v>
      </c>
      <c r="E160" s="2" t="s">
        <v>1935</v>
      </c>
      <c r="F160" s="2">
        <v>98954</v>
      </c>
      <c r="G160" s="2" t="s">
        <v>36</v>
      </c>
      <c r="H160" s="2" t="s">
        <v>1680</v>
      </c>
      <c r="I160" s="2" t="s">
        <v>1685</v>
      </c>
      <c r="J160" s="2" t="s">
        <v>616</v>
      </c>
      <c r="K160" s="2" t="s">
        <v>1706</v>
      </c>
      <c r="L160" s="2" t="s">
        <v>1707</v>
      </c>
      <c r="M160" s="2" t="s">
        <v>1688</v>
      </c>
      <c r="N160" s="2">
        <v>0.1</v>
      </c>
      <c r="O160" s="2">
        <v>108849.40000000001</v>
      </c>
      <c r="P160" s="2" t="str">
        <f t="shared" si="0"/>
        <v>High</v>
      </c>
    </row>
    <row r="161" spans="1:16" ht="14.25" customHeight="1" x14ac:dyDescent="0.5">
      <c r="A161" s="2" t="s">
        <v>617</v>
      </c>
      <c r="B161" s="2" t="s">
        <v>1936</v>
      </c>
      <c r="C161" s="2" t="s">
        <v>1721</v>
      </c>
      <c r="D161" s="2" t="s">
        <v>75</v>
      </c>
      <c r="E161" s="2" t="s">
        <v>1937</v>
      </c>
      <c r="F161" s="2">
        <v>68064</v>
      </c>
      <c r="G161" s="2" t="s">
        <v>83</v>
      </c>
      <c r="H161" s="2" t="s">
        <v>1680</v>
      </c>
      <c r="I161" s="2" t="s">
        <v>77</v>
      </c>
      <c r="J161" s="2" t="s">
        <v>620</v>
      </c>
      <c r="K161" s="2" t="s">
        <v>1674</v>
      </c>
      <c r="L161" s="2" t="s">
        <v>1675</v>
      </c>
      <c r="M161" s="2" t="s">
        <v>1719</v>
      </c>
      <c r="N161" s="2">
        <v>0.2</v>
      </c>
      <c r="O161" s="2">
        <v>81676.800000000003</v>
      </c>
      <c r="P161" s="2" t="str">
        <f t="shared" si="0"/>
        <v>Normal</v>
      </c>
    </row>
    <row r="162" spans="1:16" ht="14.25" customHeight="1" x14ac:dyDescent="0.5">
      <c r="A162" s="2" t="s">
        <v>621</v>
      </c>
      <c r="B162" s="2" t="s">
        <v>1857</v>
      </c>
      <c r="C162" s="2" t="s">
        <v>1717</v>
      </c>
      <c r="D162" s="2" t="s">
        <v>50</v>
      </c>
      <c r="E162" s="2" t="s">
        <v>1920</v>
      </c>
      <c r="F162" s="2">
        <v>119063</v>
      </c>
      <c r="G162" s="2" t="s">
        <v>44</v>
      </c>
      <c r="H162" s="2" t="s">
        <v>1699</v>
      </c>
      <c r="I162" s="2" t="s">
        <v>77</v>
      </c>
      <c r="J162" s="2" t="s">
        <v>623</v>
      </c>
      <c r="K162" s="2" t="s">
        <v>1686</v>
      </c>
      <c r="L162" s="2" t="s">
        <v>1687</v>
      </c>
      <c r="M162" s="2" t="s">
        <v>1696</v>
      </c>
      <c r="N162" s="2">
        <v>0.2</v>
      </c>
      <c r="O162" s="2">
        <v>142875.6</v>
      </c>
      <c r="P162" s="2" t="str">
        <f t="shared" si="0"/>
        <v>High</v>
      </c>
    </row>
    <row r="163" spans="1:16" ht="14.25" customHeight="1" x14ac:dyDescent="0.5">
      <c r="A163" s="2" t="s">
        <v>624</v>
      </c>
      <c r="B163" s="2" t="s">
        <v>1761</v>
      </c>
      <c r="C163" s="2" t="s">
        <v>1785</v>
      </c>
      <c r="D163" s="2" t="s">
        <v>34</v>
      </c>
      <c r="E163" s="2" t="s">
        <v>1938</v>
      </c>
      <c r="F163" s="2">
        <v>42454</v>
      </c>
      <c r="G163" s="2" t="s">
        <v>44</v>
      </c>
      <c r="H163" s="2" t="s">
        <v>1680</v>
      </c>
      <c r="I163" s="2" t="s">
        <v>1673</v>
      </c>
      <c r="J163" s="2" t="s">
        <v>626</v>
      </c>
      <c r="K163" s="2" t="s">
        <v>1686</v>
      </c>
      <c r="L163" s="2" t="s">
        <v>1687</v>
      </c>
      <c r="M163" s="2" t="s">
        <v>1696</v>
      </c>
      <c r="N163" s="2">
        <v>0.2</v>
      </c>
      <c r="O163" s="2">
        <v>50944.799999999996</v>
      </c>
      <c r="P163" s="2" t="str">
        <f t="shared" si="0"/>
        <v>Normal</v>
      </c>
    </row>
    <row r="164" spans="1:16" ht="14.25" customHeight="1" x14ac:dyDescent="0.5">
      <c r="A164" s="2" t="s">
        <v>627</v>
      </c>
      <c r="B164" s="2" t="s">
        <v>1761</v>
      </c>
      <c r="C164" s="2" t="s">
        <v>1694</v>
      </c>
      <c r="D164" s="2" t="s">
        <v>42</v>
      </c>
      <c r="E164" s="2" t="s">
        <v>1939</v>
      </c>
      <c r="F164" s="2">
        <v>60878</v>
      </c>
      <c r="G164" s="2" t="s">
        <v>36</v>
      </c>
      <c r="H164" s="2" t="s">
        <v>1680</v>
      </c>
      <c r="I164" s="2" t="s">
        <v>1703</v>
      </c>
      <c r="J164" s="2" t="s">
        <v>629</v>
      </c>
      <c r="K164" s="2" t="s">
        <v>1691</v>
      </c>
      <c r="L164" s="2" t="s">
        <v>1692</v>
      </c>
      <c r="M164" s="2" t="s">
        <v>1688</v>
      </c>
      <c r="N164" s="2">
        <v>0.05</v>
      </c>
      <c r="O164" s="2">
        <v>63921.9</v>
      </c>
      <c r="P164" s="2" t="str">
        <f t="shared" si="0"/>
        <v>Normal</v>
      </c>
    </row>
    <row r="165" spans="1:16" ht="14.25" customHeight="1" x14ac:dyDescent="0.5">
      <c r="A165" s="2" t="s">
        <v>630</v>
      </c>
      <c r="B165" s="2" t="s">
        <v>1895</v>
      </c>
      <c r="C165" s="2" t="s">
        <v>1724</v>
      </c>
      <c r="D165" s="2" t="s">
        <v>100</v>
      </c>
      <c r="E165" s="2" t="s">
        <v>1940</v>
      </c>
      <c r="F165" s="2">
        <v>91098</v>
      </c>
      <c r="G165" s="2" t="s">
        <v>57</v>
      </c>
      <c r="H165" s="2" t="s">
        <v>45</v>
      </c>
      <c r="I165" s="2" t="s">
        <v>1673</v>
      </c>
      <c r="J165" s="2" t="s">
        <v>632</v>
      </c>
      <c r="K165" s="2" t="s">
        <v>1674</v>
      </c>
      <c r="L165" s="2" t="s">
        <v>1675</v>
      </c>
      <c r="M165" s="2" t="s">
        <v>1696</v>
      </c>
      <c r="N165" s="2">
        <v>0.15</v>
      </c>
      <c r="O165" s="2">
        <v>104762.7</v>
      </c>
      <c r="P165" s="2" t="str">
        <f t="shared" si="0"/>
        <v>High</v>
      </c>
    </row>
    <row r="166" spans="1:16" ht="14.25" customHeight="1" x14ac:dyDescent="0.5">
      <c r="A166" s="2" t="s">
        <v>633</v>
      </c>
      <c r="B166" s="2" t="s">
        <v>1774</v>
      </c>
      <c r="C166" s="2" t="s">
        <v>1683</v>
      </c>
      <c r="D166" s="2" t="s">
        <v>69</v>
      </c>
      <c r="E166" s="2" t="s">
        <v>1941</v>
      </c>
      <c r="F166" s="2">
        <v>102154</v>
      </c>
      <c r="G166" s="2" t="s">
        <v>17</v>
      </c>
      <c r="H166" s="2" t="s">
        <v>1680</v>
      </c>
      <c r="I166" s="2" t="s">
        <v>1703</v>
      </c>
      <c r="J166" s="2" t="s">
        <v>635</v>
      </c>
      <c r="K166" s="2" t="s">
        <v>1706</v>
      </c>
      <c r="L166" s="2" t="s">
        <v>1707</v>
      </c>
      <c r="M166" s="2" t="s">
        <v>1750</v>
      </c>
      <c r="N166" s="2">
        <v>0.2</v>
      </c>
      <c r="O166" s="2">
        <v>122584.79999999999</v>
      </c>
      <c r="P166" s="2" t="str">
        <f t="shared" si="0"/>
        <v>High</v>
      </c>
    </row>
    <row r="167" spans="1:16" ht="14.25" customHeight="1" x14ac:dyDescent="0.5">
      <c r="A167" s="2" t="s">
        <v>636</v>
      </c>
      <c r="B167" s="2" t="s">
        <v>1857</v>
      </c>
      <c r="C167" s="2" t="s">
        <v>1709</v>
      </c>
      <c r="D167" s="2" t="s">
        <v>75</v>
      </c>
      <c r="E167" s="2" t="s">
        <v>1942</v>
      </c>
      <c r="F167" s="2">
        <v>52991</v>
      </c>
      <c r="G167" s="2" t="s">
        <v>36</v>
      </c>
      <c r="H167" s="2" t="s">
        <v>1680</v>
      </c>
      <c r="I167" s="2" t="s">
        <v>77</v>
      </c>
      <c r="J167" s="2" t="s">
        <v>638</v>
      </c>
      <c r="K167" s="2" t="s">
        <v>1691</v>
      </c>
      <c r="L167" s="2" t="s">
        <v>1692</v>
      </c>
      <c r="M167" s="2" t="s">
        <v>1676</v>
      </c>
      <c r="N167" s="2">
        <v>0.1</v>
      </c>
      <c r="O167" s="2">
        <v>58290.100000000006</v>
      </c>
      <c r="P167" s="2" t="str">
        <f t="shared" si="0"/>
        <v>Normal</v>
      </c>
    </row>
    <row r="168" spans="1:16" ht="14.25" customHeight="1" x14ac:dyDescent="0.5">
      <c r="A168" s="2" t="s">
        <v>639</v>
      </c>
      <c r="B168" s="2" t="s">
        <v>1804</v>
      </c>
      <c r="C168" s="2" t="s">
        <v>1721</v>
      </c>
      <c r="D168" s="2" t="s">
        <v>42</v>
      </c>
      <c r="E168" s="2" t="s">
        <v>1943</v>
      </c>
      <c r="F168" s="2">
        <v>108344</v>
      </c>
      <c r="G168" s="2" t="s">
        <v>17</v>
      </c>
      <c r="H168" s="2" t="s">
        <v>1680</v>
      </c>
      <c r="I168" s="2" t="s">
        <v>1685</v>
      </c>
      <c r="J168" s="2" t="s">
        <v>641</v>
      </c>
      <c r="K168" s="2" t="s">
        <v>1706</v>
      </c>
      <c r="L168" s="2" t="s">
        <v>1707</v>
      </c>
      <c r="M168" s="2" t="s">
        <v>1700</v>
      </c>
      <c r="N168" s="2">
        <v>0.2</v>
      </c>
      <c r="O168" s="2">
        <v>130012.79999999999</v>
      </c>
      <c r="P168" s="2" t="str">
        <f t="shared" si="0"/>
        <v>High</v>
      </c>
    </row>
    <row r="169" spans="1:16" ht="14.25" customHeight="1" x14ac:dyDescent="0.5">
      <c r="A169" s="2" t="s">
        <v>642</v>
      </c>
      <c r="B169" s="2" t="s">
        <v>1723</v>
      </c>
      <c r="C169" s="2" t="s">
        <v>1678</v>
      </c>
      <c r="D169" s="2" t="s">
        <v>34</v>
      </c>
      <c r="E169" s="2" t="s">
        <v>1944</v>
      </c>
      <c r="F169" s="2">
        <v>76593</v>
      </c>
      <c r="G169" s="2" t="s">
        <v>57</v>
      </c>
      <c r="H169" s="2" t="s">
        <v>1680</v>
      </c>
      <c r="I169" s="2" t="s">
        <v>77</v>
      </c>
      <c r="J169" s="2" t="s">
        <v>644</v>
      </c>
      <c r="K169" s="2" t="s">
        <v>1686</v>
      </c>
      <c r="L169" s="2" t="s">
        <v>1687</v>
      </c>
      <c r="M169" s="2" t="s">
        <v>1719</v>
      </c>
      <c r="N169" s="2">
        <v>0.05</v>
      </c>
      <c r="O169" s="2">
        <v>80422.650000000009</v>
      </c>
      <c r="P169" s="2" t="str">
        <f t="shared" si="0"/>
        <v>Normal</v>
      </c>
    </row>
    <row r="170" spans="1:16" ht="14.25" customHeight="1" x14ac:dyDescent="0.5">
      <c r="A170" s="2" t="s">
        <v>645</v>
      </c>
      <c r="B170" s="2" t="s">
        <v>1945</v>
      </c>
      <c r="C170" s="2" t="s">
        <v>1671</v>
      </c>
      <c r="D170" s="2" t="s">
        <v>50</v>
      </c>
      <c r="E170" s="2" t="s">
        <v>1946</v>
      </c>
      <c r="F170" s="2">
        <v>76304</v>
      </c>
      <c r="G170" s="2" t="s">
        <v>44</v>
      </c>
      <c r="H170" s="2" t="s">
        <v>1699</v>
      </c>
      <c r="I170" s="2" t="s">
        <v>77</v>
      </c>
      <c r="J170" s="2" t="s">
        <v>648</v>
      </c>
      <c r="K170" s="2" t="s">
        <v>1706</v>
      </c>
      <c r="L170" s="2" t="s">
        <v>1707</v>
      </c>
      <c r="M170" s="2" t="s">
        <v>1696</v>
      </c>
      <c r="N170" s="2">
        <v>0.15</v>
      </c>
      <c r="O170" s="2">
        <v>87749.599999999991</v>
      </c>
      <c r="P170" s="2" t="str">
        <f t="shared" si="0"/>
        <v>Normal</v>
      </c>
    </row>
    <row r="171" spans="1:16" ht="14.25" customHeight="1" x14ac:dyDescent="0.5">
      <c r="A171" s="2" t="s">
        <v>649</v>
      </c>
      <c r="B171" s="2" t="s">
        <v>1770</v>
      </c>
      <c r="C171" s="2" t="s">
        <v>1709</v>
      </c>
      <c r="D171" s="2" t="s">
        <v>42</v>
      </c>
      <c r="E171" s="2" t="s">
        <v>1947</v>
      </c>
      <c r="F171" s="2">
        <v>70386</v>
      </c>
      <c r="G171" s="2" t="s">
        <v>17</v>
      </c>
      <c r="H171" s="2" t="s">
        <v>1680</v>
      </c>
      <c r="I171" s="2" t="s">
        <v>77</v>
      </c>
      <c r="J171" s="2" t="s">
        <v>651</v>
      </c>
      <c r="K171" s="2" t="s">
        <v>1706</v>
      </c>
      <c r="L171" s="2" t="s">
        <v>1707</v>
      </c>
      <c r="M171" s="2" t="s">
        <v>1700</v>
      </c>
      <c r="N171" s="2">
        <v>0.05</v>
      </c>
      <c r="O171" s="2">
        <v>73905.3</v>
      </c>
      <c r="P171" s="2" t="str">
        <f t="shared" si="0"/>
        <v>Normal</v>
      </c>
    </row>
    <row r="172" spans="1:16" ht="14.25" customHeight="1" x14ac:dyDescent="0.5">
      <c r="A172" s="2" t="s">
        <v>652</v>
      </c>
      <c r="B172" s="2" t="s">
        <v>1765</v>
      </c>
      <c r="C172" s="2" t="s">
        <v>1678</v>
      </c>
      <c r="D172" s="2" t="s">
        <v>15</v>
      </c>
      <c r="E172" s="2" t="s">
        <v>1948</v>
      </c>
      <c r="F172" s="2">
        <v>95220</v>
      </c>
      <c r="G172" s="2" t="s">
        <v>83</v>
      </c>
      <c r="H172" s="2" t="s">
        <v>1699</v>
      </c>
      <c r="I172" s="2" t="s">
        <v>77</v>
      </c>
      <c r="J172" s="2" t="s">
        <v>654</v>
      </c>
      <c r="K172" s="2" t="s">
        <v>1691</v>
      </c>
      <c r="L172" s="2" t="s">
        <v>1692</v>
      </c>
      <c r="M172" s="2" t="s">
        <v>1696</v>
      </c>
      <c r="N172" s="2">
        <v>0.05</v>
      </c>
      <c r="O172" s="2">
        <v>99981</v>
      </c>
      <c r="P172" s="2" t="str">
        <f t="shared" si="0"/>
        <v>Normal</v>
      </c>
    </row>
    <row r="173" spans="1:16" ht="14.25" customHeight="1" x14ac:dyDescent="0.5">
      <c r="A173" s="2" t="s">
        <v>655</v>
      </c>
      <c r="B173" s="2" t="s">
        <v>1949</v>
      </c>
      <c r="C173" s="2" t="s">
        <v>1733</v>
      </c>
      <c r="D173" s="2" t="s">
        <v>50</v>
      </c>
      <c r="E173" s="2" t="s">
        <v>1950</v>
      </c>
      <c r="F173" s="2">
        <v>109338</v>
      </c>
      <c r="G173" s="2" t="s">
        <v>83</v>
      </c>
      <c r="H173" s="2" t="s">
        <v>45</v>
      </c>
      <c r="I173" s="2" t="s">
        <v>1703</v>
      </c>
      <c r="J173" s="2" t="s">
        <v>658</v>
      </c>
      <c r="K173" s="2" t="s">
        <v>1706</v>
      </c>
      <c r="L173" s="2" t="s">
        <v>1707</v>
      </c>
      <c r="M173" s="2" t="s">
        <v>1676</v>
      </c>
      <c r="N173" s="2">
        <v>0.05</v>
      </c>
      <c r="O173" s="2">
        <v>114804.90000000001</v>
      </c>
      <c r="P173" s="2" t="str">
        <f t="shared" si="0"/>
        <v>High</v>
      </c>
    </row>
    <row r="174" spans="1:16" ht="14.25" customHeight="1" x14ac:dyDescent="0.5">
      <c r="A174" s="2" t="s">
        <v>659</v>
      </c>
      <c r="B174" s="2" t="s">
        <v>1895</v>
      </c>
      <c r="C174" s="2" t="s">
        <v>1671</v>
      </c>
      <c r="D174" s="2" t="s">
        <v>34</v>
      </c>
      <c r="E174" s="2" t="s">
        <v>1951</v>
      </c>
      <c r="F174" s="2">
        <v>61083</v>
      </c>
      <c r="G174" s="2" t="s">
        <v>36</v>
      </c>
      <c r="H174" s="2" t="s">
        <v>1680</v>
      </c>
      <c r="I174" s="2" t="s">
        <v>77</v>
      </c>
      <c r="J174" s="2" t="s">
        <v>661</v>
      </c>
      <c r="K174" s="2" t="s">
        <v>1691</v>
      </c>
      <c r="L174" s="2" t="s">
        <v>1692</v>
      </c>
      <c r="M174" s="2" t="s">
        <v>1711</v>
      </c>
      <c r="N174" s="2">
        <v>0.1</v>
      </c>
      <c r="O174" s="2">
        <v>67191.3</v>
      </c>
      <c r="P174" s="2" t="str">
        <f t="shared" si="0"/>
        <v>Normal</v>
      </c>
    </row>
    <row r="175" spans="1:16" ht="14.25" customHeight="1" x14ac:dyDescent="0.5">
      <c r="A175" s="2" t="s">
        <v>662</v>
      </c>
      <c r="B175" s="2" t="s">
        <v>1689</v>
      </c>
      <c r="C175" s="2" t="s">
        <v>1785</v>
      </c>
      <c r="D175" s="2" t="s">
        <v>100</v>
      </c>
      <c r="E175" s="2" t="s">
        <v>1698</v>
      </c>
      <c r="F175" s="2">
        <v>58354</v>
      </c>
      <c r="G175" s="2" t="s">
        <v>57</v>
      </c>
      <c r="H175" s="2" t="s">
        <v>45</v>
      </c>
      <c r="I175" s="2" t="s">
        <v>1673</v>
      </c>
      <c r="J175" s="2" t="s">
        <v>664</v>
      </c>
      <c r="K175" s="2" t="s">
        <v>1686</v>
      </c>
      <c r="L175" s="2" t="s">
        <v>1687</v>
      </c>
      <c r="M175" s="2" t="s">
        <v>1719</v>
      </c>
      <c r="N175" s="2">
        <v>0.15</v>
      </c>
      <c r="O175" s="2">
        <v>67107.099999999991</v>
      </c>
      <c r="P175" s="2" t="str">
        <f t="shared" si="0"/>
        <v>Normal</v>
      </c>
    </row>
    <row r="176" spans="1:16" ht="14.25" customHeight="1" x14ac:dyDescent="0.5">
      <c r="A176" s="2" t="s">
        <v>665</v>
      </c>
      <c r="B176" s="2" t="s">
        <v>1903</v>
      </c>
      <c r="C176" s="2" t="s">
        <v>1724</v>
      </c>
      <c r="D176" s="2" t="s">
        <v>69</v>
      </c>
      <c r="E176" s="2" t="s">
        <v>1952</v>
      </c>
      <c r="F176" s="2">
        <v>62190</v>
      </c>
      <c r="G176" s="2" t="s">
        <v>36</v>
      </c>
      <c r="H176" s="2" t="s">
        <v>45</v>
      </c>
      <c r="I176" s="2" t="s">
        <v>77</v>
      </c>
      <c r="J176" s="2" t="s">
        <v>667</v>
      </c>
      <c r="K176" s="2" t="s">
        <v>1691</v>
      </c>
      <c r="L176" s="2" t="s">
        <v>1692</v>
      </c>
      <c r="M176" s="2" t="s">
        <v>1693</v>
      </c>
      <c r="N176" s="2">
        <v>0.15</v>
      </c>
      <c r="O176" s="2">
        <v>71518.5</v>
      </c>
      <c r="P176" s="2" t="str">
        <f t="shared" si="0"/>
        <v>Normal</v>
      </c>
    </row>
    <row r="177" spans="1:16" ht="14.25" customHeight="1" x14ac:dyDescent="0.5">
      <c r="A177" s="2" t="s">
        <v>668</v>
      </c>
      <c r="B177" s="2" t="s">
        <v>1953</v>
      </c>
      <c r="C177" s="2" t="s">
        <v>1671</v>
      </c>
      <c r="D177" s="2" t="s">
        <v>34</v>
      </c>
      <c r="E177" s="2" t="s">
        <v>1954</v>
      </c>
      <c r="F177" s="2">
        <v>46142</v>
      </c>
      <c r="G177" s="2" t="s">
        <v>36</v>
      </c>
      <c r="H177" s="2" t="s">
        <v>1680</v>
      </c>
      <c r="I177" s="2" t="s">
        <v>77</v>
      </c>
      <c r="J177" s="2" t="s">
        <v>671</v>
      </c>
      <c r="K177" s="2" t="s">
        <v>1691</v>
      </c>
      <c r="L177" s="2" t="s">
        <v>1692</v>
      </c>
      <c r="M177" s="2" t="s">
        <v>1688</v>
      </c>
      <c r="N177" s="2">
        <v>0.1</v>
      </c>
      <c r="O177" s="2">
        <v>50756.200000000004</v>
      </c>
      <c r="P177" s="2" t="str">
        <f t="shared" si="0"/>
        <v>Normal</v>
      </c>
    </row>
    <row r="178" spans="1:16" ht="14.25" customHeight="1" x14ac:dyDescent="0.5">
      <c r="A178" s="2" t="s">
        <v>672</v>
      </c>
      <c r="B178" s="2" t="s">
        <v>1924</v>
      </c>
      <c r="C178" s="2" t="s">
        <v>1717</v>
      </c>
      <c r="D178" s="2" t="s">
        <v>100</v>
      </c>
      <c r="E178" s="2" t="s">
        <v>1955</v>
      </c>
      <c r="F178" s="2">
        <v>68398</v>
      </c>
      <c r="G178" s="2" t="s">
        <v>36</v>
      </c>
      <c r="H178" s="2" t="s">
        <v>1699</v>
      </c>
      <c r="I178" s="2" t="s">
        <v>1685</v>
      </c>
      <c r="J178" s="2" t="s">
        <v>674</v>
      </c>
      <c r="K178" s="2" t="s">
        <v>1674</v>
      </c>
      <c r="L178" s="2" t="s">
        <v>1675</v>
      </c>
      <c r="M178" s="2" t="s">
        <v>1688</v>
      </c>
      <c r="N178" s="2">
        <v>0.15</v>
      </c>
      <c r="O178" s="2">
        <v>78657.7</v>
      </c>
      <c r="P178" s="2" t="str">
        <f t="shared" si="0"/>
        <v>Normal</v>
      </c>
    </row>
    <row r="179" spans="1:16" ht="14.25" customHeight="1" x14ac:dyDescent="0.5">
      <c r="A179" s="2" t="s">
        <v>675</v>
      </c>
      <c r="B179" s="2" t="s">
        <v>1716</v>
      </c>
      <c r="C179" s="2" t="s">
        <v>1678</v>
      </c>
      <c r="D179" s="2" t="s">
        <v>75</v>
      </c>
      <c r="E179" s="2" t="s">
        <v>1956</v>
      </c>
      <c r="F179" s="2">
        <v>91971</v>
      </c>
      <c r="G179" s="2" t="s">
        <v>83</v>
      </c>
      <c r="H179" s="2" t="s">
        <v>45</v>
      </c>
      <c r="I179" s="2" t="s">
        <v>1673</v>
      </c>
      <c r="J179" s="2" t="s">
        <v>677</v>
      </c>
      <c r="K179" s="2" t="s">
        <v>1706</v>
      </c>
      <c r="L179" s="2" t="s">
        <v>1707</v>
      </c>
      <c r="M179" s="2" t="s">
        <v>1719</v>
      </c>
      <c r="N179" s="2">
        <v>0.05</v>
      </c>
      <c r="O179" s="2">
        <v>96569.55</v>
      </c>
      <c r="P179" s="2" t="str">
        <f t="shared" si="0"/>
        <v>Normal</v>
      </c>
    </row>
    <row r="180" spans="1:16" ht="14.25" customHeight="1" x14ac:dyDescent="0.5">
      <c r="A180" s="2" t="s">
        <v>678</v>
      </c>
      <c r="B180" s="2" t="s">
        <v>1807</v>
      </c>
      <c r="C180" s="2" t="s">
        <v>1785</v>
      </c>
      <c r="D180" s="2" t="s">
        <v>42</v>
      </c>
      <c r="E180" s="2" t="s">
        <v>1872</v>
      </c>
      <c r="F180" s="2">
        <v>81862</v>
      </c>
      <c r="G180" s="2" t="s">
        <v>83</v>
      </c>
      <c r="H180" s="2" t="s">
        <v>1699</v>
      </c>
      <c r="I180" s="2" t="s">
        <v>77</v>
      </c>
      <c r="J180" s="2" t="s">
        <v>680</v>
      </c>
      <c r="K180" s="2" t="s">
        <v>1686</v>
      </c>
      <c r="L180" s="2" t="s">
        <v>1687</v>
      </c>
      <c r="M180" s="2" t="s">
        <v>1676</v>
      </c>
      <c r="N180" s="2">
        <v>0.15</v>
      </c>
      <c r="O180" s="2">
        <v>94141.299999999988</v>
      </c>
      <c r="P180" s="2" t="str">
        <f t="shared" si="0"/>
        <v>Normal</v>
      </c>
    </row>
    <row r="181" spans="1:16" ht="14.25" customHeight="1" x14ac:dyDescent="0.5">
      <c r="A181" s="2" t="s">
        <v>681</v>
      </c>
      <c r="B181" s="2" t="s">
        <v>1865</v>
      </c>
      <c r="C181" s="2" t="s">
        <v>1717</v>
      </c>
      <c r="D181" s="2" t="s">
        <v>15</v>
      </c>
      <c r="E181" s="2" t="s">
        <v>1957</v>
      </c>
      <c r="F181" s="2">
        <v>93410</v>
      </c>
      <c r="G181" s="2" t="s">
        <v>36</v>
      </c>
      <c r="H181" s="2" t="s">
        <v>1699</v>
      </c>
      <c r="I181" s="2" t="s">
        <v>77</v>
      </c>
      <c r="J181" s="2" t="s">
        <v>683</v>
      </c>
      <c r="K181" s="2" t="s">
        <v>1691</v>
      </c>
      <c r="L181" s="2" t="s">
        <v>1692</v>
      </c>
      <c r="M181" s="2" t="s">
        <v>1711</v>
      </c>
      <c r="N181" s="2">
        <v>0.1</v>
      </c>
      <c r="O181" s="2">
        <v>102751.00000000001</v>
      </c>
      <c r="P181" s="2" t="str">
        <f t="shared" si="0"/>
        <v>High</v>
      </c>
    </row>
    <row r="182" spans="1:16" ht="14.25" customHeight="1" x14ac:dyDescent="0.5">
      <c r="A182" s="2" t="s">
        <v>684</v>
      </c>
      <c r="B182" s="2" t="s">
        <v>1958</v>
      </c>
      <c r="C182" s="2" t="s">
        <v>1733</v>
      </c>
      <c r="D182" s="2" t="s">
        <v>50</v>
      </c>
      <c r="E182" s="2" t="s">
        <v>1959</v>
      </c>
      <c r="F182" s="2">
        <v>59503</v>
      </c>
      <c r="G182" s="2" t="s">
        <v>83</v>
      </c>
      <c r="H182" s="2" t="s">
        <v>1680</v>
      </c>
      <c r="I182" s="2" t="s">
        <v>1681</v>
      </c>
      <c r="J182" s="2" t="s">
        <v>687</v>
      </c>
      <c r="K182" s="2" t="s">
        <v>1686</v>
      </c>
      <c r="L182" s="2" t="s">
        <v>1687</v>
      </c>
      <c r="M182" s="2" t="s">
        <v>1688</v>
      </c>
      <c r="N182" s="2">
        <v>0.05</v>
      </c>
      <c r="O182" s="2">
        <v>62478.15</v>
      </c>
      <c r="P182" s="2" t="str">
        <f t="shared" si="0"/>
        <v>Normal</v>
      </c>
    </row>
    <row r="183" spans="1:16" ht="14.25" customHeight="1" x14ac:dyDescent="0.5">
      <c r="A183" s="2" t="s">
        <v>688</v>
      </c>
      <c r="B183" s="2" t="s">
        <v>1914</v>
      </c>
      <c r="C183" s="2" t="s">
        <v>1717</v>
      </c>
      <c r="D183" s="2" t="s">
        <v>50</v>
      </c>
      <c r="E183" s="2" t="s">
        <v>1960</v>
      </c>
      <c r="F183" s="2">
        <v>88456</v>
      </c>
      <c r="G183" s="2" t="s">
        <v>57</v>
      </c>
      <c r="H183" s="2" t="s">
        <v>45</v>
      </c>
      <c r="I183" s="2" t="s">
        <v>1703</v>
      </c>
      <c r="J183" s="2" t="s">
        <v>690</v>
      </c>
      <c r="K183" s="2" t="s">
        <v>1674</v>
      </c>
      <c r="L183" s="2" t="s">
        <v>1675</v>
      </c>
      <c r="M183" s="2" t="s">
        <v>1711</v>
      </c>
      <c r="N183" s="2">
        <v>0.1</v>
      </c>
      <c r="O183" s="2">
        <v>97301.6</v>
      </c>
      <c r="P183" s="2" t="str">
        <f t="shared" si="0"/>
        <v>Normal</v>
      </c>
    </row>
    <row r="184" spans="1:16" ht="14.25" customHeight="1" x14ac:dyDescent="0.5">
      <c r="A184" s="2" t="s">
        <v>691</v>
      </c>
      <c r="B184" s="2" t="s">
        <v>1846</v>
      </c>
      <c r="C184" s="2" t="s">
        <v>1721</v>
      </c>
      <c r="D184" s="2" t="s">
        <v>42</v>
      </c>
      <c r="E184" s="2" t="s">
        <v>1961</v>
      </c>
      <c r="F184" s="2">
        <v>48016</v>
      </c>
      <c r="G184" s="2" t="s">
        <v>36</v>
      </c>
      <c r="H184" s="2" t="s">
        <v>1680</v>
      </c>
      <c r="I184" s="2" t="s">
        <v>1673</v>
      </c>
      <c r="J184" s="2" t="s">
        <v>693</v>
      </c>
      <c r="K184" s="2" t="s">
        <v>1706</v>
      </c>
      <c r="L184" s="2" t="s">
        <v>1707</v>
      </c>
      <c r="M184" s="2" t="s">
        <v>1750</v>
      </c>
      <c r="N184" s="2">
        <v>0.2</v>
      </c>
      <c r="O184" s="2">
        <v>57619.199999999997</v>
      </c>
      <c r="P184" s="2" t="str">
        <f t="shared" si="0"/>
        <v>Normal</v>
      </c>
    </row>
    <row r="185" spans="1:16" ht="14.25" customHeight="1" x14ac:dyDescent="0.5">
      <c r="A185" s="2" t="s">
        <v>694</v>
      </c>
      <c r="B185" s="2" t="s">
        <v>1677</v>
      </c>
      <c r="C185" s="2" t="s">
        <v>1721</v>
      </c>
      <c r="D185" s="2" t="s">
        <v>15</v>
      </c>
      <c r="E185" s="2" t="s">
        <v>1962</v>
      </c>
      <c r="F185" s="2">
        <v>42384</v>
      </c>
      <c r="G185" s="2" t="s">
        <v>83</v>
      </c>
      <c r="H185" s="2" t="s">
        <v>45</v>
      </c>
      <c r="I185" s="2" t="s">
        <v>1681</v>
      </c>
      <c r="J185" s="2" t="s">
        <v>696</v>
      </c>
      <c r="K185" s="2" t="s">
        <v>1691</v>
      </c>
      <c r="L185" s="2" t="s">
        <v>1692</v>
      </c>
      <c r="M185" s="2" t="s">
        <v>1700</v>
      </c>
      <c r="N185" s="2">
        <v>0.05</v>
      </c>
      <c r="O185" s="2">
        <v>44503.200000000004</v>
      </c>
      <c r="P185" s="2" t="str">
        <f t="shared" si="0"/>
        <v>Normal</v>
      </c>
    </row>
    <row r="186" spans="1:16" ht="14.25" customHeight="1" x14ac:dyDescent="0.5">
      <c r="A186" s="2" t="s">
        <v>697</v>
      </c>
      <c r="B186" s="2" t="s">
        <v>1963</v>
      </c>
      <c r="C186" s="2" t="s">
        <v>1683</v>
      </c>
      <c r="D186" s="2" t="s">
        <v>42</v>
      </c>
      <c r="E186" s="2" t="s">
        <v>1964</v>
      </c>
      <c r="F186" s="2">
        <v>102320</v>
      </c>
      <c r="G186" s="2" t="s">
        <v>17</v>
      </c>
      <c r="H186" s="2" t="s">
        <v>1699</v>
      </c>
      <c r="I186" s="2" t="s">
        <v>1685</v>
      </c>
      <c r="J186" s="2" t="s">
        <v>700</v>
      </c>
      <c r="K186" s="2" t="s">
        <v>1706</v>
      </c>
      <c r="L186" s="2" t="s">
        <v>1707</v>
      </c>
      <c r="M186" s="2" t="s">
        <v>1676</v>
      </c>
      <c r="N186" s="2">
        <v>0.05</v>
      </c>
      <c r="O186" s="2">
        <v>107436</v>
      </c>
      <c r="P186" s="2" t="str">
        <f t="shared" si="0"/>
        <v>High</v>
      </c>
    </row>
    <row r="187" spans="1:16" ht="14.25" customHeight="1" x14ac:dyDescent="0.5">
      <c r="A187" s="2" t="s">
        <v>701</v>
      </c>
      <c r="B187" s="2" t="s">
        <v>1759</v>
      </c>
      <c r="C187" s="2" t="s">
        <v>1709</v>
      </c>
      <c r="D187" s="2" t="s">
        <v>75</v>
      </c>
      <c r="E187" s="2" t="s">
        <v>1965</v>
      </c>
      <c r="F187" s="2">
        <v>55072</v>
      </c>
      <c r="G187" s="2" t="s">
        <v>36</v>
      </c>
      <c r="H187" s="2" t="s">
        <v>1699</v>
      </c>
      <c r="I187" s="2" t="s">
        <v>1703</v>
      </c>
      <c r="J187" s="2" t="s">
        <v>703</v>
      </c>
      <c r="K187" s="2" t="s">
        <v>1674</v>
      </c>
      <c r="L187" s="2" t="s">
        <v>1675</v>
      </c>
      <c r="M187" s="2" t="s">
        <v>1693</v>
      </c>
      <c r="N187" s="2">
        <v>0.15</v>
      </c>
      <c r="O187" s="2">
        <v>63332.799999999996</v>
      </c>
      <c r="P187" s="2" t="str">
        <f t="shared" si="0"/>
        <v>Normal</v>
      </c>
    </row>
    <row r="188" spans="1:16" ht="14.25" customHeight="1" x14ac:dyDescent="0.5">
      <c r="A188" s="2" t="s">
        <v>704</v>
      </c>
      <c r="B188" s="2" t="s">
        <v>1871</v>
      </c>
      <c r="C188" s="2" t="s">
        <v>1709</v>
      </c>
      <c r="D188" s="2" t="s">
        <v>100</v>
      </c>
      <c r="E188" s="2" t="s">
        <v>1966</v>
      </c>
      <c r="F188" s="2">
        <v>80510</v>
      </c>
      <c r="G188" s="2" t="s">
        <v>36</v>
      </c>
      <c r="H188" s="2" t="s">
        <v>45</v>
      </c>
      <c r="I188" s="2" t="s">
        <v>1673</v>
      </c>
      <c r="J188" s="2" t="s">
        <v>706</v>
      </c>
      <c r="K188" s="2" t="s">
        <v>1674</v>
      </c>
      <c r="L188" s="2" t="s">
        <v>1675</v>
      </c>
      <c r="M188" s="2" t="s">
        <v>1700</v>
      </c>
      <c r="N188" s="2">
        <v>0.05</v>
      </c>
      <c r="O188" s="2">
        <v>84535.5</v>
      </c>
      <c r="P188" s="2" t="str">
        <f t="shared" si="0"/>
        <v>Normal</v>
      </c>
    </row>
    <row r="189" spans="1:16" ht="14.25" customHeight="1" x14ac:dyDescent="0.5">
      <c r="A189" s="2" t="s">
        <v>707</v>
      </c>
      <c r="B189" s="2" t="s">
        <v>1746</v>
      </c>
      <c r="C189" s="2" t="s">
        <v>1785</v>
      </c>
      <c r="D189" s="2" t="s">
        <v>34</v>
      </c>
      <c r="E189" s="2" t="s">
        <v>1967</v>
      </c>
      <c r="F189" s="2">
        <v>88933</v>
      </c>
      <c r="G189" s="2" t="s">
        <v>57</v>
      </c>
      <c r="H189" s="2" t="s">
        <v>45</v>
      </c>
      <c r="I189" s="2" t="s">
        <v>77</v>
      </c>
      <c r="J189" s="2" t="s">
        <v>709</v>
      </c>
      <c r="K189" s="2" t="s">
        <v>1686</v>
      </c>
      <c r="L189" s="2" t="s">
        <v>1687</v>
      </c>
      <c r="M189" s="2" t="s">
        <v>1700</v>
      </c>
      <c r="N189" s="2">
        <v>0.1</v>
      </c>
      <c r="O189" s="2">
        <v>97826.3</v>
      </c>
      <c r="P189" s="2" t="str">
        <f t="shared" si="0"/>
        <v>Normal</v>
      </c>
    </row>
    <row r="190" spans="1:16" ht="14.25" customHeight="1" x14ac:dyDescent="0.5">
      <c r="A190" s="2" t="s">
        <v>710</v>
      </c>
      <c r="B190" s="2" t="s">
        <v>1751</v>
      </c>
      <c r="C190" s="2" t="s">
        <v>1733</v>
      </c>
      <c r="D190" s="2" t="s">
        <v>50</v>
      </c>
      <c r="E190" s="2" t="s">
        <v>1968</v>
      </c>
      <c r="F190" s="2">
        <v>61826</v>
      </c>
      <c r="G190" s="2" t="s">
        <v>44</v>
      </c>
      <c r="H190" s="2" t="s">
        <v>1699</v>
      </c>
      <c r="I190" s="2" t="s">
        <v>1673</v>
      </c>
      <c r="J190" s="2" t="s">
        <v>712</v>
      </c>
      <c r="K190" s="2" t="s">
        <v>1691</v>
      </c>
      <c r="L190" s="2" t="s">
        <v>1692</v>
      </c>
      <c r="M190" s="2" t="s">
        <v>1750</v>
      </c>
      <c r="N190" s="2">
        <v>0.15</v>
      </c>
      <c r="O190" s="2">
        <v>71099.899999999994</v>
      </c>
      <c r="P190" s="2" t="str">
        <f t="shared" si="0"/>
        <v>Normal</v>
      </c>
    </row>
    <row r="191" spans="1:16" ht="14.25" customHeight="1" x14ac:dyDescent="0.5">
      <c r="A191" s="2" t="s">
        <v>713</v>
      </c>
      <c r="B191" s="2" t="s">
        <v>1723</v>
      </c>
      <c r="C191" s="2" t="s">
        <v>1694</v>
      </c>
      <c r="D191" s="2" t="s">
        <v>75</v>
      </c>
      <c r="E191" s="2" t="s">
        <v>1969</v>
      </c>
      <c r="F191" s="2">
        <v>108026</v>
      </c>
      <c r="G191" s="2" t="s">
        <v>44</v>
      </c>
      <c r="H191" s="2" t="s">
        <v>1680</v>
      </c>
      <c r="I191" s="2" t="s">
        <v>77</v>
      </c>
      <c r="J191" s="2" t="s">
        <v>715</v>
      </c>
      <c r="K191" s="2" t="s">
        <v>1686</v>
      </c>
      <c r="L191" s="2" t="s">
        <v>1687</v>
      </c>
      <c r="M191" s="2" t="s">
        <v>1688</v>
      </c>
      <c r="N191" s="2">
        <v>0.2</v>
      </c>
      <c r="O191" s="2">
        <v>129631.2</v>
      </c>
      <c r="P191" s="2" t="str">
        <f t="shared" si="0"/>
        <v>High</v>
      </c>
    </row>
    <row r="192" spans="1:16" ht="14.25" customHeight="1" x14ac:dyDescent="0.5">
      <c r="A192" s="2" t="s">
        <v>716</v>
      </c>
      <c r="B192" s="2" t="s">
        <v>1895</v>
      </c>
      <c r="C192" s="2" t="s">
        <v>1721</v>
      </c>
      <c r="D192" s="2" t="s">
        <v>100</v>
      </c>
      <c r="E192" s="2" t="s">
        <v>1970</v>
      </c>
      <c r="F192" s="2">
        <v>65518</v>
      </c>
      <c r="G192" s="2" t="s">
        <v>57</v>
      </c>
      <c r="H192" s="2" t="s">
        <v>1680</v>
      </c>
      <c r="I192" s="2" t="s">
        <v>1703</v>
      </c>
      <c r="J192" s="2" t="s">
        <v>718</v>
      </c>
      <c r="K192" s="2" t="s">
        <v>1674</v>
      </c>
      <c r="L192" s="2" t="s">
        <v>1675</v>
      </c>
      <c r="M192" s="2" t="s">
        <v>1693</v>
      </c>
      <c r="N192" s="2">
        <v>0.1</v>
      </c>
      <c r="O192" s="2">
        <v>72069.8</v>
      </c>
      <c r="P192" s="2" t="str">
        <f t="shared" si="0"/>
        <v>Normal</v>
      </c>
    </row>
    <row r="193" spans="1:16" ht="14.25" customHeight="1" x14ac:dyDescent="0.5">
      <c r="A193" s="2" t="s">
        <v>719</v>
      </c>
      <c r="B193" s="2" t="s">
        <v>1971</v>
      </c>
      <c r="C193" s="2" t="s">
        <v>1785</v>
      </c>
      <c r="D193" s="2" t="s">
        <v>75</v>
      </c>
      <c r="E193" s="2" t="s">
        <v>1972</v>
      </c>
      <c r="F193" s="2">
        <v>64045</v>
      </c>
      <c r="G193" s="2" t="s">
        <v>57</v>
      </c>
      <c r="H193" s="2" t="s">
        <v>1699</v>
      </c>
      <c r="I193" s="2" t="s">
        <v>77</v>
      </c>
      <c r="J193" s="2" t="s">
        <v>722</v>
      </c>
      <c r="K193" s="2" t="s">
        <v>1706</v>
      </c>
      <c r="L193" s="2" t="s">
        <v>1707</v>
      </c>
      <c r="M193" s="2" t="s">
        <v>1688</v>
      </c>
      <c r="N193" s="2">
        <v>0.2</v>
      </c>
      <c r="O193" s="2">
        <v>76854</v>
      </c>
      <c r="P193" s="2" t="str">
        <f t="shared" si="0"/>
        <v>Normal</v>
      </c>
    </row>
    <row r="194" spans="1:16" ht="14.25" customHeight="1" x14ac:dyDescent="0.5">
      <c r="A194" s="2" t="s">
        <v>723</v>
      </c>
      <c r="B194" s="2" t="s">
        <v>1682</v>
      </c>
      <c r="C194" s="2" t="s">
        <v>1694</v>
      </c>
      <c r="D194" s="2" t="s">
        <v>15</v>
      </c>
      <c r="E194" s="2" t="s">
        <v>1973</v>
      </c>
      <c r="F194" s="2">
        <v>90876</v>
      </c>
      <c r="G194" s="2" t="s">
        <v>57</v>
      </c>
      <c r="H194" s="2" t="s">
        <v>1699</v>
      </c>
      <c r="I194" s="2" t="s">
        <v>1685</v>
      </c>
      <c r="J194" s="2" t="s">
        <v>725</v>
      </c>
      <c r="K194" s="2" t="s">
        <v>1686</v>
      </c>
      <c r="L194" s="2" t="s">
        <v>1687</v>
      </c>
      <c r="M194" s="2" t="s">
        <v>1719</v>
      </c>
      <c r="N194" s="2">
        <v>0.2</v>
      </c>
      <c r="O194" s="2">
        <v>109051.2</v>
      </c>
      <c r="P194" s="2" t="str">
        <f t="shared" si="0"/>
        <v>High</v>
      </c>
    </row>
    <row r="195" spans="1:16" ht="14.25" customHeight="1" x14ac:dyDescent="0.5">
      <c r="A195" s="2" t="s">
        <v>726</v>
      </c>
      <c r="B195" s="2" t="s">
        <v>1784</v>
      </c>
      <c r="C195" s="2" t="s">
        <v>1709</v>
      </c>
      <c r="D195" s="2" t="s">
        <v>50</v>
      </c>
      <c r="E195" s="2" t="s">
        <v>1974</v>
      </c>
      <c r="F195" s="2">
        <v>91919</v>
      </c>
      <c r="G195" s="2" t="s">
        <v>44</v>
      </c>
      <c r="H195" s="2" t="s">
        <v>1680</v>
      </c>
      <c r="I195" s="2" t="s">
        <v>77</v>
      </c>
      <c r="J195" s="2" t="s">
        <v>728</v>
      </c>
      <c r="K195" s="2" t="s">
        <v>1686</v>
      </c>
      <c r="L195" s="2" t="s">
        <v>1687</v>
      </c>
      <c r="M195" s="2" t="s">
        <v>1700</v>
      </c>
      <c r="N195" s="2">
        <v>0.2</v>
      </c>
      <c r="O195" s="2">
        <v>110302.8</v>
      </c>
      <c r="P195" s="2" t="str">
        <f t="shared" si="0"/>
        <v>High</v>
      </c>
    </row>
    <row r="196" spans="1:16" ht="14.25" customHeight="1" x14ac:dyDescent="0.5">
      <c r="A196" s="2" t="s">
        <v>729</v>
      </c>
      <c r="B196" s="2" t="s">
        <v>1963</v>
      </c>
      <c r="C196" s="2" t="s">
        <v>1683</v>
      </c>
      <c r="D196" s="2" t="s">
        <v>34</v>
      </c>
      <c r="E196" s="2" t="s">
        <v>1975</v>
      </c>
      <c r="F196" s="2">
        <v>67103</v>
      </c>
      <c r="G196" s="2" t="s">
        <v>57</v>
      </c>
      <c r="H196" s="2" t="s">
        <v>1680</v>
      </c>
      <c r="I196" s="2" t="s">
        <v>77</v>
      </c>
      <c r="J196" s="2" t="s">
        <v>731</v>
      </c>
      <c r="K196" s="2" t="s">
        <v>1706</v>
      </c>
      <c r="L196" s="2" t="s">
        <v>1707</v>
      </c>
      <c r="M196" s="2" t="s">
        <v>1719</v>
      </c>
      <c r="N196" s="2">
        <v>0.05</v>
      </c>
      <c r="O196" s="2">
        <v>70458.150000000009</v>
      </c>
      <c r="P196" s="2" t="str">
        <f t="shared" si="0"/>
        <v>Normal</v>
      </c>
    </row>
    <row r="197" spans="1:16" ht="14.25" customHeight="1" x14ac:dyDescent="0.5">
      <c r="A197" s="2" t="s">
        <v>732</v>
      </c>
      <c r="B197" s="2" t="s">
        <v>1819</v>
      </c>
      <c r="C197" s="2" t="s">
        <v>1717</v>
      </c>
      <c r="D197" s="2" t="s">
        <v>42</v>
      </c>
      <c r="E197" s="2" t="s">
        <v>1749</v>
      </c>
      <c r="F197" s="2">
        <v>76188</v>
      </c>
      <c r="G197" s="2" t="s">
        <v>83</v>
      </c>
      <c r="H197" s="2" t="s">
        <v>45</v>
      </c>
      <c r="I197" s="2" t="s">
        <v>1685</v>
      </c>
      <c r="J197" s="2" t="s">
        <v>734</v>
      </c>
      <c r="K197" s="2" t="s">
        <v>1686</v>
      </c>
      <c r="L197" s="2" t="s">
        <v>1687</v>
      </c>
      <c r="M197" s="2" t="s">
        <v>1711</v>
      </c>
      <c r="N197" s="2">
        <v>0.1</v>
      </c>
      <c r="O197" s="2">
        <v>83806.8</v>
      </c>
      <c r="P197" s="2" t="str">
        <f t="shared" si="0"/>
        <v>Normal</v>
      </c>
    </row>
    <row r="198" spans="1:16" ht="14.25" customHeight="1" x14ac:dyDescent="0.5">
      <c r="A198" s="2" t="s">
        <v>735</v>
      </c>
      <c r="B198" s="2" t="s">
        <v>1976</v>
      </c>
      <c r="C198" s="2" t="s">
        <v>1721</v>
      </c>
      <c r="D198" s="2" t="s">
        <v>42</v>
      </c>
      <c r="E198" s="2" t="s">
        <v>1818</v>
      </c>
      <c r="F198" s="2">
        <v>45845</v>
      </c>
      <c r="G198" s="2" t="s">
        <v>36</v>
      </c>
      <c r="H198" s="2" t="s">
        <v>1680</v>
      </c>
      <c r="I198" s="2" t="s">
        <v>77</v>
      </c>
      <c r="J198" s="2" t="s">
        <v>738</v>
      </c>
      <c r="K198" s="2" t="s">
        <v>1706</v>
      </c>
      <c r="L198" s="2" t="s">
        <v>1707</v>
      </c>
      <c r="M198" s="2" t="s">
        <v>1700</v>
      </c>
      <c r="N198" s="2">
        <v>0.1</v>
      </c>
      <c r="O198" s="2">
        <v>50429.500000000007</v>
      </c>
      <c r="P198" s="2" t="str">
        <f t="shared" si="0"/>
        <v>Normal</v>
      </c>
    </row>
    <row r="199" spans="1:16" ht="14.25" customHeight="1" x14ac:dyDescent="0.5">
      <c r="A199" s="2" t="s">
        <v>739</v>
      </c>
      <c r="B199" s="2" t="s">
        <v>1977</v>
      </c>
      <c r="C199" s="2" t="s">
        <v>1785</v>
      </c>
      <c r="D199" s="2" t="s">
        <v>100</v>
      </c>
      <c r="E199" s="2" t="s">
        <v>1889</v>
      </c>
      <c r="F199" s="2">
        <v>76674</v>
      </c>
      <c r="G199" s="2" t="s">
        <v>36</v>
      </c>
      <c r="H199" s="2" t="s">
        <v>45</v>
      </c>
      <c r="I199" s="2" t="s">
        <v>1703</v>
      </c>
      <c r="J199" s="2" t="s">
        <v>742</v>
      </c>
      <c r="K199" s="2" t="s">
        <v>1691</v>
      </c>
      <c r="L199" s="2" t="s">
        <v>1692</v>
      </c>
      <c r="M199" s="2" t="s">
        <v>1688</v>
      </c>
      <c r="N199" s="2">
        <v>0.05</v>
      </c>
      <c r="O199" s="2">
        <v>80507.7</v>
      </c>
      <c r="P199" s="2" t="str">
        <f t="shared" si="0"/>
        <v>Normal</v>
      </c>
    </row>
    <row r="200" spans="1:16" ht="14.25" customHeight="1" x14ac:dyDescent="0.5">
      <c r="A200" s="2" t="s">
        <v>743</v>
      </c>
      <c r="B200" s="2" t="s">
        <v>1755</v>
      </c>
      <c r="C200" s="2" t="s">
        <v>1671</v>
      </c>
      <c r="D200" s="2" t="s">
        <v>34</v>
      </c>
      <c r="E200" s="2" t="s">
        <v>1978</v>
      </c>
      <c r="F200" s="2">
        <v>59337</v>
      </c>
      <c r="G200" s="2" t="s">
        <v>17</v>
      </c>
      <c r="H200" s="2" t="s">
        <v>45</v>
      </c>
      <c r="I200" s="2" t="s">
        <v>1703</v>
      </c>
      <c r="J200" s="2" t="s">
        <v>745</v>
      </c>
      <c r="K200" s="2" t="s">
        <v>1706</v>
      </c>
      <c r="L200" s="2" t="s">
        <v>1707</v>
      </c>
      <c r="M200" s="2" t="s">
        <v>1700</v>
      </c>
      <c r="N200" s="2">
        <v>0.15</v>
      </c>
      <c r="O200" s="2">
        <v>68237.549999999988</v>
      </c>
      <c r="P200" s="2" t="str">
        <f t="shared" si="0"/>
        <v>Normal</v>
      </c>
    </row>
    <row r="201" spans="1:16" ht="14.25" customHeight="1" x14ac:dyDescent="0.5">
      <c r="A201" s="2" t="s">
        <v>746</v>
      </c>
      <c r="B201" s="2" t="s">
        <v>1789</v>
      </c>
      <c r="C201" s="2" t="s">
        <v>1694</v>
      </c>
      <c r="D201" s="2" t="s">
        <v>69</v>
      </c>
      <c r="E201" s="2" t="s">
        <v>1979</v>
      </c>
      <c r="F201" s="2">
        <v>62313</v>
      </c>
      <c r="G201" s="2" t="s">
        <v>17</v>
      </c>
      <c r="H201" s="2" t="s">
        <v>45</v>
      </c>
      <c r="I201" s="2" t="s">
        <v>1673</v>
      </c>
      <c r="J201" s="2" t="s">
        <v>748</v>
      </c>
      <c r="K201" s="2" t="s">
        <v>1691</v>
      </c>
      <c r="L201" s="2" t="s">
        <v>1692</v>
      </c>
      <c r="M201" s="2" t="s">
        <v>1711</v>
      </c>
      <c r="N201" s="2">
        <v>0.2</v>
      </c>
      <c r="O201" s="2">
        <v>74775.599999999991</v>
      </c>
      <c r="P201" s="2" t="str">
        <f t="shared" si="0"/>
        <v>Normal</v>
      </c>
    </row>
    <row r="202" spans="1:16" ht="14.25" customHeight="1" x14ac:dyDescent="0.5">
      <c r="A202" s="2" t="s">
        <v>749</v>
      </c>
      <c r="B202" s="2" t="s">
        <v>1846</v>
      </c>
      <c r="C202" s="2" t="s">
        <v>1717</v>
      </c>
      <c r="D202" s="2" t="s">
        <v>15</v>
      </c>
      <c r="E202" s="2" t="s">
        <v>1980</v>
      </c>
      <c r="F202" s="2">
        <v>66943</v>
      </c>
      <c r="G202" s="2" t="s">
        <v>36</v>
      </c>
      <c r="H202" s="2" t="s">
        <v>1699</v>
      </c>
      <c r="I202" s="2" t="s">
        <v>1685</v>
      </c>
      <c r="J202" s="2" t="s">
        <v>751</v>
      </c>
      <c r="K202" s="2" t="s">
        <v>1706</v>
      </c>
      <c r="L202" s="2" t="s">
        <v>1707</v>
      </c>
      <c r="M202" s="2" t="s">
        <v>1750</v>
      </c>
      <c r="N202" s="2">
        <v>0.1</v>
      </c>
      <c r="O202" s="2">
        <v>73637.3</v>
      </c>
      <c r="P202" s="2" t="str">
        <f t="shared" si="0"/>
        <v>Normal</v>
      </c>
    </row>
    <row r="203" spans="1:16" ht="14.25" customHeight="1" x14ac:dyDescent="0.5">
      <c r="A203" s="2" t="s">
        <v>752</v>
      </c>
      <c r="B203" s="2" t="s">
        <v>1732</v>
      </c>
      <c r="C203" s="2" t="s">
        <v>1721</v>
      </c>
      <c r="D203" s="2" t="s">
        <v>100</v>
      </c>
      <c r="E203" s="2" t="s">
        <v>1981</v>
      </c>
      <c r="F203" s="2">
        <v>117949</v>
      </c>
      <c r="G203" s="2" t="s">
        <v>83</v>
      </c>
      <c r="H203" s="2" t="s">
        <v>1680</v>
      </c>
      <c r="I203" s="2" t="s">
        <v>1685</v>
      </c>
      <c r="J203" s="2" t="s">
        <v>754</v>
      </c>
      <c r="K203" s="2" t="s">
        <v>1674</v>
      </c>
      <c r="L203" s="2" t="s">
        <v>1675</v>
      </c>
      <c r="M203" s="2" t="s">
        <v>1719</v>
      </c>
      <c r="N203" s="2">
        <v>0.05</v>
      </c>
      <c r="O203" s="2">
        <v>123846.45000000001</v>
      </c>
      <c r="P203" s="2" t="str">
        <f t="shared" si="0"/>
        <v>High</v>
      </c>
    </row>
    <row r="204" spans="1:16" ht="14.25" customHeight="1" x14ac:dyDescent="0.5">
      <c r="A204" s="2" t="s">
        <v>755</v>
      </c>
      <c r="B204" s="2" t="s">
        <v>1857</v>
      </c>
      <c r="C204" s="2" t="s">
        <v>1709</v>
      </c>
      <c r="D204" s="2" t="s">
        <v>69</v>
      </c>
      <c r="E204" s="2" t="s">
        <v>1982</v>
      </c>
      <c r="F204" s="2">
        <v>40276</v>
      </c>
      <c r="G204" s="2" t="s">
        <v>44</v>
      </c>
      <c r="H204" s="2" t="s">
        <v>1699</v>
      </c>
      <c r="I204" s="2" t="s">
        <v>1681</v>
      </c>
      <c r="J204" s="2" t="s">
        <v>757</v>
      </c>
      <c r="K204" s="2" t="s">
        <v>1674</v>
      </c>
      <c r="L204" s="2" t="s">
        <v>1675</v>
      </c>
      <c r="M204" s="2" t="s">
        <v>1696</v>
      </c>
      <c r="N204" s="2">
        <v>0.2</v>
      </c>
      <c r="O204" s="2">
        <v>48331.199999999997</v>
      </c>
      <c r="P204" s="2" t="str">
        <f t="shared" si="0"/>
        <v>Normal</v>
      </c>
    </row>
    <row r="205" spans="1:16" ht="14.25" customHeight="1" x14ac:dyDescent="0.5">
      <c r="A205" s="2" t="s">
        <v>758</v>
      </c>
      <c r="B205" s="2" t="s">
        <v>1971</v>
      </c>
      <c r="C205" s="2" t="s">
        <v>1733</v>
      </c>
      <c r="D205" s="2" t="s">
        <v>75</v>
      </c>
      <c r="E205" s="2" t="s">
        <v>1983</v>
      </c>
      <c r="F205" s="2">
        <v>91151</v>
      </c>
      <c r="G205" s="2" t="s">
        <v>44</v>
      </c>
      <c r="H205" s="2" t="s">
        <v>1680</v>
      </c>
      <c r="I205" s="2" t="s">
        <v>1681</v>
      </c>
      <c r="J205" s="2" t="s">
        <v>760</v>
      </c>
      <c r="K205" s="2" t="s">
        <v>1691</v>
      </c>
      <c r="L205" s="2" t="s">
        <v>1692</v>
      </c>
      <c r="M205" s="2" t="s">
        <v>1719</v>
      </c>
      <c r="N205" s="2">
        <v>0.15</v>
      </c>
      <c r="O205" s="2">
        <v>104823.65</v>
      </c>
      <c r="P205" s="2" t="str">
        <f t="shared" si="0"/>
        <v>High</v>
      </c>
    </row>
    <row r="206" spans="1:16" ht="14.25" customHeight="1" x14ac:dyDescent="0.5">
      <c r="A206" s="2" t="s">
        <v>761</v>
      </c>
      <c r="B206" s="2" t="s">
        <v>1984</v>
      </c>
      <c r="C206" s="2" t="s">
        <v>1694</v>
      </c>
      <c r="D206" s="2" t="s">
        <v>15</v>
      </c>
      <c r="E206" s="2" t="s">
        <v>1985</v>
      </c>
      <c r="F206" s="2">
        <v>57611</v>
      </c>
      <c r="G206" s="2" t="s">
        <v>83</v>
      </c>
      <c r="H206" s="2" t="s">
        <v>1680</v>
      </c>
      <c r="I206" s="2" t="s">
        <v>77</v>
      </c>
      <c r="J206" s="2" t="s">
        <v>764</v>
      </c>
      <c r="K206" s="2" t="s">
        <v>1691</v>
      </c>
      <c r="L206" s="2" t="s">
        <v>1692</v>
      </c>
      <c r="M206" s="2" t="s">
        <v>1688</v>
      </c>
      <c r="N206" s="2">
        <v>0.15</v>
      </c>
      <c r="O206" s="2">
        <v>66252.649999999994</v>
      </c>
      <c r="P206" s="2" t="str">
        <f t="shared" si="0"/>
        <v>Normal</v>
      </c>
    </row>
    <row r="207" spans="1:16" ht="14.25" customHeight="1" x14ac:dyDescent="0.5">
      <c r="A207" s="2" t="s">
        <v>765</v>
      </c>
      <c r="B207" s="2" t="s">
        <v>1986</v>
      </c>
      <c r="C207" s="2" t="s">
        <v>1709</v>
      </c>
      <c r="D207" s="2" t="s">
        <v>75</v>
      </c>
      <c r="E207" s="2" t="s">
        <v>1987</v>
      </c>
      <c r="F207" s="2">
        <v>51944</v>
      </c>
      <c r="G207" s="2" t="s">
        <v>44</v>
      </c>
      <c r="H207" s="2" t="s">
        <v>45</v>
      </c>
      <c r="I207" s="2" t="s">
        <v>77</v>
      </c>
      <c r="J207" s="2" t="s">
        <v>768</v>
      </c>
      <c r="K207" s="2" t="s">
        <v>1674</v>
      </c>
      <c r="L207" s="2" t="s">
        <v>1675</v>
      </c>
      <c r="M207" s="2" t="s">
        <v>1700</v>
      </c>
      <c r="N207" s="2">
        <v>0.2</v>
      </c>
      <c r="O207" s="2">
        <v>62332.799999999996</v>
      </c>
      <c r="P207" s="2" t="str">
        <f t="shared" si="0"/>
        <v>Normal</v>
      </c>
    </row>
    <row r="208" spans="1:16" ht="14.25" customHeight="1" x14ac:dyDescent="0.5">
      <c r="A208" s="2" t="s">
        <v>769</v>
      </c>
      <c r="B208" s="2" t="s">
        <v>1846</v>
      </c>
      <c r="C208" s="2" t="s">
        <v>1721</v>
      </c>
      <c r="D208" s="2" t="s">
        <v>34</v>
      </c>
      <c r="E208" s="2" t="s">
        <v>1988</v>
      </c>
      <c r="F208" s="2">
        <v>92887</v>
      </c>
      <c r="G208" s="2" t="s">
        <v>57</v>
      </c>
      <c r="H208" s="2" t="s">
        <v>1680</v>
      </c>
      <c r="I208" s="2" t="s">
        <v>1681</v>
      </c>
      <c r="J208" s="2" t="s">
        <v>771</v>
      </c>
      <c r="K208" s="2" t="s">
        <v>1691</v>
      </c>
      <c r="L208" s="2" t="s">
        <v>1692</v>
      </c>
      <c r="M208" s="2" t="s">
        <v>1688</v>
      </c>
      <c r="N208" s="2">
        <v>0.15</v>
      </c>
      <c r="O208" s="2">
        <v>106820.04999999999</v>
      </c>
      <c r="P208" s="2" t="str">
        <f t="shared" si="0"/>
        <v>High</v>
      </c>
    </row>
    <row r="209" spans="1:16" ht="14.25" customHeight="1" x14ac:dyDescent="0.5">
      <c r="A209" s="2" t="s">
        <v>772</v>
      </c>
      <c r="B209" s="2" t="s">
        <v>1811</v>
      </c>
      <c r="C209" s="2" t="s">
        <v>1694</v>
      </c>
      <c r="D209" s="2" t="s">
        <v>50</v>
      </c>
      <c r="E209" s="2" t="s">
        <v>1881</v>
      </c>
      <c r="F209" s="2">
        <v>89847</v>
      </c>
      <c r="G209" s="2" t="s">
        <v>36</v>
      </c>
      <c r="H209" s="2" t="s">
        <v>1680</v>
      </c>
      <c r="I209" s="2" t="s">
        <v>77</v>
      </c>
      <c r="J209" s="2" t="s">
        <v>774</v>
      </c>
      <c r="K209" s="2" t="s">
        <v>1706</v>
      </c>
      <c r="L209" s="2" t="s">
        <v>1707</v>
      </c>
      <c r="M209" s="2" t="s">
        <v>1750</v>
      </c>
      <c r="N209" s="2">
        <v>0.1</v>
      </c>
      <c r="O209" s="2">
        <v>98831.700000000012</v>
      </c>
      <c r="P209" s="2" t="str">
        <f t="shared" si="0"/>
        <v>Normal</v>
      </c>
    </row>
    <row r="210" spans="1:16" ht="14.25" customHeight="1" x14ac:dyDescent="0.5">
      <c r="A210" s="2" t="s">
        <v>775</v>
      </c>
      <c r="B210" s="2" t="s">
        <v>1807</v>
      </c>
      <c r="C210" s="2" t="s">
        <v>1717</v>
      </c>
      <c r="D210" s="2" t="s">
        <v>15</v>
      </c>
      <c r="E210" s="2" t="s">
        <v>1969</v>
      </c>
      <c r="F210" s="2">
        <v>98653</v>
      </c>
      <c r="G210" s="2" t="s">
        <v>36</v>
      </c>
      <c r="H210" s="2" t="s">
        <v>1699</v>
      </c>
      <c r="I210" s="2" t="s">
        <v>77</v>
      </c>
      <c r="J210" s="2" t="s">
        <v>777</v>
      </c>
      <c r="K210" s="2" t="s">
        <v>1706</v>
      </c>
      <c r="L210" s="2" t="s">
        <v>1707</v>
      </c>
      <c r="M210" s="2" t="s">
        <v>1700</v>
      </c>
      <c r="N210" s="2">
        <v>0.1</v>
      </c>
      <c r="O210" s="2">
        <v>108518.3</v>
      </c>
      <c r="P210" s="2" t="str">
        <f t="shared" si="0"/>
        <v>High</v>
      </c>
    </row>
    <row r="211" spans="1:16" ht="14.25" customHeight="1" x14ac:dyDescent="0.5">
      <c r="A211" s="2" t="s">
        <v>778</v>
      </c>
      <c r="B211" s="2" t="s">
        <v>1963</v>
      </c>
      <c r="C211" s="2" t="s">
        <v>1721</v>
      </c>
      <c r="D211" s="2" t="s">
        <v>69</v>
      </c>
      <c r="E211" s="2" t="s">
        <v>1989</v>
      </c>
      <c r="F211" s="2">
        <v>96622</v>
      </c>
      <c r="G211" s="2" t="s">
        <v>83</v>
      </c>
      <c r="H211" s="2" t="s">
        <v>1680</v>
      </c>
      <c r="I211" s="2" t="s">
        <v>1681</v>
      </c>
      <c r="J211" s="2" t="s">
        <v>780</v>
      </c>
      <c r="K211" s="2" t="s">
        <v>1674</v>
      </c>
      <c r="L211" s="2" t="s">
        <v>1675</v>
      </c>
      <c r="M211" s="2" t="s">
        <v>1696</v>
      </c>
      <c r="N211" s="2">
        <v>0.1</v>
      </c>
      <c r="O211" s="2">
        <v>106284.20000000001</v>
      </c>
      <c r="P211" s="2" t="str">
        <f t="shared" si="0"/>
        <v>High</v>
      </c>
    </row>
    <row r="212" spans="1:16" ht="14.25" customHeight="1" x14ac:dyDescent="0.5">
      <c r="A212" s="2" t="s">
        <v>781</v>
      </c>
      <c r="B212" s="2" t="s">
        <v>1884</v>
      </c>
      <c r="C212" s="2" t="s">
        <v>1678</v>
      </c>
      <c r="D212" s="2" t="s">
        <v>50</v>
      </c>
      <c r="E212" s="2" t="s">
        <v>1990</v>
      </c>
      <c r="F212" s="2">
        <v>67810</v>
      </c>
      <c r="G212" s="2" t="s">
        <v>44</v>
      </c>
      <c r="H212" s="2" t="s">
        <v>45</v>
      </c>
      <c r="I212" s="2" t="s">
        <v>1685</v>
      </c>
      <c r="J212" s="2" t="s">
        <v>783</v>
      </c>
      <c r="K212" s="2" t="s">
        <v>1686</v>
      </c>
      <c r="L212" s="2" t="s">
        <v>1687</v>
      </c>
      <c r="M212" s="2" t="s">
        <v>1700</v>
      </c>
      <c r="N212" s="2">
        <v>0.15</v>
      </c>
      <c r="O212" s="2">
        <v>77981.5</v>
      </c>
      <c r="P212" s="2" t="str">
        <f t="shared" si="0"/>
        <v>Normal</v>
      </c>
    </row>
    <row r="213" spans="1:16" ht="14.25" customHeight="1" x14ac:dyDescent="0.5">
      <c r="A213" s="2" t="s">
        <v>784</v>
      </c>
      <c r="B213" s="2" t="s">
        <v>1963</v>
      </c>
      <c r="C213" s="2" t="s">
        <v>1785</v>
      </c>
      <c r="D213" s="2" t="s">
        <v>42</v>
      </c>
      <c r="E213" s="2" t="s">
        <v>1991</v>
      </c>
      <c r="F213" s="2">
        <v>117842</v>
      </c>
      <c r="G213" s="2" t="s">
        <v>17</v>
      </c>
      <c r="H213" s="2" t="s">
        <v>45</v>
      </c>
      <c r="I213" s="2" t="s">
        <v>77</v>
      </c>
      <c r="J213" s="2" t="s">
        <v>786</v>
      </c>
      <c r="K213" s="2" t="s">
        <v>1706</v>
      </c>
      <c r="L213" s="2" t="s">
        <v>1707</v>
      </c>
      <c r="M213" s="2" t="s">
        <v>1696</v>
      </c>
      <c r="N213" s="2">
        <v>0.1</v>
      </c>
      <c r="O213" s="2">
        <v>129626.20000000001</v>
      </c>
      <c r="P213" s="2" t="str">
        <f t="shared" si="0"/>
        <v>High</v>
      </c>
    </row>
    <row r="214" spans="1:16" ht="14.25" customHeight="1" x14ac:dyDescent="0.5">
      <c r="A214" s="2" t="s">
        <v>787</v>
      </c>
      <c r="B214" s="2" t="s">
        <v>1807</v>
      </c>
      <c r="C214" s="2" t="s">
        <v>1717</v>
      </c>
      <c r="D214" s="2" t="s">
        <v>69</v>
      </c>
      <c r="E214" s="2" t="s">
        <v>1992</v>
      </c>
      <c r="F214" s="2">
        <v>50503</v>
      </c>
      <c r="G214" s="2" t="s">
        <v>17</v>
      </c>
      <c r="H214" s="2" t="s">
        <v>1699</v>
      </c>
      <c r="I214" s="2" t="s">
        <v>77</v>
      </c>
      <c r="J214" s="2" t="s">
        <v>789</v>
      </c>
      <c r="K214" s="2" t="s">
        <v>1691</v>
      </c>
      <c r="L214" s="2" t="s">
        <v>1692</v>
      </c>
      <c r="M214" s="2" t="s">
        <v>1688</v>
      </c>
      <c r="N214" s="2">
        <v>0.05</v>
      </c>
      <c r="O214" s="2">
        <v>53028.15</v>
      </c>
      <c r="P214" s="2" t="str">
        <f t="shared" si="0"/>
        <v>Normal</v>
      </c>
    </row>
    <row r="215" spans="1:16" ht="14.25" customHeight="1" x14ac:dyDescent="0.5">
      <c r="A215" s="2" t="s">
        <v>790</v>
      </c>
      <c r="B215" s="2" t="s">
        <v>1704</v>
      </c>
      <c r="C215" s="2" t="s">
        <v>1694</v>
      </c>
      <c r="D215" s="2" t="s">
        <v>100</v>
      </c>
      <c r="E215" s="2" t="s">
        <v>1993</v>
      </c>
      <c r="F215" s="2">
        <v>76976</v>
      </c>
      <c r="G215" s="2" t="s">
        <v>44</v>
      </c>
      <c r="H215" s="2" t="s">
        <v>1680</v>
      </c>
      <c r="I215" s="2" t="s">
        <v>1703</v>
      </c>
      <c r="J215" s="2" t="s">
        <v>792</v>
      </c>
      <c r="K215" s="2" t="s">
        <v>1686</v>
      </c>
      <c r="L215" s="2" t="s">
        <v>1687</v>
      </c>
      <c r="M215" s="2" t="s">
        <v>1688</v>
      </c>
      <c r="N215" s="2">
        <v>0.1</v>
      </c>
      <c r="O215" s="2">
        <v>84673.600000000006</v>
      </c>
      <c r="P215" s="2" t="str">
        <f t="shared" si="0"/>
        <v>Normal</v>
      </c>
    </row>
    <row r="216" spans="1:16" ht="14.25" customHeight="1" x14ac:dyDescent="0.5">
      <c r="A216" s="2" t="s">
        <v>793</v>
      </c>
      <c r="B216" s="2" t="s">
        <v>1751</v>
      </c>
      <c r="C216" s="2" t="s">
        <v>1733</v>
      </c>
      <c r="D216" s="2" t="s">
        <v>42</v>
      </c>
      <c r="E216" s="2" t="s">
        <v>1994</v>
      </c>
      <c r="F216" s="2">
        <v>51590</v>
      </c>
      <c r="G216" s="2" t="s">
        <v>17</v>
      </c>
      <c r="H216" s="2" t="s">
        <v>1680</v>
      </c>
      <c r="I216" s="2" t="s">
        <v>1673</v>
      </c>
      <c r="J216" s="2" t="s">
        <v>795</v>
      </c>
      <c r="K216" s="2" t="s">
        <v>1686</v>
      </c>
      <c r="L216" s="2" t="s">
        <v>1687</v>
      </c>
      <c r="M216" s="2" t="s">
        <v>1711</v>
      </c>
      <c r="N216" s="2">
        <v>0.1</v>
      </c>
      <c r="O216" s="2">
        <v>56749.000000000007</v>
      </c>
      <c r="P216" s="2" t="str">
        <f t="shared" si="0"/>
        <v>Normal</v>
      </c>
    </row>
    <row r="217" spans="1:16" ht="14.25" customHeight="1" x14ac:dyDescent="0.5">
      <c r="A217" s="2" t="s">
        <v>796</v>
      </c>
      <c r="B217" s="2" t="s">
        <v>1958</v>
      </c>
      <c r="C217" s="2" t="s">
        <v>1709</v>
      </c>
      <c r="D217" s="2" t="s">
        <v>42</v>
      </c>
      <c r="E217" s="2" t="s">
        <v>1736</v>
      </c>
      <c r="F217" s="2">
        <v>50886</v>
      </c>
      <c r="G217" s="2" t="s">
        <v>83</v>
      </c>
      <c r="H217" s="2" t="s">
        <v>45</v>
      </c>
      <c r="I217" s="2" t="s">
        <v>1681</v>
      </c>
      <c r="J217" s="2" t="s">
        <v>798</v>
      </c>
      <c r="K217" s="2" t="s">
        <v>1706</v>
      </c>
      <c r="L217" s="2" t="s">
        <v>1707</v>
      </c>
      <c r="M217" s="2" t="s">
        <v>1676</v>
      </c>
      <c r="N217" s="2">
        <v>0.15</v>
      </c>
      <c r="O217" s="2">
        <v>58518.899999999994</v>
      </c>
      <c r="P217" s="2" t="str">
        <f t="shared" si="0"/>
        <v>Normal</v>
      </c>
    </row>
    <row r="218" spans="1:16" ht="14.25" customHeight="1" x14ac:dyDescent="0.5">
      <c r="A218" s="2" t="s">
        <v>799</v>
      </c>
      <c r="B218" s="2" t="s">
        <v>1723</v>
      </c>
      <c r="C218" s="2" t="s">
        <v>1671</v>
      </c>
      <c r="D218" s="2" t="s">
        <v>100</v>
      </c>
      <c r="E218" s="2" t="s">
        <v>1995</v>
      </c>
      <c r="F218" s="2">
        <v>52866</v>
      </c>
      <c r="G218" s="2" t="s">
        <v>83</v>
      </c>
      <c r="H218" s="2" t="s">
        <v>45</v>
      </c>
      <c r="I218" s="2" t="s">
        <v>1703</v>
      </c>
      <c r="J218" s="2" t="s">
        <v>801</v>
      </c>
      <c r="K218" s="2" t="s">
        <v>1706</v>
      </c>
      <c r="L218" s="2" t="s">
        <v>1707</v>
      </c>
      <c r="M218" s="2" t="s">
        <v>1676</v>
      </c>
      <c r="N218" s="2">
        <v>0.1</v>
      </c>
      <c r="O218" s="2">
        <v>58152.600000000006</v>
      </c>
      <c r="P218" s="2" t="str">
        <f t="shared" si="0"/>
        <v>Normal</v>
      </c>
    </row>
    <row r="219" spans="1:16" ht="14.25" customHeight="1" x14ac:dyDescent="0.5">
      <c r="A219" s="2" t="s">
        <v>802</v>
      </c>
      <c r="B219" s="2" t="s">
        <v>1977</v>
      </c>
      <c r="C219" s="2" t="s">
        <v>1709</v>
      </c>
      <c r="D219" s="2" t="s">
        <v>15</v>
      </c>
      <c r="E219" s="2" t="s">
        <v>1996</v>
      </c>
      <c r="F219" s="2">
        <v>106624</v>
      </c>
      <c r="G219" s="2" t="s">
        <v>44</v>
      </c>
      <c r="H219" s="2" t="s">
        <v>45</v>
      </c>
      <c r="I219" s="2" t="s">
        <v>77</v>
      </c>
      <c r="J219" s="2" t="s">
        <v>804</v>
      </c>
      <c r="K219" s="2" t="s">
        <v>1686</v>
      </c>
      <c r="L219" s="2" t="s">
        <v>1687</v>
      </c>
      <c r="M219" s="2" t="s">
        <v>1750</v>
      </c>
      <c r="N219" s="2">
        <v>0.2</v>
      </c>
      <c r="O219" s="2">
        <v>127948.79999999999</v>
      </c>
      <c r="P219" s="2" t="str">
        <f t="shared" si="0"/>
        <v>High</v>
      </c>
    </row>
    <row r="220" spans="1:16" ht="14.25" customHeight="1" x14ac:dyDescent="0.5">
      <c r="A220" s="2" t="s">
        <v>805</v>
      </c>
      <c r="B220" s="2" t="s">
        <v>1677</v>
      </c>
      <c r="C220" s="2" t="s">
        <v>1694</v>
      </c>
      <c r="D220" s="2" t="s">
        <v>42</v>
      </c>
      <c r="E220" s="2" t="s">
        <v>1997</v>
      </c>
      <c r="F220" s="2">
        <v>108899</v>
      </c>
      <c r="G220" s="2" t="s">
        <v>17</v>
      </c>
      <c r="H220" s="2" t="s">
        <v>45</v>
      </c>
      <c r="I220" s="2" t="s">
        <v>1685</v>
      </c>
      <c r="J220" s="2" t="s">
        <v>807</v>
      </c>
      <c r="K220" s="2" t="s">
        <v>1686</v>
      </c>
      <c r="L220" s="2" t="s">
        <v>1687</v>
      </c>
      <c r="M220" s="2" t="s">
        <v>1676</v>
      </c>
      <c r="N220" s="2">
        <v>0.05</v>
      </c>
      <c r="O220" s="2">
        <v>114343.95000000001</v>
      </c>
      <c r="P220" s="2" t="str">
        <f t="shared" si="0"/>
        <v>High</v>
      </c>
    </row>
    <row r="221" spans="1:16" ht="14.25" customHeight="1" x14ac:dyDescent="0.5">
      <c r="A221" s="2" t="s">
        <v>808</v>
      </c>
      <c r="B221" s="2" t="s">
        <v>1697</v>
      </c>
      <c r="C221" s="2" t="s">
        <v>1709</v>
      </c>
      <c r="D221" s="2" t="s">
        <v>34</v>
      </c>
      <c r="E221" s="2" t="s">
        <v>1998</v>
      </c>
      <c r="F221" s="2">
        <v>72792</v>
      </c>
      <c r="G221" s="2" t="s">
        <v>83</v>
      </c>
      <c r="H221" s="2" t="s">
        <v>1699</v>
      </c>
      <c r="I221" s="2" t="s">
        <v>1673</v>
      </c>
      <c r="J221" s="2" t="s">
        <v>810</v>
      </c>
      <c r="K221" s="2" t="s">
        <v>1674</v>
      </c>
      <c r="L221" s="2" t="s">
        <v>1675</v>
      </c>
      <c r="M221" s="2" t="s">
        <v>1711</v>
      </c>
      <c r="N221" s="2">
        <v>0.15</v>
      </c>
      <c r="O221" s="2">
        <v>83710.799999999988</v>
      </c>
      <c r="P221" s="2" t="str">
        <f t="shared" si="0"/>
        <v>Normal</v>
      </c>
    </row>
    <row r="222" spans="1:16" ht="14.25" customHeight="1" x14ac:dyDescent="0.5">
      <c r="A222" s="2" t="s">
        <v>811</v>
      </c>
      <c r="B222" s="2" t="s">
        <v>1843</v>
      </c>
      <c r="C222" s="2" t="s">
        <v>1785</v>
      </c>
      <c r="D222" s="2" t="s">
        <v>69</v>
      </c>
      <c r="E222" s="2" t="s">
        <v>1999</v>
      </c>
      <c r="F222" s="2">
        <v>49764</v>
      </c>
      <c r="G222" s="2" t="s">
        <v>83</v>
      </c>
      <c r="H222" s="2" t="s">
        <v>1680</v>
      </c>
      <c r="I222" s="2" t="s">
        <v>1703</v>
      </c>
      <c r="J222" s="2" t="s">
        <v>813</v>
      </c>
      <c r="K222" s="2" t="s">
        <v>1691</v>
      </c>
      <c r="L222" s="2" t="s">
        <v>1692</v>
      </c>
      <c r="M222" s="2" t="s">
        <v>1719</v>
      </c>
      <c r="N222" s="2">
        <v>0.05</v>
      </c>
      <c r="O222" s="2">
        <v>52252.200000000004</v>
      </c>
      <c r="P222" s="2" t="str">
        <f t="shared" si="0"/>
        <v>Normal</v>
      </c>
    </row>
    <row r="223" spans="1:16" ht="14.25" customHeight="1" x14ac:dyDescent="0.5">
      <c r="A223" s="2" t="s">
        <v>814</v>
      </c>
      <c r="B223" s="2" t="s">
        <v>1809</v>
      </c>
      <c r="C223" s="2" t="s">
        <v>1721</v>
      </c>
      <c r="D223" s="2" t="s">
        <v>50</v>
      </c>
      <c r="E223" s="2" t="s">
        <v>1780</v>
      </c>
      <c r="F223" s="2">
        <v>82727</v>
      </c>
      <c r="G223" s="2" t="s">
        <v>57</v>
      </c>
      <c r="H223" s="2" t="s">
        <v>45</v>
      </c>
      <c r="I223" s="2" t="s">
        <v>1673</v>
      </c>
      <c r="J223" s="2" t="s">
        <v>816</v>
      </c>
      <c r="K223" s="2" t="s">
        <v>1674</v>
      </c>
      <c r="L223" s="2" t="s">
        <v>1675</v>
      </c>
      <c r="M223" s="2" t="s">
        <v>1696</v>
      </c>
      <c r="N223" s="2">
        <v>0.2</v>
      </c>
      <c r="O223" s="2">
        <v>99272.4</v>
      </c>
      <c r="P223" s="2" t="str">
        <f t="shared" si="0"/>
        <v>Normal</v>
      </c>
    </row>
    <row r="224" spans="1:16" ht="14.25" customHeight="1" x14ac:dyDescent="0.5">
      <c r="A224" s="2" t="s">
        <v>817</v>
      </c>
      <c r="B224" s="2" t="s">
        <v>1936</v>
      </c>
      <c r="C224" s="2" t="s">
        <v>1671</v>
      </c>
      <c r="D224" s="2" t="s">
        <v>42</v>
      </c>
      <c r="E224" s="2" t="s">
        <v>2000</v>
      </c>
      <c r="F224" s="2">
        <v>118471</v>
      </c>
      <c r="G224" s="2" t="s">
        <v>57</v>
      </c>
      <c r="H224" s="2" t="s">
        <v>1699</v>
      </c>
      <c r="I224" s="2" t="s">
        <v>1681</v>
      </c>
      <c r="J224" s="2" t="s">
        <v>819</v>
      </c>
      <c r="K224" s="2" t="s">
        <v>1706</v>
      </c>
      <c r="L224" s="2" t="s">
        <v>1707</v>
      </c>
      <c r="M224" s="2" t="s">
        <v>1700</v>
      </c>
      <c r="N224" s="2">
        <v>0.15</v>
      </c>
      <c r="O224" s="2">
        <v>136241.65</v>
      </c>
      <c r="P224" s="2" t="str">
        <f t="shared" si="0"/>
        <v>High</v>
      </c>
    </row>
    <row r="225" spans="1:16" ht="14.25" customHeight="1" x14ac:dyDescent="0.5">
      <c r="A225" s="2" t="s">
        <v>820</v>
      </c>
      <c r="B225" s="2" t="s">
        <v>1748</v>
      </c>
      <c r="C225" s="2" t="s">
        <v>1724</v>
      </c>
      <c r="D225" s="2" t="s">
        <v>69</v>
      </c>
      <c r="E225" s="2" t="s">
        <v>2001</v>
      </c>
      <c r="F225" s="2">
        <v>48068</v>
      </c>
      <c r="G225" s="2" t="s">
        <v>83</v>
      </c>
      <c r="H225" s="2" t="s">
        <v>1680</v>
      </c>
      <c r="I225" s="2" t="s">
        <v>77</v>
      </c>
      <c r="J225" s="2" t="s">
        <v>822</v>
      </c>
      <c r="K225" s="2" t="s">
        <v>1674</v>
      </c>
      <c r="L225" s="2" t="s">
        <v>1675</v>
      </c>
      <c r="M225" s="2" t="s">
        <v>1688</v>
      </c>
      <c r="N225" s="2">
        <v>0.15</v>
      </c>
      <c r="O225" s="2">
        <v>55278.2</v>
      </c>
      <c r="P225" s="2" t="str">
        <f t="shared" si="0"/>
        <v>Normal</v>
      </c>
    </row>
    <row r="226" spans="1:16" ht="14.25" customHeight="1" x14ac:dyDescent="0.5">
      <c r="A226" s="2" t="s">
        <v>823</v>
      </c>
      <c r="B226" s="2" t="s">
        <v>1800</v>
      </c>
      <c r="C226" s="2" t="s">
        <v>1694</v>
      </c>
      <c r="D226" s="2" t="s">
        <v>75</v>
      </c>
      <c r="E226" s="2" t="s">
        <v>2002</v>
      </c>
      <c r="F226" s="2">
        <v>47295</v>
      </c>
      <c r="G226" s="2" t="s">
        <v>44</v>
      </c>
      <c r="H226" s="2" t="s">
        <v>45</v>
      </c>
      <c r="I226" s="2" t="s">
        <v>1685</v>
      </c>
      <c r="J226" s="2" t="s">
        <v>825</v>
      </c>
      <c r="K226" s="2" t="s">
        <v>1674</v>
      </c>
      <c r="L226" s="2" t="s">
        <v>1675</v>
      </c>
      <c r="M226" s="2" t="s">
        <v>1700</v>
      </c>
      <c r="N226" s="2">
        <v>0.1</v>
      </c>
      <c r="O226" s="2">
        <v>52024.500000000007</v>
      </c>
      <c r="P226" s="2" t="str">
        <f t="shared" si="0"/>
        <v>Normal</v>
      </c>
    </row>
    <row r="227" spans="1:16" ht="14.25" customHeight="1" x14ac:dyDescent="0.5">
      <c r="A227" s="2" t="s">
        <v>826</v>
      </c>
      <c r="B227" s="2" t="s">
        <v>1730</v>
      </c>
      <c r="C227" s="2" t="s">
        <v>1683</v>
      </c>
      <c r="D227" s="2" t="s">
        <v>69</v>
      </c>
      <c r="E227" s="2" t="s">
        <v>1808</v>
      </c>
      <c r="F227" s="2">
        <v>81160</v>
      </c>
      <c r="G227" s="2" t="s">
        <v>36</v>
      </c>
      <c r="H227" s="2" t="s">
        <v>1680</v>
      </c>
      <c r="I227" s="2" t="s">
        <v>77</v>
      </c>
      <c r="J227" s="2" t="s">
        <v>828</v>
      </c>
      <c r="K227" s="2" t="s">
        <v>1674</v>
      </c>
      <c r="L227" s="2" t="s">
        <v>1675</v>
      </c>
      <c r="M227" s="2" t="s">
        <v>1700</v>
      </c>
      <c r="N227" s="2">
        <v>0.05</v>
      </c>
      <c r="O227" s="2">
        <v>85218</v>
      </c>
      <c r="P227" s="2" t="str">
        <f t="shared" si="0"/>
        <v>Normal</v>
      </c>
    </row>
    <row r="228" spans="1:16" ht="14.25" customHeight="1" x14ac:dyDescent="0.5">
      <c r="A228" s="2" t="s">
        <v>829</v>
      </c>
      <c r="B228" s="2" t="s">
        <v>1825</v>
      </c>
      <c r="C228" s="2" t="s">
        <v>1724</v>
      </c>
      <c r="D228" s="2" t="s">
        <v>50</v>
      </c>
      <c r="E228" s="2" t="s">
        <v>2003</v>
      </c>
      <c r="F228" s="2">
        <v>51390</v>
      </c>
      <c r="G228" s="2" t="s">
        <v>36</v>
      </c>
      <c r="H228" s="2" t="s">
        <v>45</v>
      </c>
      <c r="I228" s="2" t="s">
        <v>1673</v>
      </c>
      <c r="J228" s="2" t="s">
        <v>831</v>
      </c>
      <c r="K228" s="2" t="s">
        <v>1674</v>
      </c>
      <c r="L228" s="2" t="s">
        <v>1675</v>
      </c>
      <c r="M228" s="2" t="s">
        <v>1693</v>
      </c>
      <c r="N228" s="2">
        <v>0.2</v>
      </c>
      <c r="O228" s="2">
        <v>61668</v>
      </c>
      <c r="P228" s="2" t="str">
        <f t="shared" si="0"/>
        <v>Normal</v>
      </c>
    </row>
    <row r="229" spans="1:16" ht="14.25" customHeight="1" x14ac:dyDescent="0.5">
      <c r="A229" s="2" t="s">
        <v>832</v>
      </c>
      <c r="B229" s="2" t="s">
        <v>1770</v>
      </c>
      <c r="C229" s="2" t="s">
        <v>1709</v>
      </c>
      <c r="D229" s="2" t="s">
        <v>69</v>
      </c>
      <c r="E229" s="2" t="s">
        <v>2004</v>
      </c>
      <c r="F229" s="2">
        <v>60131</v>
      </c>
      <c r="G229" s="2" t="s">
        <v>83</v>
      </c>
      <c r="H229" s="2" t="s">
        <v>45</v>
      </c>
      <c r="I229" s="2" t="s">
        <v>1703</v>
      </c>
      <c r="J229" s="2" t="s">
        <v>834</v>
      </c>
      <c r="K229" s="2" t="s">
        <v>1691</v>
      </c>
      <c r="L229" s="2" t="s">
        <v>1692</v>
      </c>
      <c r="M229" s="2" t="s">
        <v>1719</v>
      </c>
      <c r="N229" s="2">
        <v>0.2</v>
      </c>
      <c r="O229" s="2">
        <v>72157.2</v>
      </c>
      <c r="P229" s="2" t="str">
        <f t="shared" si="0"/>
        <v>Normal</v>
      </c>
    </row>
    <row r="230" spans="1:16" ht="14.25" customHeight="1" x14ac:dyDescent="0.5">
      <c r="A230" s="2" t="s">
        <v>835</v>
      </c>
      <c r="B230" s="2" t="s">
        <v>2005</v>
      </c>
      <c r="C230" s="2" t="s">
        <v>1694</v>
      </c>
      <c r="D230" s="2" t="s">
        <v>100</v>
      </c>
      <c r="E230" s="2" t="s">
        <v>2006</v>
      </c>
      <c r="F230" s="2">
        <v>115969</v>
      </c>
      <c r="G230" s="2" t="s">
        <v>83</v>
      </c>
      <c r="H230" s="2" t="s">
        <v>1680</v>
      </c>
      <c r="I230" s="2" t="s">
        <v>1681</v>
      </c>
      <c r="J230" s="2" t="s">
        <v>838</v>
      </c>
      <c r="K230" s="2" t="s">
        <v>1691</v>
      </c>
      <c r="L230" s="2" t="s">
        <v>1692</v>
      </c>
      <c r="M230" s="2" t="s">
        <v>1693</v>
      </c>
      <c r="N230" s="2">
        <v>0.15</v>
      </c>
      <c r="O230" s="2">
        <v>133364.34999999998</v>
      </c>
      <c r="P230" s="2" t="str">
        <f t="shared" si="0"/>
        <v>High</v>
      </c>
    </row>
    <row r="231" spans="1:16" ht="14.25" customHeight="1" x14ac:dyDescent="0.5">
      <c r="A231" s="2" t="s">
        <v>839</v>
      </c>
      <c r="B231" s="2" t="s">
        <v>2005</v>
      </c>
      <c r="C231" s="2" t="s">
        <v>1678</v>
      </c>
      <c r="D231" s="2" t="s">
        <v>50</v>
      </c>
      <c r="E231" s="2" t="s">
        <v>1980</v>
      </c>
      <c r="F231" s="2">
        <v>55038</v>
      </c>
      <c r="G231" s="2" t="s">
        <v>83</v>
      </c>
      <c r="H231" s="2" t="s">
        <v>1699</v>
      </c>
      <c r="I231" s="2" t="s">
        <v>1681</v>
      </c>
      <c r="J231" s="2" t="s">
        <v>841</v>
      </c>
      <c r="K231" s="2" t="s">
        <v>1686</v>
      </c>
      <c r="L231" s="2" t="s">
        <v>1687</v>
      </c>
      <c r="M231" s="2" t="s">
        <v>1676</v>
      </c>
      <c r="N231" s="2">
        <v>0.1</v>
      </c>
      <c r="O231" s="2">
        <v>60541.8</v>
      </c>
      <c r="P231" s="2" t="str">
        <f t="shared" si="0"/>
        <v>Normal</v>
      </c>
    </row>
    <row r="232" spans="1:16" ht="14.25" customHeight="1" x14ac:dyDescent="0.5">
      <c r="A232" s="2" t="s">
        <v>842</v>
      </c>
      <c r="B232" s="2" t="s">
        <v>1930</v>
      </c>
      <c r="C232" s="2" t="s">
        <v>1683</v>
      </c>
      <c r="D232" s="2" t="s">
        <v>15</v>
      </c>
      <c r="E232" s="2" t="s">
        <v>2007</v>
      </c>
      <c r="F232" s="2">
        <v>92327</v>
      </c>
      <c r="G232" s="2" t="s">
        <v>44</v>
      </c>
      <c r="H232" s="2" t="s">
        <v>1680</v>
      </c>
      <c r="I232" s="2" t="s">
        <v>77</v>
      </c>
      <c r="J232" s="2" t="s">
        <v>844</v>
      </c>
      <c r="K232" s="2" t="s">
        <v>1706</v>
      </c>
      <c r="L232" s="2" t="s">
        <v>1707</v>
      </c>
      <c r="M232" s="2" t="s">
        <v>1700</v>
      </c>
      <c r="N232" s="2">
        <v>0.15</v>
      </c>
      <c r="O232" s="2">
        <v>106176.04999999999</v>
      </c>
      <c r="P232" s="2" t="str">
        <f t="shared" si="0"/>
        <v>High</v>
      </c>
    </row>
    <row r="233" spans="1:16" ht="14.25" customHeight="1" x14ac:dyDescent="0.5">
      <c r="A233" s="2" t="s">
        <v>845</v>
      </c>
      <c r="B233" s="2" t="s">
        <v>1835</v>
      </c>
      <c r="C233" s="2" t="s">
        <v>1671</v>
      </c>
      <c r="D233" s="2" t="s">
        <v>75</v>
      </c>
      <c r="E233" s="2" t="s">
        <v>2008</v>
      </c>
      <c r="F233" s="2">
        <v>117064</v>
      </c>
      <c r="G233" s="2" t="s">
        <v>57</v>
      </c>
      <c r="H233" s="2" t="s">
        <v>1699</v>
      </c>
      <c r="I233" s="2" t="s">
        <v>1703</v>
      </c>
      <c r="J233" s="2" t="s">
        <v>847</v>
      </c>
      <c r="K233" s="2" t="s">
        <v>1674</v>
      </c>
      <c r="L233" s="2" t="s">
        <v>1675</v>
      </c>
      <c r="M233" s="2" t="s">
        <v>1696</v>
      </c>
      <c r="N233" s="2">
        <v>0.15</v>
      </c>
      <c r="O233" s="2">
        <v>134623.59999999998</v>
      </c>
      <c r="P233" s="2" t="str">
        <f t="shared" si="0"/>
        <v>High</v>
      </c>
    </row>
    <row r="234" spans="1:16" ht="14.25" customHeight="1" x14ac:dyDescent="0.5">
      <c r="A234" s="2" t="s">
        <v>848</v>
      </c>
      <c r="B234" s="2" t="s">
        <v>1807</v>
      </c>
      <c r="C234" s="2" t="s">
        <v>1733</v>
      </c>
      <c r="D234" s="2" t="s">
        <v>100</v>
      </c>
      <c r="E234" s="2" t="s">
        <v>2009</v>
      </c>
      <c r="F234" s="2">
        <v>61281</v>
      </c>
      <c r="G234" s="2" t="s">
        <v>83</v>
      </c>
      <c r="H234" s="2" t="s">
        <v>1680</v>
      </c>
      <c r="I234" s="2" t="s">
        <v>1703</v>
      </c>
      <c r="J234" s="2" t="s">
        <v>850</v>
      </c>
      <c r="K234" s="2" t="s">
        <v>1686</v>
      </c>
      <c r="L234" s="2" t="s">
        <v>1687</v>
      </c>
      <c r="M234" s="2" t="s">
        <v>1688</v>
      </c>
      <c r="N234" s="2">
        <v>0.15</v>
      </c>
      <c r="O234" s="2">
        <v>70473.149999999994</v>
      </c>
      <c r="P234" s="2" t="str">
        <f t="shared" si="0"/>
        <v>Normal</v>
      </c>
    </row>
    <row r="235" spans="1:16" ht="14.25" customHeight="1" x14ac:dyDescent="0.5">
      <c r="A235" s="2" t="s">
        <v>851</v>
      </c>
      <c r="B235" s="2" t="s">
        <v>2010</v>
      </c>
      <c r="C235" s="2" t="s">
        <v>1678</v>
      </c>
      <c r="D235" s="2" t="s">
        <v>15</v>
      </c>
      <c r="E235" s="2" t="s">
        <v>2011</v>
      </c>
      <c r="F235" s="2">
        <v>94189</v>
      </c>
      <c r="G235" s="2" t="s">
        <v>83</v>
      </c>
      <c r="H235" s="2" t="s">
        <v>1680</v>
      </c>
      <c r="I235" s="2" t="s">
        <v>1673</v>
      </c>
      <c r="J235" s="2" t="s">
        <v>66</v>
      </c>
      <c r="K235" s="2" t="s">
        <v>1686</v>
      </c>
      <c r="L235" s="2" t="s">
        <v>1687</v>
      </c>
      <c r="M235" s="2" t="s">
        <v>1696</v>
      </c>
      <c r="N235" s="2">
        <v>0.15</v>
      </c>
      <c r="O235" s="2">
        <v>108317.34999999999</v>
      </c>
      <c r="P235" s="2" t="str">
        <f t="shared" si="0"/>
        <v>High</v>
      </c>
    </row>
    <row r="236" spans="1:16" ht="14.25" customHeight="1" x14ac:dyDescent="0.5">
      <c r="A236" s="2" t="s">
        <v>854</v>
      </c>
      <c r="B236" s="2" t="s">
        <v>1924</v>
      </c>
      <c r="C236" s="2" t="s">
        <v>1724</v>
      </c>
      <c r="D236" s="2" t="s">
        <v>69</v>
      </c>
      <c r="E236" s="2" t="s">
        <v>2012</v>
      </c>
      <c r="F236" s="2">
        <v>88511</v>
      </c>
      <c r="G236" s="2" t="s">
        <v>17</v>
      </c>
      <c r="H236" s="2" t="s">
        <v>45</v>
      </c>
      <c r="I236" s="2" t="s">
        <v>77</v>
      </c>
      <c r="J236" s="2" t="s">
        <v>856</v>
      </c>
      <c r="K236" s="2" t="s">
        <v>1686</v>
      </c>
      <c r="L236" s="2" t="s">
        <v>1687</v>
      </c>
      <c r="M236" s="2" t="s">
        <v>1700</v>
      </c>
      <c r="N236" s="2">
        <v>0.2</v>
      </c>
      <c r="O236" s="2">
        <v>106213.2</v>
      </c>
      <c r="P236" s="2" t="str">
        <f t="shared" si="0"/>
        <v>High</v>
      </c>
    </row>
    <row r="237" spans="1:16" ht="14.25" customHeight="1" x14ac:dyDescent="0.5">
      <c r="A237" s="2" t="s">
        <v>857</v>
      </c>
      <c r="B237" s="2" t="s">
        <v>1670</v>
      </c>
      <c r="C237" s="2" t="s">
        <v>1721</v>
      </c>
      <c r="D237" s="2" t="s">
        <v>50</v>
      </c>
      <c r="E237" s="2" t="s">
        <v>2013</v>
      </c>
      <c r="F237" s="2">
        <v>48605</v>
      </c>
      <c r="G237" s="2" t="s">
        <v>44</v>
      </c>
      <c r="H237" s="2" t="s">
        <v>45</v>
      </c>
      <c r="I237" s="2" t="s">
        <v>77</v>
      </c>
      <c r="J237" s="2" t="s">
        <v>859</v>
      </c>
      <c r="K237" s="2" t="s">
        <v>1691</v>
      </c>
      <c r="L237" s="2" t="s">
        <v>1692</v>
      </c>
      <c r="M237" s="2" t="s">
        <v>1719</v>
      </c>
      <c r="N237" s="2">
        <v>0.2</v>
      </c>
      <c r="O237" s="2">
        <v>58326</v>
      </c>
      <c r="P237" s="2" t="str">
        <f t="shared" si="0"/>
        <v>Normal</v>
      </c>
    </row>
    <row r="238" spans="1:16" ht="14.25" customHeight="1" x14ac:dyDescent="0.5">
      <c r="A238" s="2" t="s">
        <v>860</v>
      </c>
      <c r="B238" s="2" t="s">
        <v>1743</v>
      </c>
      <c r="C238" s="2" t="s">
        <v>1785</v>
      </c>
      <c r="D238" s="2" t="s">
        <v>75</v>
      </c>
      <c r="E238" s="2" t="s">
        <v>2014</v>
      </c>
      <c r="F238" s="2">
        <v>41381</v>
      </c>
      <c r="G238" s="2" t="s">
        <v>83</v>
      </c>
      <c r="H238" s="2" t="s">
        <v>1680</v>
      </c>
      <c r="I238" s="2" t="s">
        <v>77</v>
      </c>
      <c r="J238" s="2" t="s">
        <v>862</v>
      </c>
      <c r="K238" s="2" t="s">
        <v>1674</v>
      </c>
      <c r="L238" s="2" t="s">
        <v>1675</v>
      </c>
      <c r="M238" s="2" t="s">
        <v>1696</v>
      </c>
      <c r="N238" s="2">
        <v>0.15</v>
      </c>
      <c r="O238" s="2">
        <v>47588.149999999994</v>
      </c>
      <c r="P238" s="2" t="str">
        <f t="shared" si="0"/>
        <v>Normal</v>
      </c>
    </row>
    <row r="239" spans="1:16" ht="14.25" customHeight="1" x14ac:dyDescent="0.5">
      <c r="A239" s="2" t="s">
        <v>863</v>
      </c>
      <c r="B239" s="2" t="s">
        <v>1708</v>
      </c>
      <c r="C239" s="2" t="s">
        <v>1733</v>
      </c>
      <c r="D239" s="2" t="s">
        <v>100</v>
      </c>
      <c r="E239" s="2" t="s">
        <v>2015</v>
      </c>
      <c r="F239" s="2">
        <v>106634</v>
      </c>
      <c r="G239" s="2" t="s">
        <v>17</v>
      </c>
      <c r="H239" s="2" t="s">
        <v>45</v>
      </c>
      <c r="I239" s="2" t="s">
        <v>77</v>
      </c>
      <c r="J239" s="2" t="s">
        <v>865</v>
      </c>
      <c r="K239" s="2" t="s">
        <v>1674</v>
      </c>
      <c r="L239" s="2" t="s">
        <v>1675</v>
      </c>
      <c r="M239" s="2" t="s">
        <v>1693</v>
      </c>
      <c r="N239" s="2">
        <v>0.15</v>
      </c>
      <c r="O239" s="2">
        <v>122629.09999999999</v>
      </c>
      <c r="P239" s="2" t="str">
        <f t="shared" si="0"/>
        <v>High</v>
      </c>
    </row>
    <row r="240" spans="1:16" ht="14.25" customHeight="1" x14ac:dyDescent="0.5">
      <c r="A240" s="2" t="s">
        <v>866</v>
      </c>
      <c r="B240" s="2" t="s">
        <v>1828</v>
      </c>
      <c r="C240" s="2" t="s">
        <v>1678</v>
      </c>
      <c r="D240" s="2" t="s">
        <v>15</v>
      </c>
      <c r="E240" s="2" t="s">
        <v>2016</v>
      </c>
      <c r="F240" s="2">
        <v>59810</v>
      </c>
      <c r="G240" s="2" t="s">
        <v>36</v>
      </c>
      <c r="H240" s="2" t="s">
        <v>45</v>
      </c>
      <c r="I240" s="2" t="s">
        <v>1681</v>
      </c>
      <c r="J240" s="2" t="s">
        <v>868</v>
      </c>
      <c r="K240" s="2" t="s">
        <v>1706</v>
      </c>
      <c r="L240" s="2" t="s">
        <v>1707</v>
      </c>
      <c r="M240" s="2" t="s">
        <v>1688</v>
      </c>
      <c r="N240" s="2">
        <v>0.1</v>
      </c>
      <c r="O240" s="2">
        <v>65791</v>
      </c>
      <c r="P240" s="2" t="str">
        <f t="shared" si="0"/>
        <v>Normal</v>
      </c>
    </row>
    <row r="241" spans="1:16" ht="14.25" customHeight="1" x14ac:dyDescent="0.5">
      <c r="A241" s="2" t="s">
        <v>869</v>
      </c>
      <c r="B241" s="2" t="s">
        <v>2017</v>
      </c>
      <c r="C241" s="2" t="s">
        <v>1721</v>
      </c>
      <c r="D241" s="2" t="s">
        <v>15</v>
      </c>
      <c r="E241" s="2" t="s">
        <v>2018</v>
      </c>
      <c r="F241" s="2">
        <v>64322</v>
      </c>
      <c r="G241" s="2" t="s">
        <v>83</v>
      </c>
      <c r="H241" s="2" t="s">
        <v>45</v>
      </c>
      <c r="I241" s="2" t="s">
        <v>1673</v>
      </c>
      <c r="J241" s="2" t="s">
        <v>872</v>
      </c>
      <c r="K241" s="2" t="s">
        <v>1674</v>
      </c>
      <c r="L241" s="2" t="s">
        <v>1675</v>
      </c>
      <c r="M241" s="2" t="s">
        <v>1700</v>
      </c>
      <c r="N241" s="2">
        <v>0.15</v>
      </c>
      <c r="O241" s="2">
        <v>73970.299999999988</v>
      </c>
      <c r="P241" s="2" t="str">
        <f t="shared" si="0"/>
        <v>Normal</v>
      </c>
    </row>
    <row r="242" spans="1:16" ht="14.25" customHeight="1" x14ac:dyDescent="0.5">
      <c r="A242" s="2" t="s">
        <v>873</v>
      </c>
      <c r="B242" s="2" t="s">
        <v>1958</v>
      </c>
      <c r="C242" s="2" t="s">
        <v>1721</v>
      </c>
      <c r="D242" s="2" t="s">
        <v>75</v>
      </c>
      <c r="E242" s="2" t="s">
        <v>2019</v>
      </c>
      <c r="F242" s="2">
        <v>81869</v>
      </c>
      <c r="G242" s="2" t="s">
        <v>83</v>
      </c>
      <c r="H242" s="2" t="s">
        <v>45</v>
      </c>
      <c r="I242" s="2" t="s">
        <v>1703</v>
      </c>
      <c r="J242" s="2" t="s">
        <v>875</v>
      </c>
      <c r="K242" s="2" t="s">
        <v>1674</v>
      </c>
      <c r="L242" s="2" t="s">
        <v>1675</v>
      </c>
      <c r="M242" s="2" t="s">
        <v>1750</v>
      </c>
      <c r="N242" s="2">
        <v>0.2</v>
      </c>
      <c r="O242" s="2">
        <v>98242.8</v>
      </c>
      <c r="P242" s="2" t="str">
        <f t="shared" si="0"/>
        <v>Normal</v>
      </c>
    </row>
    <row r="243" spans="1:16" ht="14.25" customHeight="1" x14ac:dyDescent="0.5">
      <c r="A243" s="2" t="s">
        <v>876</v>
      </c>
      <c r="B243" s="2" t="s">
        <v>2017</v>
      </c>
      <c r="C243" s="2" t="s">
        <v>1694</v>
      </c>
      <c r="D243" s="2" t="s">
        <v>34</v>
      </c>
      <c r="E243" s="2" t="s">
        <v>2020</v>
      </c>
      <c r="F243" s="2">
        <v>72955</v>
      </c>
      <c r="G243" s="2" t="s">
        <v>17</v>
      </c>
      <c r="H243" s="2" t="s">
        <v>1680</v>
      </c>
      <c r="I243" s="2" t="s">
        <v>77</v>
      </c>
      <c r="J243" s="2" t="s">
        <v>878</v>
      </c>
      <c r="K243" s="2" t="s">
        <v>1686</v>
      </c>
      <c r="L243" s="2" t="s">
        <v>1687</v>
      </c>
      <c r="M243" s="2" t="s">
        <v>1719</v>
      </c>
      <c r="N243" s="2">
        <v>0.05</v>
      </c>
      <c r="O243" s="2">
        <v>76602.75</v>
      </c>
      <c r="P243" s="2" t="str">
        <f t="shared" si="0"/>
        <v>Normal</v>
      </c>
    </row>
    <row r="244" spans="1:16" ht="14.25" customHeight="1" x14ac:dyDescent="0.5">
      <c r="A244" s="2" t="s">
        <v>879</v>
      </c>
      <c r="B244" s="2" t="s">
        <v>1701</v>
      </c>
      <c r="C244" s="2" t="s">
        <v>1678</v>
      </c>
      <c r="D244" s="2" t="s">
        <v>69</v>
      </c>
      <c r="E244" s="2" t="s">
        <v>2021</v>
      </c>
      <c r="F244" s="2">
        <v>101388</v>
      </c>
      <c r="G244" s="2" t="s">
        <v>44</v>
      </c>
      <c r="H244" s="2" t="s">
        <v>1699</v>
      </c>
      <c r="I244" s="2" t="s">
        <v>1673</v>
      </c>
      <c r="J244" s="2" t="s">
        <v>881</v>
      </c>
      <c r="K244" s="2" t="s">
        <v>1706</v>
      </c>
      <c r="L244" s="2" t="s">
        <v>1707</v>
      </c>
      <c r="M244" s="2" t="s">
        <v>1719</v>
      </c>
      <c r="N244" s="2">
        <v>0.2</v>
      </c>
      <c r="O244" s="2">
        <v>121665.59999999999</v>
      </c>
      <c r="P244" s="2" t="str">
        <f t="shared" si="0"/>
        <v>High</v>
      </c>
    </row>
    <row r="245" spans="1:16" ht="14.25" customHeight="1" x14ac:dyDescent="0.5">
      <c r="A245" s="2" t="s">
        <v>882</v>
      </c>
      <c r="B245" s="2" t="s">
        <v>1800</v>
      </c>
      <c r="C245" s="2" t="s">
        <v>1671</v>
      </c>
      <c r="D245" s="2" t="s">
        <v>75</v>
      </c>
      <c r="E245" s="2" t="s">
        <v>2022</v>
      </c>
      <c r="F245" s="2">
        <v>50207</v>
      </c>
      <c r="G245" s="2" t="s">
        <v>83</v>
      </c>
      <c r="H245" s="2" t="s">
        <v>1680</v>
      </c>
      <c r="I245" s="2" t="s">
        <v>77</v>
      </c>
      <c r="J245" s="2" t="s">
        <v>884</v>
      </c>
      <c r="K245" s="2" t="s">
        <v>1674</v>
      </c>
      <c r="L245" s="2" t="s">
        <v>1675</v>
      </c>
      <c r="M245" s="2" t="s">
        <v>1750</v>
      </c>
      <c r="N245" s="2">
        <v>0.1</v>
      </c>
      <c r="O245" s="2">
        <v>55227.700000000004</v>
      </c>
      <c r="P245" s="2" t="str">
        <f t="shared" si="0"/>
        <v>Normal</v>
      </c>
    </row>
    <row r="246" spans="1:16" ht="14.25" customHeight="1" x14ac:dyDescent="0.5">
      <c r="A246" s="2" t="s">
        <v>885</v>
      </c>
      <c r="B246" s="2" t="s">
        <v>1751</v>
      </c>
      <c r="C246" s="2" t="s">
        <v>1709</v>
      </c>
      <c r="D246" s="2" t="s">
        <v>15</v>
      </c>
      <c r="E246" s="2" t="s">
        <v>1872</v>
      </c>
      <c r="F246" s="2">
        <v>107628</v>
      </c>
      <c r="G246" s="2" t="s">
        <v>36</v>
      </c>
      <c r="H246" s="2" t="s">
        <v>1699</v>
      </c>
      <c r="I246" s="2" t="s">
        <v>1703</v>
      </c>
      <c r="J246" s="2" t="s">
        <v>887</v>
      </c>
      <c r="K246" s="2" t="s">
        <v>1691</v>
      </c>
      <c r="L246" s="2" t="s">
        <v>1692</v>
      </c>
      <c r="M246" s="2" t="s">
        <v>1696</v>
      </c>
      <c r="N246" s="2">
        <v>0.2</v>
      </c>
      <c r="O246" s="2">
        <v>129153.59999999999</v>
      </c>
      <c r="P246" s="2" t="str">
        <f t="shared" si="0"/>
        <v>High</v>
      </c>
    </row>
    <row r="247" spans="1:16" ht="14.25" customHeight="1" x14ac:dyDescent="0.5">
      <c r="A247" s="2" t="s">
        <v>888</v>
      </c>
      <c r="B247" s="2" t="s">
        <v>2023</v>
      </c>
      <c r="C247" s="2" t="s">
        <v>1683</v>
      </c>
      <c r="D247" s="2" t="s">
        <v>42</v>
      </c>
      <c r="E247" s="2" t="s">
        <v>1740</v>
      </c>
      <c r="F247" s="2">
        <v>68220</v>
      </c>
      <c r="G247" s="2" t="s">
        <v>83</v>
      </c>
      <c r="H247" s="2" t="s">
        <v>45</v>
      </c>
      <c r="I247" s="2" t="s">
        <v>1685</v>
      </c>
      <c r="J247" s="2" t="s">
        <v>891</v>
      </c>
      <c r="K247" s="2" t="s">
        <v>1674</v>
      </c>
      <c r="L247" s="2" t="s">
        <v>1675</v>
      </c>
      <c r="M247" s="2" t="s">
        <v>1700</v>
      </c>
      <c r="N247" s="2">
        <v>0.05</v>
      </c>
      <c r="O247" s="2">
        <v>71631</v>
      </c>
      <c r="P247" s="2" t="str">
        <f t="shared" si="0"/>
        <v>Normal</v>
      </c>
    </row>
    <row r="248" spans="1:16" ht="14.25" customHeight="1" x14ac:dyDescent="0.5">
      <c r="A248" s="2" t="s">
        <v>892</v>
      </c>
      <c r="B248" s="2" t="s">
        <v>1877</v>
      </c>
      <c r="C248" s="2" t="s">
        <v>1683</v>
      </c>
      <c r="D248" s="2" t="s">
        <v>100</v>
      </c>
      <c r="E248" s="2" t="s">
        <v>2024</v>
      </c>
      <c r="F248" s="2">
        <v>114085</v>
      </c>
      <c r="G248" s="2" t="s">
        <v>36</v>
      </c>
      <c r="H248" s="2" t="s">
        <v>45</v>
      </c>
      <c r="I248" s="2" t="s">
        <v>1703</v>
      </c>
      <c r="J248" s="2" t="s">
        <v>894</v>
      </c>
      <c r="K248" s="2" t="s">
        <v>1686</v>
      </c>
      <c r="L248" s="2" t="s">
        <v>1687</v>
      </c>
      <c r="M248" s="2" t="s">
        <v>1719</v>
      </c>
      <c r="N248" s="2">
        <v>0.15</v>
      </c>
      <c r="O248" s="2">
        <v>131197.75</v>
      </c>
      <c r="P248" s="2" t="str">
        <f t="shared" si="0"/>
        <v>High</v>
      </c>
    </row>
    <row r="249" spans="1:16" ht="14.25" customHeight="1" x14ac:dyDescent="0.5">
      <c r="A249" s="2" t="s">
        <v>895</v>
      </c>
      <c r="B249" s="2" t="s">
        <v>1846</v>
      </c>
      <c r="C249" s="2" t="s">
        <v>1724</v>
      </c>
      <c r="D249" s="2" t="s">
        <v>75</v>
      </c>
      <c r="E249" s="2" t="s">
        <v>2025</v>
      </c>
      <c r="F249" s="2">
        <v>62031</v>
      </c>
      <c r="G249" s="2" t="s">
        <v>57</v>
      </c>
      <c r="H249" s="2" t="s">
        <v>45</v>
      </c>
      <c r="I249" s="2" t="s">
        <v>1703</v>
      </c>
      <c r="J249" s="2" t="s">
        <v>897</v>
      </c>
      <c r="K249" s="2" t="s">
        <v>1691</v>
      </c>
      <c r="L249" s="2" t="s">
        <v>1692</v>
      </c>
      <c r="M249" s="2" t="s">
        <v>1688</v>
      </c>
      <c r="N249" s="2">
        <v>0.05</v>
      </c>
      <c r="O249" s="2">
        <v>65132.55</v>
      </c>
      <c r="P249" s="2" t="str">
        <f t="shared" si="0"/>
        <v>Normal</v>
      </c>
    </row>
    <row r="250" spans="1:16" ht="14.25" customHeight="1" x14ac:dyDescent="0.5">
      <c r="A250" s="2" t="s">
        <v>898</v>
      </c>
      <c r="B250" s="2" t="s">
        <v>1793</v>
      </c>
      <c r="C250" s="2" t="s">
        <v>1724</v>
      </c>
      <c r="D250" s="2" t="s">
        <v>34</v>
      </c>
      <c r="E250" s="2" t="s">
        <v>2026</v>
      </c>
      <c r="F250" s="2">
        <v>110721</v>
      </c>
      <c r="G250" s="2" t="s">
        <v>57</v>
      </c>
      <c r="H250" s="2" t="s">
        <v>45</v>
      </c>
      <c r="I250" s="2" t="s">
        <v>1703</v>
      </c>
      <c r="J250" s="2" t="s">
        <v>900</v>
      </c>
      <c r="K250" s="2" t="s">
        <v>1686</v>
      </c>
      <c r="L250" s="2" t="s">
        <v>1687</v>
      </c>
      <c r="M250" s="2" t="s">
        <v>1700</v>
      </c>
      <c r="N250" s="2">
        <v>0.15</v>
      </c>
      <c r="O250" s="2">
        <v>127329.15</v>
      </c>
      <c r="P250" s="2" t="str">
        <f t="shared" si="0"/>
        <v>High</v>
      </c>
    </row>
    <row r="251" spans="1:16" ht="14.25" customHeight="1" x14ac:dyDescent="0.5">
      <c r="A251" s="2" t="s">
        <v>901</v>
      </c>
      <c r="B251" s="2" t="s">
        <v>1728</v>
      </c>
      <c r="C251" s="2" t="s">
        <v>1683</v>
      </c>
      <c r="D251" s="2" t="s">
        <v>15</v>
      </c>
      <c r="E251" s="2" t="s">
        <v>2027</v>
      </c>
      <c r="F251" s="2">
        <v>111312</v>
      </c>
      <c r="G251" s="2" t="s">
        <v>36</v>
      </c>
      <c r="H251" s="2" t="s">
        <v>1699</v>
      </c>
      <c r="I251" s="2" t="s">
        <v>77</v>
      </c>
      <c r="J251" s="2" t="s">
        <v>903</v>
      </c>
      <c r="K251" s="2" t="s">
        <v>1674</v>
      </c>
      <c r="L251" s="2" t="s">
        <v>1675</v>
      </c>
      <c r="M251" s="2" t="s">
        <v>1700</v>
      </c>
      <c r="N251" s="2">
        <v>0.15</v>
      </c>
      <c r="O251" s="2">
        <v>128008.79999999999</v>
      </c>
      <c r="P251" s="2" t="str">
        <f t="shared" si="0"/>
        <v>High</v>
      </c>
    </row>
    <row r="252" spans="1:16" ht="14.25" customHeight="1" x14ac:dyDescent="0.5">
      <c r="A252" s="2" t="s">
        <v>904</v>
      </c>
      <c r="B252" s="2" t="s">
        <v>1720</v>
      </c>
      <c r="C252" s="2" t="s">
        <v>1671</v>
      </c>
      <c r="D252" s="2" t="s">
        <v>69</v>
      </c>
      <c r="E252" s="2" t="s">
        <v>2028</v>
      </c>
      <c r="F252" s="2">
        <v>99766</v>
      </c>
      <c r="G252" s="2" t="s">
        <v>44</v>
      </c>
      <c r="H252" s="2" t="s">
        <v>1699</v>
      </c>
      <c r="I252" s="2" t="s">
        <v>77</v>
      </c>
      <c r="J252" s="2" t="s">
        <v>906</v>
      </c>
      <c r="K252" s="2" t="s">
        <v>1691</v>
      </c>
      <c r="L252" s="2" t="s">
        <v>1692</v>
      </c>
      <c r="M252" s="2" t="s">
        <v>1693</v>
      </c>
      <c r="N252" s="2">
        <v>0.2</v>
      </c>
      <c r="O252" s="2">
        <v>119719.2</v>
      </c>
      <c r="P252" s="2" t="str">
        <f t="shared" si="0"/>
        <v>High</v>
      </c>
    </row>
    <row r="253" spans="1:16" ht="14.25" customHeight="1" x14ac:dyDescent="0.5">
      <c r="A253" s="2" t="s">
        <v>907</v>
      </c>
      <c r="B253" s="2" t="s">
        <v>1809</v>
      </c>
      <c r="C253" s="2" t="s">
        <v>1785</v>
      </c>
      <c r="D253" s="2" t="s">
        <v>15</v>
      </c>
      <c r="E253" s="2" t="s">
        <v>2029</v>
      </c>
      <c r="F253" s="2">
        <v>52449</v>
      </c>
      <c r="G253" s="2" t="s">
        <v>83</v>
      </c>
      <c r="H253" s="2" t="s">
        <v>45</v>
      </c>
      <c r="I253" s="2" t="s">
        <v>1703</v>
      </c>
      <c r="J253" s="2" t="s">
        <v>909</v>
      </c>
      <c r="K253" s="2" t="s">
        <v>1706</v>
      </c>
      <c r="L253" s="2" t="s">
        <v>1707</v>
      </c>
      <c r="M253" s="2" t="s">
        <v>1719</v>
      </c>
      <c r="N253" s="2">
        <v>0.2</v>
      </c>
      <c r="O253" s="2">
        <v>62938.799999999996</v>
      </c>
      <c r="P253" s="2" t="str">
        <f t="shared" si="0"/>
        <v>Normal</v>
      </c>
    </row>
    <row r="254" spans="1:16" ht="14.25" customHeight="1" x14ac:dyDescent="0.5">
      <c r="A254" s="2" t="s">
        <v>910</v>
      </c>
      <c r="B254" s="2" t="s">
        <v>1867</v>
      </c>
      <c r="C254" s="2" t="s">
        <v>1717</v>
      </c>
      <c r="D254" s="2" t="s">
        <v>69</v>
      </c>
      <c r="E254" s="2" t="s">
        <v>2030</v>
      </c>
      <c r="F254" s="2">
        <v>96699</v>
      </c>
      <c r="G254" s="2" t="s">
        <v>83</v>
      </c>
      <c r="H254" s="2" t="s">
        <v>1680</v>
      </c>
      <c r="I254" s="2" t="s">
        <v>1681</v>
      </c>
      <c r="J254" s="2" t="s">
        <v>912</v>
      </c>
      <c r="K254" s="2" t="s">
        <v>1706</v>
      </c>
      <c r="L254" s="2" t="s">
        <v>1707</v>
      </c>
      <c r="M254" s="2" t="s">
        <v>1719</v>
      </c>
      <c r="N254" s="2">
        <v>0.2</v>
      </c>
      <c r="O254" s="2">
        <v>116038.8</v>
      </c>
      <c r="P254" s="2" t="str">
        <f t="shared" si="0"/>
        <v>High</v>
      </c>
    </row>
    <row r="255" spans="1:16" ht="14.25" customHeight="1" x14ac:dyDescent="0.5">
      <c r="A255" s="2" t="s">
        <v>913</v>
      </c>
      <c r="B255" s="2" t="s">
        <v>1748</v>
      </c>
      <c r="C255" s="2" t="s">
        <v>1709</v>
      </c>
      <c r="D255" s="2" t="s">
        <v>75</v>
      </c>
      <c r="E255" s="2" t="s">
        <v>2031</v>
      </c>
      <c r="F255" s="2">
        <v>86092</v>
      </c>
      <c r="G255" s="2" t="s">
        <v>57</v>
      </c>
      <c r="H255" s="2" t="s">
        <v>1699</v>
      </c>
      <c r="I255" s="2" t="s">
        <v>1681</v>
      </c>
      <c r="J255" s="2" t="s">
        <v>915</v>
      </c>
      <c r="K255" s="2" t="s">
        <v>1691</v>
      </c>
      <c r="L255" s="2" t="s">
        <v>1692</v>
      </c>
      <c r="M255" s="2" t="s">
        <v>1750</v>
      </c>
      <c r="N255" s="2">
        <v>0.1</v>
      </c>
      <c r="O255" s="2">
        <v>94701.200000000012</v>
      </c>
      <c r="P255" s="2" t="str">
        <f t="shared" si="0"/>
        <v>Normal</v>
      </c>
    </row>
    <row r="256" spans="1:16" ht="14.25" customHeight="1" x14ac:dyDescent="0.5">
      <c r="A256" s="2" t="s">
        <v>916</v>
      </c>
      <c r="B256" s="2" t="s">
        <v>1828</v>
      </c>
      <c r="C256" s="2" t="s">
        <v>1785</v>
      </c>
      <c r="D256" s="2" t="s">
        <v>69</v>
      </c>
      <c r="E256" s="2" t="s">
        <v>2032</v>
      </c>
      <c r="F256" s="2">
        <v>103671</v>
      </c>
      <c r="G256" s="2" t="s">
        <v>36</v>
      </c>
      <c r="H256" s="2" t="s">
        <v>45</v>
      </c>
      <c r="I256" s="2" t="s">
        <v>1673</v>
      </c>
      <c r="J256" s="2" t="s">
        <v>918</v>
      </c>
      <c r="K256" s="2" t="s">
        <v>1691</v>
      </c>
      <c r="L256" s="2" t="s">
        <v>1692</v>
      </c>
      <c r="M256" s="2" t="s">
        <v>1693</v>
      </c>
      <c r="N256" s="2">
        <v>0.2</v>
      </c>
      <c r="O256" s="2">
        <v>124405.2</v>
      </c>
      <c r="P256" s="2" t="str">
        <f t="shared" si="0"/>
        <v>High</v>
      </c>
    </row>
    <row r="257" spans="1:16" ht="14.25" customHeight="1" x14ac:dyDescent="0.5">
      <c r="A257" s="2" t="s">
        <v>919</v>
      </c>
      <c r="B257" s="2" t="s">
        <v>1924</v>
      </c>
      <c r="C257" s="2" t="s">
        <v>1694</v>
      </c>
      <c r="D257" s="2" t="s">
        <v>50</v>
      </c>
      <c r="E257" s="2" t="s">
        <v>2033</v>
      </c>
      <c r="F257" s="2">
        <v>50350</v>
      </c>
      <c r="G257" s="2" t="s">
        <v>83</v>
      </c>
      <c r="H257" s="2" t="s">
        <v>1680</v>
      </c>
      <c r="I257" s="2" t="s">
        <v>77</v>
      </c>
      <c r="J257" s="2" t="s">
        <v>921</v>
      </c>
      <c r="K257" s="2" t="s">
        <v>1686</v>
      </c>
      <c r="L257" s="2" t="s">
        <v>1687</v>
      </c>
      <c r="M257" s="2" t="s">
        <v>1696</v>
      </c>
      <c r="N257" s="2">
        <v>0.1</v>
      </c>
      <c r="O257" s="2">
        <v>55385.000000000007</v>
      </c>
      <c r="P257" s="2" t="str">
        <f t="shared" ref="P257:P501" si="1">IF(O257&gt;100000,"High", "Normal")</f>
        <v>Normal</v>
      </c>
    </row>
    <row r="258" spans="1:16" ht="14.25" customHeight="1" x14ac:dyDescent="0.5">
      <c r="A258" s="2" t="s">
        <v>922</v>
      </c>
      <c r="B258" s="2" t="s">
        <v>1670</v>
      </c>
      <c r="C258" s="2" t="s">
        <v>1717</v>
      </c>
      <c r="D258" s="2" t="s">
        <v>50</v>
      </c>
      <c r="E258" s="2" t="s">
        <v>1964</v>
      </c>
      <c r="F258" s="2">
        <v>108487</v>
      </c>
      <c r="G258" s="2" t="s">
        <v>83</v>
      </c>
      <c r="H258" s="2" t="s">
        <v>1699</v>
      </c>
      <c r="I258" s="2" t="s">
        <v>1673</v>
      </c>
      <c r="J258" s="2" t="s">
        <v>924</v>
      </c>
      <c r="K258" s="2" t="s">
        <v>1691</v>
      </c>
      <c r="L258" s="2" t="s">
        <v>1692</v>
      </c>
      <c r="M258" s="2" t="s">
        <v>1676</v>
      </c>
      <c r="N258" s="2">
        <v>0.2</v>
      </c>
      <c r="O258" s="2">
        <v>130184.4</v>
      </c>
      <c r="P258" s="2" t="str">
        <f t="shared" si="1"/>
        <v>High</v>
      </c>
    </row>
    <row r="259" spans="1:16" ht="14.25" customHeight="1" x14ac:dyDescent="0.5">
      <c r="A259" s="2" t="s">
        <v>925</v>
      </c>
      <c r="B259" s="2" t="s">
        <v>1971</v>
      </c>
      <c r="C259" s="2" t="s">
        <v>1717</v>
      </c>
      <c r="D259" s="2" t="s">
        <v>50</v>
      </c>
      <c r="E259" s="2" t="s">
        <v>2034</v>
      </c>
      <c r="F259" s="2">
        <v>57622</v>
      </c>
      <c r="G259" s="2" t="s">
        <v>44</v>
      </c>
      <c r="H259" s="2" t="s">
        <v>1680</v>
      </c>
      <c r="I259" s="2" t="s">
        <v>1681</v>
      </c>
      <c r="J259" s="2" t="s">
        <v>927</v>
      </c>
      <c r="K259" s="2" t="s">
        <v>1686</v>
      </c>
      <c r="L259" s="2" t="s">
        <v>1687</v>
      </c>
      <c r="M259" s="2" t="s">
        <v>1696</v>
      </c>
      <c r="N259" s="2">
        <v>0.15</v>
      </c>
      <c r="O259" s="2">
        <v>66265.299999999988</v>
      </c>
      <c r="P259" s="2" t="str">
        <f t="shared" si="1"/>
        <v>Normal</v>
      </c>
    </row>
    <row r="260" spans="1:16" ht="14.25" customHeight="1" x14ac:dyDescent="0.5">
      <c r="A260" s="2" t="s">
        <v>928</v>
      </c>
      <c r="B260" s="2" t="s">
        <v>1887</v>
      </c>
      <c r="C260" s="2" t="s">
        <v>1678</v>
      </c>
      <c r="D260" s="2" t="s">
        <v>34</v>
      </c>
      <c r="E260" s="2" t="s">
        <v>2035</v>
      </c>
      <c r="F260" s="2">
        <v>110263</v>
      </c>
      <c r="G260" s="2" t="s">
        <v>17</v>
      </c>
      <c r="H260" s="2" t="s">
        <v>1699</v>
      </c>
      <c r="I260" s="2" t="s">
        <v>1681</v>
      </c>
      <c r="J260" s="2" t="s">
        <v>930</v>
      </c>
      <c r="K260" s="2" t="s">
        <v>1674</v>
      </c>
      <c r="L260" s="2" t="s">
        <v>1675</v>
      </c>
      <c r="M260" s="2" t="s">
        <v>1696</v>
      </c>
      <c r="N260" s="2">
        <v>0.1</v>
      </c>
      <c r="O260" s="2">
        <v>121289.3</v>
      </c>
      <c r="P260" s="2" t="str">
        <f t="shared" si="1"/>
        <v>High</v>
      </c>
    </row>
    <row r="261" spans="1:16" ht="14.25" customHeight="1" x14ac:dyDescent="0.5">
      <c r="A261" s="2" t="s">
        <v>931</v>
      </c>
      <c r="B261" s="2" t="s">
        <v>1924</v>
      </c>
      <c r="C261" s="2" t="s">
        <v>1671</v>
      </c>
      <c r="D261" s="2" t="s">
        <v>34</v>
      </c>
      <c r="E261" s="2" t="s">
        <v>2036</v>
      </c>
      <c r="F261" s="2">
        <v>93117</v>
      </c>
      <c r="G261" s="2" t="s">
        <v>57</v>
      </c>
      <c r="H261" s="2" t="s">
        <v>1699</v>
      </c>
      <c r="I261" s="2" t="s">
        <v>1685</v>
      </c>
      <c r="J261" s="2" t="s">
        <v>933</v>
      </c>
      <c r="K261" s="2" t="s">
        <v>1686</v>
      </c>
      <c r="L261" s="2" t="s">
        <v>1687</v>
      </c>
      <c r="M261" s="2" t="s">
        <v>1693</v>
      </c>
      <c r="N261" s="2">
        <v>0.05</v>
      </c>
      <c r="O261" s="2">
        <v>97772.85</v>
      </c>
      <c r="P261" s="2" t="str">
        <f t="shared" si="1"/>
        <v>Normal</v>
      </c>
    </row>
    <row r="262" spans="1:16" ht="14.25" customHeight="1" x14ac:dyDescent="0.5">
      <c r="A262" s="2" t="s">
        <v>934</v>
      </c>
      <c r="B262" s="2" t="s">
        <v>1811</v>
      </c>
      <c r="C262" s="2" t="s">
        <v>1671</v>
      </c>
      <c r="D262" s="2" t="s">
        <v>42</v>
      </c>
      <c r="E262" s="2" t="s">
        <v>2037</v>
      </c>
      <c r="F262" s="2">
        <v>98394</v>
      </c>
      <c r="G262" s="2" t="s">
        <v>57</v>
      </c>
      <c r="H262" s="2" t="s">
        <v>45</v>
      </c>
      <c r="I262" s="2" t="s">
        <v>1703</v>
      </c>
      <c r="J262" s="2" t="s">
        <v>936</v>
      </c>
      <c r="K262" s="2" t="s">
        <v>1691</v>
      </c>
      <c r="L262" s="2" t="s">
        <v>1692</v>
      </c>
      <c r="M262" s="2" t="s">
        <v>1719</v>
      </c>
      <c r="N262" s="2">
        <v>0.1</v>
      </c>
      <c r="O262" s="2">
        <v>108233.40000000001</v>
      </c>
      <c r="P262" s="2" t="str">
        <f t="shared" si="1"/>
        <v>High</v>
      </c>
    </row>
    <row r="263" spans="1:16" ht="14.25" customHeight="1" x14ac:dyDescent="0.5">
      <c r="A263" s="2" t="s">
        <v>937</v>
      </c>
      <c r="B263" s="2" t="s">
        <v>1811</v>
      </c>
      <c r="C263" s="2" t="s">
        <v>1717</v>
      </c>
      <c r="D263" s="2" t="s">
        <v>34</v>
      </c>
      <c r="E263" s="2" t="s">
        <v>1783</v>
      </c>
      <c r="F263" s="2">
        <v>63782</v>
      </c>
      <c r="G263" s="2" t="s">
        <v>17</v>
      </c>
      <c r="H263" s="2" t="s">
        <v>1680</v>
      </c>
      <c r="I263" s="2" t="s">
        <v>1681</v>
      </c>
      <c r="J263" s="2" t="s">
        <v>939</v>
      </c>
      <c r="K263" s="2" t="s">
        <v>1691</v>
      </c>
      <c r="L263" s="2" t="s">
        <v>1692</v>
      </c>
      <c r="M263" s="2" t="s">
        <v>1700</v>
      </c>
      <c r="N263" s="2">
        <v>0.1</v>
      </c>
      <c r="O263" s="2">
        <v>70160.200000000012</v>
      </c>
      <c r="P263" s="2" t="str">
        <f t="shared" si="1"/>
        <v>Normal</v>
      </c>
    </row>
    <row r="264" spans="1:16" ht="14.25" customHeight="1" x14ac:dyDescent="0.5">
      <c r="A264" s="2" t="s">
        <v>940</v>
      </c>
      <c r="B264" s="2" t="s">
        <v>1765</v>
      </c>
      <c r="C264" s="2" t="s">
        <v>1678</v>
      </c>
      <c r="D264" s="2" t="s">
        <v>75</v>
      </c>
      <c r="E264" s="2" t="s">
        <v>2038</v>
      </c>
      <c r="F264" s="2">
        <v>68454</v>
      </c>
      <c r="G264" s="2" t="s">
        <v>83</v>
      </c>
      <c r="H264" s="2" t="s">
        <v>1699</v>
      </c>
      <c r="I264" s="2" t="s">
        <v>77</v>
      </c>
      <c r="J264" s="2" t="s">
        <v>942</v>
      </c>
      <c r="K264" s="2" t="s">
        <v>1674</v>
      </c>
      <c r="L264" s="2" t="s">
        <v>1675</v>
      </c>
      <c r="M264" s="2" t="s">
        <v>1693</v>
      </c>
      <c r="N264" s="2">
        <v>0.05</v>
      </c>
      <c r="O264" s="2">
        <v>71876.7</v>
      </c>
      <c r="P264" s="2" t="str">
        <f t="shared" si="1"/>
        <v>Normal</v>
      </c>
    </row>
    <row r="265" spans="1:16" ht="14.25" customHeight="1" x14ac:dyDescent="0.5">
      <c r="A265" s="2" t="s">
        <v>943</v>
      </c>
      <c r="B265" s="2" t="s">
        <v>1732</v>
      </c>
      <c r="C265" s="2" t="s">
        <v>1709</v>
      </c>
      <c r="D265" s="2" t="s">
        <v>15</v>
      </c>
      <c r="E265" s="2" t="s">
        <v>2039</v>
      </c>
      <c r="F265" s="2">
        <v>107904</v>
      </c>
      <c r="G265" s="2" t="s">
        <v>44</v>
      </c>
      <c r="H265" s="2" t="s">
        <v>45</v>
      </c>
      <c r="I265" s="2" t="s">
        <v>77</v>
      </c>
      <c r="J265" s="2" t="s">
        <v>945</v>
      </c>
      <c r="K265" s="2" t="s">
        <v>1691</v>
      </c>
      <c r="L265" s="2" t="s">
        <v>1692</v>
      </c>
      <c r="M265" s="2" t="s">
        <v>1750</v>
      </c>
      <c r="N265" s="2">
        <v>0.1</v>
      </c>
      <c r="O265" s="2">
        <v>118694.40000000001</v>
      </c>
      <c r="P265" s="2" t="str">
        <f t="shared" si="1"/>
        <v>High</v>
      </c>
    </row>
    <row r="266" spans="1:16" ht="14.25" customHeight="1" x14ac:dyDescent="0.5">
      <c r="A266" s="2" t="s">
        <v>946</v>
      </c>
      <c r="B266" s="2" t="s">
        <v>1807</v>
      </c>
      <c r="C266" s="2" t="s">
        <v>1717</v>
      </c>
      <c r="D266" s="2" t="s">
        <v>15</v>
      </c>
      <c r="E266" s="2" t="s">
        <v>2040</v>
      </c>
      <c r="F266" s="2">
        <v>55592</v>
      </c>
      <c r="G266" s="2" t="s">
        <v>44</v>
      </c>
      <c r="H266" s="2" t="s">
        <v>45</v>
      </c>
      <c r="I266" s="2" t="s">
        <v>1673</v>
      </c>
      <c r="J266" s="2" t="s">
        <v>948</v>
      </c>
      <c r="K266" s="2" t="s">
        <v>1691</v>
      </c>
      <c r="L266" s="2" t="s">
        <v>1692</v>
      </c>
      <c r="M266" s="2" t="s">
        <v>1693</v>
      </c>
      <c r="N266" s="2">
        <v>0.15</v>
      </c>
      <c r="O266" s="2">
        <v>63930.799999999996</v>
      </c>
      <c r="P266" s="2" t="str">
        <f t="shared" si="1"/>
        <v>Normal</v>
      </c>
    </row>
    <row r="267" spans="1:16" ht="14.25" customHeight="1" x14ac:dyDescent="0.5">
      <c r="A267" s="2" t="s">
        <v>949</v>
      </c>
      <c r="B267" s="2" t="s">
        <v>1682</v>
      </c>
      <c r="C267" s="2" t="s">
        <v>1733</v>
      </c>
      <c r="D267" s="2" t="s">
        <v>42</v>
      </c>
      <c r="E267" s="2" t="s">
        <v>1738</v>
      </c>
      <c r="F267" s="2">
        <v>62173</v>
      </c>
      <c r="G267" s="2" t="s">
        <v>57</v>
      </c>
      <c r="H267" s="2" t="s">
        <v>45</v>
      </c>
      <c r="I267" s="2" t="s">
        <v>1673</v>
      </c>
      <c r="J267" s="2" t="s">
        <v>951</v>
      </c>
      <c r="K267" s="2" t="s">
        <v>1706</v>
      </c>
      <c r="L267" s="2" t="s">
        <v>1707</v>
      </c>
      <c r="M267" s="2" t="s">
        <v>1750</v>
      </c>
      <c r="N267" s="2">
        <v>0.2</v>
      </c>
      <c r="O267" s="2">
        <v>74607.599999999991</v>
      </c>
      <c r="P267" s="2" t="str">
        <f t="shared" si="1"/>
        <v>Normal</v>
      </c>
    </row>
    <row r="268" spans="1:16" ht="14.25" customHeight="1" x14ac:dyDescent="0.5">
      <c r="A268" s="2" t="s">
        <v>952</v>
      </c>
      <c r="B268" s="2" t="s">
        <v>1730</v>
      </c>
      <c r="C268" s="2" t="s">
        <v>1724</v>
      </c>
      <c r="D268" s="2" t="s">
        <v>34</v>
      </c>
      <c r="E268" s="2" t="s">
        <v>2041</v>
      </c>
      <c r="F268" s="2">
        <v>73204</v>
      </c>
      <c r="G268" s="2" t="s">
        <v>44</v>
      </c>
      <c r="H268" s="2" t="s">
        <v>45</v>
      </c>
      <c r="I268" s="2" t="s">
        <v>1703</v>
      </c>
      <c r="J268" s="2" t="s">
        <v>954</v>
      </c>
      <c r="K268" s="2" t="s">
        <v>1706</v>
      </c>
      <c r="L268" s="2" t="s">
        <v>1707</v>
      </c>
      <c r="M268" s="2" t="s">
        <v>1696</v>
      </c>
      <c r="N268" s="2">
        <v>0.05</v>
      </c>
      <c r="O268" s="2">
        <v>76864.2</v>
      </c>
      <c r="P268" s="2" t="str">
        <f t="shared" si="1"/>
        <v>Normal</v>
      </c>
    </row>
    <row r="269" spans="1:16" ht="14.25" customHeight="1" x14ac:dyDescent="0.5">
      <c r="A269" s="2" t="s">
        <v>955</v>
      </c>
      <c r="B269" s="2" t="s">
        <v>1843</v>
      </c>
      <c r="C269" s="2" t="s">
        <v>1724</v>
      </c>
      <c r="D269" s="2" t="s">
        <v>69</v>
      </c>
      <c r="E269" s="2" t="s">
        <v>2042</v>
      </c>
      <c r="F269" s="2">
        <v>75596</v>
      </c>
      <c r="G269" s="2" t="s">
        <v>17</v>
      </c>
      <c r="H269" s="2" t="s">
        <v>1699</v>
      </c>
      <c r="I269" s="2" t="s">
        <v>1703</v>
      </c>
      <c r="J269" s="2" t="s">
        <v>957</v>
      </c>
      <c r="K269" s="2" t="s">
        <v>1674</v>
      </c>
      <c r="L269" s="2" t="s">
        <v>1675</v>
      </c>
      <c r="M269" s="2" t="s">
        <v>1676</v>
      </c>
      <c r="N269" s="2">
        <v>0.2</v>
      </c>
      <c r="O269" s="2">
        <v>90715.199999999997</v>
      </c>
      <c r="P269" s="2" t="str">
        <f t="shared" si="1"/>
        <v>Normal</v>
      </c>
    </row>
    <row r="270" spans="1:16" ht="14.25" customHeight="1" x14ac:dyDescent="0.5">
      <c r="A270" s="2" t="s">
        <v>958</v>
      </c>
      <c r="B270" s="2" t="s">
        <v>1932</v>
      </c>
      <c r="C270" s="2" t="s">
        <v>1785</v>
      </c>
      <c r="D270" s="2" t="s">
        <v>42</v>
      </c>
      <c r="E270" s="2" t="s">
        <v>2043</v>
      </c>
      <c r="F270" s="2">
        <v>74324</v>
      </c>
      <c r="G270" s="2" t="s">
        <v>83</v>
      </c>
      <c r="H270" s="2" t="s">
        <v>1680</v>
      </c>
      <c r="I270" s="2" t="s">
        <v>1685</v>
      </c>
      <c r="J270" s="2" t="s">
        <v>960</v>
      </c>
      <c r="K270" s="2" t="s">
        <v>1686</v>
      </c>
      <c r="L270" s="2" t="s">
        <v>1687</v>
      </c>
      <c r="M270" s="2" t="s">
        <v>1693</v>
      </c>
      <c r="N270" s="2">
        <v>0.15</v>
      </c>
      <c r="O270" s="2">
        <v>85472.599999999991</v>
      </c>
      <c r="P270" s="2" t="str">
        <f t="shared" si="1"/>
        <v>Normal</v>
      </c>
    </row>
    <row r="271" spans="1:16" ht="14.25" customHeight="1" x14ac:dyDescent="0.5">
      <c r="A271" s="2" t="s">
        <v>961</v>
      </c>
      <c r="B271" s="2" t="s">
        <v>1977</v>
      </c>
      <c r="C271" s="2" t="s">
        <v>1694</v>
      </c>
      <c r="D271" s="2" t="s">
        <v>69</v>
      </c>
      <c r="E271" s="2" t="s">
        <v>2044</v>
      </c>
      <c r="F271" s="2">
        <v>101202</v>
      </c>
      <c r="G271" s="2" t="s">
        <v>17</v>
      </c>
      <c r="H271" s="2" t="s">
        <v>1699</v>
      </c>
      <c r="I271" s="2" t="s">
        <v>77</v>
      </c>
      <c r="J271" s="2" t="s">
        <v>963</v>
      </c>
      <c r="K271" s="2" t="s">
        <v>1706</v>
      </c>
      <c r="L271" s="2" t="s">
        <v>1707</v>
      </c>
      <c r="M271" s="2" t="s">
        <v>1750</v>
      </c>
      <c r="N271" s="2">
        <v>0.05</v>
      </c>
      <c r="O271" s="2">
        <v>106262.1</v>
      </c>
      <c r="P271" s="2" t="str">
        <f t="shared" si="1"/>
        <v>High</v>
      </c>
    </row>
    <row r="272" spans="1:16" ht="14.25" customHeight="1" x14ac:dyDescent="0.5">
      <c r="A272" s="2" t="s">
        <v>964</v>
      </c>
      <c r="B272" s="2" t="s">
        <v>1857</v>
      </c>
      <c r="C272" s="2" t="s">
        <v>1724</v>
      </c>
      <c r="D272" s="2" t="s">
        <v>69</v>
      </c>
      <c r="E272" s="2" t="s">
        <v>1679</v>
      </c>
      <c r="F272" s="2">
        <v>70750</v>
      </c>
      <c r="G272" s="2" t="s">
        <v>36</v>
      </c>
      <c r="H272" s="2" t="s">
        <v>1680</v>
      </c>
      <c r="I272" s="2" t="s">
        <v>1673</v>
      </c>
      <c r="J272" s="2" t="s">
        <v>966</v>
      </c>
      <c r="K272" s="2" t="s">
        <v>1686</v>
      </c>
      <c r="L272" s="2" t="s">
        <v>1687</v>
      </c>
      <c r="M272" s="2" t="s">
        <v>1693</v>
      </c>
      <c r="N272" s="2">
        <v>0.2</v>
      </c>
      <c r="O272" s="2">
        <v>84900</v>
      </c>
      <c r="P272" s="2" t="str">
        <f t="shared" si="1"/>
        <v>Normal</v>
      </c>
    </row>
    <row r="273" spans="1:16" ht="14.25" customHeight="1" x14ac:dyDescent="0.5">
      <c r="A273" s="2" t="s">
        <v>967</v>
      </c>
      <c r="B273" s="2" t="s">
        <v>1770</v>
      </c>
      <c r="C273" s="2" t="s">
        <v>1721</v>
      </c>
      <c r="D273" s="2" t="s">
        <v>100</v>
      </c>
      <c r="E273" s="2" t="s">
        <v>2045</v>
      </c>
      <c r="F273" s="2">
        <v>116112</v>
      </c>
      <c r="G273" s="2" t="s">
        <v>57</v>
      </c>
      <c r="H273" s="2" t="s">
        <v>45</v>
      </c>
      <c r="I273" s="2" t="s">
        <v>1703</v>
      </c>
      <c r="J273" s="2" t="s">
        <v>969</v>
      </c>
      <c r="K273" s="2" t="s">
        <v>1691</v>
      </c>
      <c r="L273" s="2" t="s">
        <v>1692</v>
      </c>
      <c r="M273" s="2" t="s">
        <v>1676</v>
      </c>
      <c r="N273" s="2">
        <v>0.2</v>
      </c>
      <c r="O273" s="2">
        <v>139334.39999999999</v>
      </c>
      <c r="P273" s="2" t="str">
        <f t="shared" si="1"/>
        <v>High</v>
      </c>
    </row>
    <row r="274" spans="1:16" ht="14.25" customHeight="1" x14ac:dyDescent="0.5">
      <c r="A274" s="2" t="s">
        <v>970</v>
      </c>
      <c r="B274" s="2" t="s">
        <v>1739</v>
      </c>
      <c r="C274" s="2" t="s">
        <v>1785</v>
      </c>
      <c r="D274" s="2" t="s">
        <v>15</v>
      </c>
      <c r="E274" s="2" t="s">
        <v>2046</v>
      </c>
      <c r="F274" s="2">
        <v>56566</v>
      </c>
      <c r="G274" s="2" t="s">
        <v>44</v>
      </c>
      <c r="H274" s="2" t="s">
        <v>45</v>
      </c>
      <c r="I274" s="2" t="s">
        <v>1673</v>
      </c>
      <c r="J274" s="2" t="s">
        <v>972</v>
      </c>
      <c r="K274" s="2" t="s">
        <v>1706</v>
      </c>
      <c r="L274" s="2" t="s">
        <v>1707</v>
      </c>
      <c r="M274" s="2" t="s">
        <v>1696</v>
      </c>
      <c r="N274" s="2">
        <v>0.15</v>
      </c>
      <c r="O274" s="2">
        <v>65050.899999999994</v>
      </c>
      <c r="P274" s="2" t="str">
        <f t="shared" si="1"/>
        <v>Normal</v>
      </c>
    </row>
    <row r="275" spans="1:16" ht="14.25" customHeight="1" x14ac:dyDescent="0.5">
      <c r="A275" s="2" t="s">
        <v>973</v>
      </c>
      <c r="B275" s="2" t="s">
        <v>2010</v>
      </c>
      <c r="C275" s="2" t="s">
        <v>1724</v>
      </c>
      <c r="D275" s="2" t="s">
        <v>50</v>
      </c>
      <c r="E275" s="2" t="s">
        <v>2047</v>
      </c>
      <c r="F275" s="2">
        <v>47190</v>
      </c>
      <c r="G275" s="2" t="s">
        <v>36</v>
      </c>
      <c r="H275" s="2" t="s">
        <v>1680</v>
      </c>
      <c r="I275" s="2" t="s">
        <v>1703</v>
      </c>
      <c r="J275" s="2" t="s">
        <v>975</v>
      </c>
      <c r="K275" s="2" t="s">
        <v>1674</v>
      </c>
      <c r="L275" s="2" t="s">
        <v>1675</v>
      </c>
      <c r="M275" s="2" t="s">
        <v>1693</v>
      </c>
      <c r="N275" s="2">
        <v>0.2</v>
      </c>
      <c r="O275" s="2">
        <v>56628</v>
      </c>
      <c r="P275" s="2" t="str">
        <f t="shared" si="1"/>
        <v>Normal</v>
      </c>
    </row>
    <row r="276" spans="1:16" ht="14.25" customHeight="1" x14ac:dyDescent="0.5">
      <c r="A276" s="2" t="s">
        <v>976</v>
      </c>
      <c r="B276" s="2" t="s">
        <v>1887</v>
      </c>
      <c r="C276" s="2" t="s">
        <v>1694</v>
      </c>
      <c r="D276" s="2" t="s">
        <v>34</v>
      </c>
      <c r="E276" s="2" t="s">
        <v>2048</v>
      </c>
      <c r="F276" s="2">
        <v>78333</v>
      </c>
      <c r="G276" s="2" t="s">
        <v>44</v>
      </c>
      <c r="H276" s="2" t="s">
        <v>1680</v>
      </c>
      <c r="I276" s="2" t="s">
        <v>1681</v>
      </c>
      <c r="J276" s="2" t="s">
        <v>978</v>
      </c>
      <c r="K276" s="2" t="s">
        <v>1674</v>
      </c>
      <c r="L276" s="2" t="s">
        <v>1675</v>
      </c>
      <c r="M276" s="2" t="s">
        <v>1688</v>
      </c>
      <c r="N276" s="2">
        <v>0.15</v>
      </c>
      <c r="O276" s="2">
        <v>90082.95</v>
      </c>
      <c r="P276" s="2" t="str">
        <f t="shared" si="1"/>
        <v>Normal</v>
      </c>
    </row>
    <row r="277" spans="1:16" ht="14.25" customHeight="1" x14ac:dyDescent="0.5">
      <c r="A277" s="2" t="s">
        <v>979</v>
      </c>
      <c r="B277" s="2" t="s">
        <v>1798</v>
      </c>
      <c r="C277" s="2" t="s">
        <v>1671</v>
      </c>
      <c r="D277" s="2" t="s">
        <v>69</v>
      </c>
      <c r="E277" s="2" t="s">
        <v>2049</v>
      </c>
      <c r="F277" s="2">
        <v>41589</v>
      </c>
      <c r="G277" s="2" t="s">
        <v>83</v>
      </c>
      <c r="H277" s="2" t="s">
        <v>45</v>
      </c>
      <c r="I277" s="2" t="s">
        <v>1673</v>
      </c>
      <c r="J277" s="2" t="s">
        <v>981</v>
      </c>
      <c r="K277" s="2" t="s">
        <v>1674</v>
      </c>
      <c r="L277" s="2" t="s">
        <v>1675</v>
      </c>
      <c r="M277" s="2" t="s">
        <v>1750</v>
      </c>
      <c r="N277" s="2">
        <v>0.1</v>
      </c>
      <c r="O277" s="2">
        <v>45747.9</v>
      </c>
      <c r="P277" s="2" t="str">
        <f t="shared" si="1"/>
        <v>Normal</v>
      </c>
    </row>
    <row r="278" spans="1:16" ht="14.25" customHeight="1" x14ac:dyDescent="0.5">
      <c r="A278" s="2" t="s">
        <v>982</v>
      </c>
      <c r="B278" s="2" t="s">
        <v>1777</v>
      </c>
      <c r="C278" s="2" t="s">
        <v>1671</v>
      </c>
      <c r="D278" s="2" t="s">
        <v>100</v>
      </c>
      <c r="E278" s="2" t="s">
        <v>2050</v>
      </c>
      <c r="F278" s="2">
        <v>65235</v>
      </c>
      <c r="G278" s="2" t="s">
        <v>83</v>
      </c>
      <c r="H278" s="2" t="s">
        <v>45</v>
      </c>
      <c r="I278" s="2" t="s">
        <v>1681</v>
      </c>
      <c r="J278" s="2" t="s">
        <v>984</v>
      </c>
      <c r="K278" s="2" t="s">
        <v>1706</v>
      </c>
      <c r="L278" s="2" t="s">
        <v>1707</v>
      </c>
      <c r="M278" s="2" t="s">
        <v>1676</v>
      </c>
      <c r="N278" s="2">
        <v>0.15</v>
      </c>
      <c r="O278" s="2">
        <v>75020.25</v>
      </c>
      <c r="P278" s="2" t="str">
        <f t="shared" si="1"/>
        <v>Normal</v>
      </c>
    </row>
    <row r="279" spans="1:16" ht="14.25" customHeight="1" x14ac:dyDescent="0.5">
      <c r="A279" s="2" t="s">
        <v>985</v>
      </c>
      <c r="B279" s="2" t="s">
        <v>1821</v>
      </c>
      <c r="C279" s="2" t="s">
        <v>1709</v>
      </c>
      <c r="D279" s="2" t="s">
        <v>15</v>
      </c>
      <c r="E279" s="2" t="s">
        <v>2051</v>
      </c>
      <c r="F279" s="2">
        <v>40159</v>
      </c>
      <c r="G279" s="2" t="s">
        <v>83</v>
      </c>
      <c r="H279" s="2" t="s">
        <v>45</v>
      </c>
      <c r="I279" s="2" t="s">
        <v>1673</v>
      </c>
      <c r="J279" s="2" t="s">
        <v>987</v>
      </c>
      <c r="K279" s="2" t="s">
        <v>1686</v>
      </c>
      <c r="L279" s="2" t="s">
        <v>1687</v>
      </c>
      <c r="M279" s="2" t="s">
        <v>1750</v>
      </c>
      <c r="N279" s="2">
        <v>0.1</v>
      </c>
      <c r="O279" s="2">
        <v>44174.9</v>
      </c>
      <c r="P279" s="2" t="str">
        <f t="shared" si="1"/>
        <v>Normal</v>
      </c>
    </row>
    <row r="280" spans="1:16" ht="14.25" customHeight="1" x14ac:dyDescent="0.5">
      <c r="A280" s="2" t="s">
        <v>988</v>
      </c>
      <c r="B280" s="2" t="s">
        <v>2023</v>
      </c>
      <c r="C280" s="2" t="s">
        <v>1717</v>
      </c>
      <c r="D280" s="2" t="s">
        <v>50</v>
      </c>
      <c r="E280" s="2" t="s">
        <v>2052</v>
      </c>
      <c r="F280" s="2">
        <v>52145</v>
      </c>
      <c r="G280" s="2" t="s">
        <v>44</v>
      </c>
      <c r="H280" s="2" t="s">
        <v>45</v>
      </c>
      <c r="I280" s="2" t="s">
        <v>77</v>
      </c>
      <c r="J280" s="2" t="s">
        <v>990</v>
      </c>
      <c r="K280" s="2" t="s">
        <v>1691</v>
      </c>
      <c r="L280" s="2" t="s">
        <v>1692</v>
      </c>
      <c r="M280" s="2" t="s">
        <v>1750</v>
      </c>
      <c r="N280" s="2">
        <v>0.05</v>
      </c>
      <c r="O280" s="2">
        <v>54752.25</v>
      </c>
      <c r="P280" s="2" t="str">
        <f t="shared" si="1"/>
        <v>Normal</v>
      </c>
    </row>
    <row r="281" spans="1:16" ht="14.25" customHeight="1" x14ac:dyDescent="0.5">
      <c r="A281" s="2" t="s">
        <v>991</v>
      </c>
      <c r="B281" s="2" t="s">
        <v>1838</v>
      </c>
      <c r="C281" s="2" t="s">
        <v>1733</v>
      </c>
      <c r="D281" s="2" t="s">
        <v>69</v>
      </c>
      <c r="E281" s="2" t="s">
        <v>2053</v>
      </c>
      <c r="F281" s="2">
        <v>71921</v>
      </c>
      <c r="G281" s="2" t="s">
        <v>36</v>
      </c>
      <c r="H281" s="2" t="s">
        <v>1699</v>
      </c>
      <c r="I281" s="2" t="s">
        <v>1685</v>
      </c>
      <c r="J281" s="2" t="s">
        <v>993</v>
      </c>
      <c r="K281" s="2" t="s">
        <v>1686</v>
      </c>
      <c r="L281" s="2" t="s">
        <v>1687</v>
      </c>
      <c r="M281" s="2" t="s">
        <v>1711</v>
      </c>
      <c r="N281" s="2">
        <v>0.2</v>
      </c>
      <c r="O281" s="2">
        <v>86305.2</v>
      </c>
      <c r="P281" s="2" t="str">
        <f t="shared" si="1"/>
        <v>Normal</v>
      </c>
    </row>
    <row r="282" spans="1:16" ht="14.25" customHeight="1" x14ac:dyDescent="0.5">
      <c r="A282" s="2" t="s">
        <v>994</v>
      </c>
      <c r="B282" s="2" t="s">
        <v>1759</v>
      </c>
      <c r="C282" s="2" t="s">
        <v>1671</v>
      </c>
      <c r="D282" s="2" t="s">
        <v>69</v>
      </c>
      <c r="E282" s="2" t="s">
        <v>2054</v>
      </c>
      <c r="F282" s="2">
        <v>56237</v>
      </c>
      <c r="G282" s="2" t="s">
        <v>83</v>
      </c>
      <c r="H282" s="2" t="s">
        <v>45</v>
      </c>
      <c r="I282" s="2" t="s">
        <v>77</v>
      </c>
      <c r="J282" s="2" t="s">
        <v>996</v>
      </c>
      <c r="K282" s="2" t="s">
        <v>1686</v>
      </c>
      <c r="L282" s="2" t="s">
        <v>1687</v>
      </c>
      <c r="M282" s="2" t="s">
        <v>1676</v>
      </c>
      <c r="N282" s="2">
        <v>0.15</v>
      </c>
      <c r="O282" s="2">
        <v>64672.549999999996</v>
      </c>
      <c r="P282" s="2" t="str">
        <f t="shared" si="1"/>
        <v>Normal</v>
      </c>
    </row>
    <row r="283" spans="1:16" ht="14.25" customHeight="1" x14ac:dyDescent="0.5">
      <c r="A283" s="2" t="s">
        <v>997</v>
      </c>
      <c r="B283" s="2" t="s">
        <v>1816</v>
      </c>
      <c r="C283" s="2" t="s">
        <v>1678</v>
      </c>
      <c r="D283" s="2" t="s">
        <v>42</v>
      </c>
      <c r="E283" s="2" t="s">
        <v>1731</v>
      </c>
      <c r="F283" s="2">
        <v>48244</v>
      </c>
      <c r="G283" s="2" t="s">
        <v>36</v>
      </c>
      <c r="H283" s="2" t="s">
        <v>1680</v>
      </c>
      <c r="I283" s="2" t="s">
        <v>77</v>
      </c>
      <c r="J283" s="2" t="s">
        <v>999</v>
      </c>
      <c r="K283" s="2" t="s">
        <v>1691</v>
      </c>
      <c r="L283" s="2" t="s">
        <v>1692</v>
      </c>
      <c r="M283" s="2" t="s">
        <v>1693</v>
      </c>
      <c r="N283" s="2">
        <v>0.15</v>
      </c>
      <c r="O283" s="2">
        <v>55480.6</v>
      </c>
      <c r="P283" s="2" t="str">
        <f t="shared" si="1"/>
        <v>Normal</v>
      </c>
    </row>
    <row r="284" spans="1:16" ht="14.25" customHeight="1" x14ac:dyDescent="0.5">
      <c r="A284" s="2" t="s">
        <v>1000</v>
      </c>
      <c r="B284" s="2" t="s">
        <v>1682</v>
      </c>
      <c r="C284" s="2" t="s">
        <v>1724</v>
      </c>
      <c r="D284" s="2" t="s">
        <v>42</v>
      </c>
      <c r="E284" s="2" t="s">
        <v>2055</v>
      </c>
      <c r="F284" s="2">
        <v>54743</v>
      </c>
      <c r="G284" s="2" t="s">
        <v>44</v>
      </c>
      <c r="H284" s="2" t="s">
        <v>1680</v>
      </c>
      <c r="I284" s="2" t="s">
        <v>77</v>
      </c>
      <c r="J284" s="2" t="s">
        <v>1002</v>
      </c>
      <c r="K284" s="2" t="s">
        <v>1691</v>
      </c>
      <c r="L284" s="2" t="s">
        <v>1692</v>
      </c>
      <c r="M284" s="2" t="s">
        <v>1750</v>
      </c>
      <c r="N284" s="2">
        <v>0.2</v>
      </c>
      <c r="O284" s="2">
        <v>65691.599999999991</v>
      </c>
      <c r="P284" s="2" t="str">
        <f t="shared" si="1"/>
        <v>Normal</v>
      </c>
    </row>
    <row r="285" spans="1:16" ht="14.25" customHeight="1" x14ac:dyDescent="0.5">
      <c r="A285" s="2" t="s">
        <v>1003</v>
      </c>
      <c r="B285" s="2" t="s">
        <v>1723</v>
      </c>
      <c r="C285" s="2" t="s">
        <v>1678</v>
      </c>
      <c r="D285" s="2" t="s">
        <v>15</v>
      </c>
      <c r="E285" s="2" t="s">
        <v>2056</v>
      </c>
      <c r="F285" s="2">
        <v>86101</v>
      </c>
      <c r="G285" s="2" t="s">
        <v>36</v>
      </c>
      <c r="H285" s="2" t="s">
        <v>1699</v>
      </c>
      <c r="I285" s="2" t="s">
        <v>1681</v>
      </c>
      <c r="J285" s="2" t="s">
        <v>1005</v>
      </c>
      <c r="K285" s="2" t="s">
        <v>1706</v>
      </c>
      <c r="L285" s="2" t="s">
        <v>1707</v>
      </c>
      <c r="M285" s="2" t="s">
        <v>1719</v>
      </c>
      <c r="N285" s="2">
        <v>0.2</v>
      </c>
      <c r="O285" s="2">
        <v>103321.2</v>
      </c>
      <c r="P285" s="2" t="str">
        <f t="shared" si="1"/>
        <v>High</v>
      </c>
    </row>
    <row r="286" spans="1:16" ht="14.25" customHeight="1" x14ac:dyDescent="0.5">
      <c r="A286" s="2" t="s">
        <v>1006</v>
      </c>
      <c r="B286" s="2" t="s">
        <v>2057</v>
      </c>
      <c r="C286" s="2" t="s">
        <v>1694</v>
      </c>
      <c r="D286" s="2" t="s">
        <v>50</v>
      </c>
      <c r="E286" s="2" t="s">
        <v>2058</v>
      </c>
      <c r="F286" s="2">
        <v>96378</v>
      </c>
      <c r="G286" s="2" t="s">
        <v>44</v>
      </c>
      <c r="H286" s="2" t="s">
        <v>1680</v>
      </c>
      <c r="I286" s="2" t="s">
        <v>1703</v>
      </c>
      <c r="J286" s="2" t="s">
        <v>1009</v>
      </c>
      <c r="K286" s="2" t="s">
        <v>1706</v>
      </c>
      <c r="L286" s="2" t="s">
        <v>1707</v>
      </c>
      <c r="M286" s="2" t="s">
        <v>1711</v>
      </c>
      <c r="N286" s="2">
        <v>0.05</v>
      </c>
      <c r="O286" s="2">
        <v>101196.90000000001</v>
      </c>
      <c r="P286" s="2" t="str">
        <f t="shared" si="1"/>
        <v>High</v>
      </c>
    </row>
    <row r="287" spans="1:16" ht="14.25" customHeight="1" x14ac:dyDescent="0.5">
      <c r="A287" s="2" t="s">
        <v>1010</v>
      </c>
      <c r="B287" s="2" t="s">
        <v>1761</v>
      </c>
      <c r="C287" s="2" t="s">
        <v>1671</v>
      </c>
      <c r="D287" s="2" t="s">
        <v>69</v>
      </c>
      <c r="E287" s="2" t="s">
        <v>2059</v>
      </c>
      <c r="F287" s="2">
        <v>111126</v>
      </c>
      <c r="G287" s="2" t="s">
        <v>44</v>
      </c>
      <c r="H287" s="2" t="s">
        <v>1680</v>
      </c>
      <c r="I287" s="2" t="s">
        <v>77</v>
      </c>
      <c r="J287" s="2" t="s">
        <v>1012</v>
      </c>
      <c r="K287" s="2" t="s">
        <v>1706</v>
      </c>
      <c r="L287" s="2" t="s">
        <v>1707</v>
      </c>
      <c r="M287" s="2" t="s">
        <v>1688</v>
      </c>
      <c r="N287" s="2">
        <v>0.05</v>
      </c>
      <c r="O287" s="2">
        <v>116682.3</v>
      </c>
      <c r="P287" s="2" t="str">
        <f t="shared" si="1"/>
        <v>High</v>
      </c>
    </row>
    <row r="288" spans="1:16" ht="14.25" customHeight="1" x14ac:dyDescent="0.5">
      <c r="A288" s="2" t="s">
        <v>1013</v>
      </c>
      <c r="B288" s="2" t="s">
        <v>1697</v>
      </c>
      <c r="C288" s="2" t="s">
        <v>1733</v>
      </c>
      <c r="D288" s="2" t="s">
        <v>15</v>
      </c>
      <c r="E288" s="2" t="s">
        <v>2060</v>
      </c>
      <c r="F288" s="2">
        <v>96071</v>
      </c>
      <c r="G288" s="2" t="s">
        <v>57</v>
      </c>
      <c r="H288" s="2" t="s">
        <v>1699</v>
      </c>
      <c r="I288" s="2" t="s">
        <v>77</v>
      </c>
      <c r="J288" s="2" t="s">
        <v>1015</v>
      </c>
      <c r="K288" s="2" t="s">
        <v>1706</v>
      </c>
      <c r="L288" s="2" t="s">
        <v>1707</v>
      </c>
      <c r="M288" s="2" t="s">
        <v>1750</v>
      </c>
      <c r="N288" s="2">
        <v>0.15</v>
      </c>
      <c r="O288" s="2">
        <v>110481.65</v>
      </c>
      <c r="P288" s="2" t="str">
        <f t="shared" si="1"/>
        <v>High</v>
      </c>
    </row>
    <row r="289" spans="1:16" ht="14.25" customHeight="1" x14ac:dyDescent="0.5">
      <c r="A289" s="2" t="s">
        <v>1016</v>
      </c>
      <c r="B289" s="2" t="s">
        <v>1735</v>
      </c>
      <c r="C289" s="2" t="s">
        <v>1694</v>
      </c>
      <c r="D289" s="2" t="s">
        <v>15</v>
      </c>
      <c r="E289" s="2" t="s">
        <v>2061</v>
      </c>
      <c r="F289" s="2">
        <v>111121</v>
      </c>
      <c r="G289" s="2" t="s">
        <v>44</v>
      </c>
      <c r="H289" s="2" t="s">
        <v>1680</v>
      </c>
      <c r="I289" s="2" t="s">
        <v>77</v>
      </c>
      <c r="J289" s="2" t="s">
        <v>1018</v>
      </c>
      <c r="K289" s="2" t="s">
        <v>1706</v>
      </c>
      <c r="L289" s="2" t="s">
        <v>1707</v>
      </c>
      <c r="M289" s="2" t="s">
        <v>1696</v>
      </c>
      <c r="N289" s="2">
        <v>0.05</v>
      </c>
      <c r="O289" s="2">
        <v>116677.05</v>
      </c>
      <c r="P289" s="2" t="str">
        <f t="shared" si="1"/>
        <v>High</v>
      </c>
    </row>
    <row r="290" spans="1:16" ht="14.25" customHeight="1" x14ac:dyDescent="0.5">
      <c r="A290" s="2" t="s">
        <v>1019</v>
      </c>
      <c r="B290" s="2" t="s">
        <v>1800</v>
      </c>
      <c r="C290" s="2" t="s">
        <v>1721</v>
      </c>
      <c r="D290" s="2" t="s">
        <v>75</v>
      </c>
      <c r="E290" s="2" t="s">
        <v>2062</v>
      </c>
      <c r="F290" s="2">
        <v>114763</v>
      </c>
      <c r="G290" s="2" t="s">
        <v>44</v>
      </c>
      <c r="H290" s="2" t="s">
        <v>1680</v>
      </c>
      <c r="I290" s="2" t="s">
        <v>1673</v>
      </c>
      <c r="J290" s="2" t="s">
        <v>1021</v>
      </c>
      <c r="K290" s="2" t="s">
        <v>1691</v>
      </c>
      <c r="L290" s="2" t="s">
        <v>1692</v>
      </c>
      <c r="M290" s="2" t="s">
        <v>1750</v>
      </c>
      <c r="N290" s="2">
        <v>0.1</v>
      </c>
      <c r="O290" s="2">
        <v>126239.30000000002</v>
      </c>
      <c r="P290" s="2" t="str">
        <f t="shared" si="1"/>
        <v>High</v>
      </c>
    </row>
    <row r="291" spans="1:16" ht="14.25" customHeight="1" x14ac:dyDescent="0.5">
      <c r="A291" s="2" t="s">
        <v>1022</v>
      </c>
      <c r="B291" s="2" t="s">
        <v>1720</v>
      </c>
      <c r="C291" s="2" t="s">
        <v>1721</v>
      </c>
      <c r="D291" s="2" t="s">
        <v>34</v>
      </c>
      <c r="E291" s="2" t="s">
        <v>2063</v>
      </c>
      <c r="F291" s="2">
        <v>52237</v>
      </c>
      <c r="G291" s="2" t="s">
        <v>17</v>
      </c>
      <c r="H291" s="2" t="s">
        <v>1680</v>
      </c>
      <c r="I291" s="2" t="s">
        <v>1681</v>
      </c>
      <c r="J291" s="2" t="s">
        <v>1024</v>
      </c>
      <c r="K291" s="2" t="s">
        <v>1686</v>
      </c>
      <c r="L291" s="2" t="s">
        <v>1687</v>
      </c>
      <c r="M291" s="2" t="s">
        <v>1711</v>
      </c>
      <c r="N291" s="2">
        <v>0.05</v>
      </c>
      <c r="O291" s="2">
        <v>54848.850000000006</v>
      </c>
      <c r="P291" s="2" t="str">
        <f t="shared" si="1"/>
        <v>Normal</v>
      </c>
    </row>
    <row r="292" spans="1:16" ht="14.25" customHeight="1" x14ac:dyDescent="0.5">
      <c r="A292" s="2" t="s">
        <v>1025</v>
      </c>
      <c r="B292" s="2" t="s">
        <v>1789</v>
      </c>
      <c r="C292" s="2" t="s">
        <v>1678</v>
      </c>
      <c r="D292" s="2" t="s">
        <v>42</v>
      </c>
      <c r="E292" s="2" t="s">
        <v>2064</v>
      </c>
      <c r="F292" s="2">
        <v>55649</v>
      </c>
      <c r="G292" s="2" t="s">
        <v>83</v>
      </c>
      <c r="H292" s="2" t="s">
        <v>45</v>
      </c>
      <c r="I292" s="2" t="s">
        <v>1673</v>
      </c>
      <c r="J292" s="2" t="s">
        <v>1027</v>
      </c>
      <c r="K292" s="2" t="s">
        <v>1706</v>
      </c>
      <c r="L292" s="2" t="s">
        <v>1707</v>
      </c>
      <c r="M292" s="2" t="s">
        <v>1693</v>
      </c>
      <c r="N292" s="2">
        <v>0.05</v>
      </c>
      <c r="O292" s="2">
        <v>58431.450000000004</v>
      </c>
      <c r="P292" s="2" t="str">
        <f t="shared" si="1"/>
        <v>Normal</v>
      </c>
    </row>
    <row r="293" spans="1:16" ht="14.25" customHeight="1" x14ac:dyDescent="0.5">
      <c r="A293" s="2" t="s">
        <v>1028</v>
      </c>
      <c r="B293" s="2" t="s">
        <v>2065</v>
      </c>
      <c r="C293" s="2" t="s">
        <v>1717</v>
      </c>
      <c r="D293" s="2" t="s">
        <v>50</v>
      </c>
      <c r="E293" s="2" t="s">
        <v>2066</v>
      </c>
      <c r="F293" s="2">
        <v>77713</v>
      </c>
      <c r="G293" s="2" t="s">
        <v>57</v>
      </c>
      <c r="H293" s="2" t="s">
        <v>1699</v>
      </c>
      <c r="I293" s="2" t="s">
        <v>1673</v>
      </c>
      <c r="J293" s="2" t="s">
        <v>1031</v>
      </c>
      <c r="K293" s="2" t="s">
        <v>1706</v>
      </c>
      <c r="L293" s="2" t="s">
        <v>1707</v>
      </c>
      <c r="M293" s="2" t="s">
        <v>1719</v>
      </c>
      <c r="N293" s="2">
        <v>0.15</v>
      </c>
      <c r="O293" s="2">
        <v>89369.95</v>
      </c>
      <c r="P293" s="2" t="str">
        <f t="shared" si="1"/>
        <v>Normal</v>
      </c>
    </row>
    <row r="294" spans="1:16" ht="14.25" customHeight="1" x14ac:dyDescent="0.5">
      <c r="A294" s="2" t="s">
        <v>1032</v>
      </c>
      <c r="B294" s="2" t="s">
        <v>1922</v>
      </c>
      <c r="C294" s="2" t="s">
        <v>1785</v>
      </c>
      <c r="D294" s="2" t="s">
        <v>69</v>
      </c>
      <c r="E294" s="2" t="s">
        <v>2067</v>
      </c>
      <c r="F294" s="2">
        <v>113463</v>
      </c>
      <c r="G294" s="2" t="s">
        <v>57</v>
      </c>
      <c r="H294" s="2" t="s">
        <v>1680</v>
      </c>
      <c r="I294" s="2" t="s">
        <v>1673</v>
      </c>
      <c r="J294" s="2" t="s">
        <v>1034</v>
      </c>
      <c r="K294" s="2" t="s">
        <v>1686</v>
      </c>
      <c r="L294" s="2" t="s">
        <v>1687</v>
      </c>
      <c r="M294" s="2" t="s">
        <v>1696</v>
      </c>
      <c r="N294" s="2">
        <v>0.1</v>
      </c>
      <c r="O294" s="2">
        <v>124809.3</v>
      </c>
      <c r="P294" s="2" t="str">
        <f t="shared" si="1"/>
        <v>High</v>
      </c>
    </row>
    <row r="295" spans="1:16" ht="14.25" customHeight="1" x14ac:dyDescent="0.5">
      <c r="A295" s="2" t="s">
        <v>1035</v>
      </c>
      <c r="B295" s="2" t="s">
        <v>1743</v>
      </c>
      <c r="C295" s="2" t="s">
        <v>1717</v>
      </c>
      <c r="D295" s="2" t="s">
        <v>15</v>
      </c>
      <c r="E295" s="2" t="s">
        <v>1969</v>
      </c>
      <c r="F295" s="2">
        <v>85409</v>
      </c>
      <c r="G295" s="2" t="s">
        <v>57</v>
      </c>
      <c r="H295" s="2" t="s">
        <v>1680</v>
      </c>
      <c r="I295" s="2" t="s">
        <v>1685</v>
      </c>
      <c r="J295" s="2" t="s">
        <v>1037</v>
      </c>
      <c r="K295" s="2" t="s">
        <v>1706</v>
      </c>
      <c r="L295" s="2" t="s">
        <v>1707</v>
      </c>
      <c r="M295" s="2" t="s">
        <v>1688</v>
      </c>
      <c r="N295" s="2">
        <v>0.05</v>
      </c>
      <c r="O295" s="2">
        <v>89679.45</v>
      </c>
      <c r="P295" s="2" t="str">
        <f t="shared" si="1"/>
        <v>Normal</v>
      </c>
    </row>
    <row r="296" spans="1:16" ht="14.25" customHeight="1" x14ac:dyDescent="0.5">
      <c r="A296" s="2" t="s">
        <v>1038</v>
      </c>
      <c r="B296" s="2" t="s">
        <v>1704</v>
      </c>
      <c r="C296" s="2" t="s">
        <v>1709</v>
      </c>
      <c r="D296" s="2" t="s">
        <v>69</v>
      </c>
      <c r="E296" s="2" t="s">
        <v>1870</v>
      </c>
      <c r="F296" s="2">
        <v>88766</v>
      </c>
      <c r="G296" s="2" t="s">
        <v>17</v>
      </c>
      <c r="H296" s="2" t="s">
        <v>1680</v>
      </c>
      <c r="I296" s="2" t="s">
        <v>1685</v>
      </c>
      <c r="J296" s="2" t="s">
        <v>1040</v>
      </c>
      <c r="K296" s="2" t="s">
        <v>1686</v>
      </c>
      <c r="L296" s="2" t="s">
        <v>1687</v>
      </c>
      <c r="M296" s="2" t="s">
        <v>1696</v>
      </c>
      <c r="N296" s="2">
        <v>0.1</v>
      </c>
      <c r="O296" s="2">
        <v>97642.6</v>
      </c>
      <c r="P296" s="2" t="str">
        <f t="shared" si="1"/>
        <v>Normal</v>
      </c>
    </row>
    <row r="297" spans="1:16" ht="14.25" customHeight="1" x14ac:dyDescent="0.5">
      <c r="A297" s="2" t="s">
        <v>1041</v>
      </c>
      <c r="B297" s="2" t="s">
        <v>1862</v>
      </c>
      <c r="C297" s="2" t="s">
        <v>1717</v>
      </c>
      <c r="D297" s="2" t="s">
        <v>75</v>
      </c>
      <c r="E297" s="2" t="s">
        <v>2068</v>
      </c>
      <c r="F297" s="2">
        <v>86154</v>
      </c>
      <c r="G297" s="2" t="s">
        <v>44</v>
      </c>
      <c r="H297" s="2" t="s">
        <v>45</v>
      </c>
      <c r="I297" s="2" t="s">
        <v>1703</v>
      </c>
      <c r="J297" s="2" t="s">
        <v>1043</v>
      </c>
      <c r="K297" s="2" t="s">
        <v>1686</v>
      </c>
      <c r="L297" s="2" t="s">
        <v>1687</v>
      </c>
      <c r="M297" s="2" t="s">
        <v>1750</v>
      </c>
      <c r="N297" s="2">
        <v>0.1</v>
      </c>
      <c r="O297" s="2">
        <v>94769.400000000009</v>
      </c>
      <c r="P297" s="2" t="str">
        <f t="shared" si="1"/>
        <v>Normal</v>
      </c>
    </row>
    <row r="298" spans="1:16" ht="14.25" customHeight="1" x14ac:dyDescent="0.5">
      <c r="A298" s="2" t="s">
        <v>1044</v>
      </c>
      <c r="B298" s="2" t="s">
        <v>1891</v>
      </c>
      <c r="C298" s="2" t="s">
        <v>1709</v>
      </c>
      <c r="D298" s="2" t="s">
        <v>50</v>
      </c>
      <c r="E298" s="2" t="s">
        <v>2069</v>
      </c>
      <c r="F298" s="2">
        <v>47016</v>
      </c>
      <c r="G298" s="2" t="s">
        <v>83</v>
      </c>
      <c r="H298" s="2" t="s">
        <v>45</v>
      </c>
      <c r="I298" s="2" t="s">
        <v>1681</v>
      </c>
      <c r="J298" s="2" t="s">
        <v>1046</v>
      </c>
      <c r="K298" s="2" t="s">
        <v>1691</v>
      </c>
      <c r="L298" s="2" t="s">
        <v>1692</v>
      </c>
      <c r="M298" s="2" t="s">
        <v>1693</v>
      </c>
      <c r="N298" s="2">
        <v>0.1</v>
      </c>
      <c r="O298" s="2">
        <v>51717.600000000006</v>
      </c>
      <c r="P298" s="2" t="str">
        <f t="shared" si="1"/>
        <v>Normal</v>
      </c>
    </row>
    <row r="299" spans="1:16" ht="14.25" customHeight="1" x14ac:dyDescent="0.5">
      <c r="A299" s="2" t="s">
        <v>1047</v>
      </c>
      <c r="B299" s="2" t="s">
        <v>1828</v>
      </c>
      <c r="C299" s="2" t="s">
        <v>1709</v>
      </c>
      <c r="D299" s="2" t="s">
        <v>15</v>
      </c>
      <c r="E299" s="2" t="s">
        <v>2070</v>
      </c>
      <c r="F299" s="2">
        <v>119563</v>
      </c>
      <c r="G299" s="2" t="s">
        <v>36</v>
      </c>
      <c r="H299" s="2" t="s">
        <v>1699</v>
      </c>
      <c r="I299" s="2" t="s">
        <v>77</v>
      </c>
      <c r="J299" s="2" t="s">
        <v>1049</v>
      </c>
      <c r="K299" s="2" t="s">
        <v>1674</v>
      </c>
      <c r="L299" s="2" t="s">
        <v>1675</v>
      </c>
      <c r="M299" s="2" t="s">
        <v>1676</v>
      </c>
      <c r="N299" s="2">
        <v>0.2</v>
      </c>
      <c r="O299" s="2">
        <v>143475.6</v>
      </c>
      <c r="P299" s="2" t="str">
        <f t="shared" si="1"/>
        <v>High</v>
      </c>
    </row>
    <row r="300" spans="1:16" ht="14.25" customHeight="1" x14ac:dyDescent="0.5">
      <c r="A300" s="2" t="s">
        <v>1050</v>
      </c>
      <c r="B300" s="2" t="s">
        <v>1945</v>
      </c>
      <c r="C300" s="2" t="s">
        <v>1733</v>
      </c>
      <c r="D300" s="2" t="s">
        <v>69</v>
      </c>
      <c r="E300" s="2" t="s">
        <v>2071</v>
      </c>
      <c r="F300" s="2">
        <v>88688</v>
      </c>
      <c r="G300" s="2" t="s">
        <v>44</v>
      </c>
      <c r="H300" s="2" t="s">
        <v>1680</v>
      </c>
      <c r="I300" s="2" t="s">
        <v>77</v>
      </c>
      <c r="J300" s="2" t="s">
        <v>1052</v>
      </c>
      <c r="K300" s="2" t="s">
        <v>1691</v>
      </c>
      <c r="L300" s="2" t="s">
        <v>1692</v>
      </c>
      <c r="M300" s="2" t="s">
        <v>1719</v>
      </c>
      <c r="N300" s="2">
        <v>0.2</v>
      </c>
      <c r="O300" s="2">
        <v>106425.59999999999</v>
      </c>
      <c r="P300" s="2" t="str">
        <f t="shared" si="1"/>
        <v>High</v>
      </c>
    </row>
    <row r="301" spans="1:16" ht="14.25" customHeight="1" x14ac:dyDescent="0.5">
      <c r="A301" s="2" t="s">
        <v>1053</v>
      </c>
      <c r="B301" s="2" t="s">
        <v>1825</v>
      </c>
      <c r="C301" s="2" t="s">
        <v>1671</v>
      </c>
      <c r="D301" s="2" t="s">
        <v>42</v>
      </c>
      <c r="E301" s="2" t="s">
        <v>2072</v>
      </c>
      <c r="F301" s="2">
        <v>94238</v>
      </c>
      <c r="G301" s="2" t="s">
        <v>17</v>
      </c>
      <c r="H301" s="2" t="s">
        <v>45</v>
      </c>
      <c r="I301" s="2" t="s">
        <v>77</v>
      </c>
      <c r="J301" s="2" t="s">
        <v>1055</v>
      </c>
      <c r="K301" s="2" t="s">
        <v>1674</v>
      </c>
      <c r="L301" s="2" t="s">
        <v>1675</v>
      </c>
      <c r="M301" s="2" t="s">
        <v>1676</v>
      </c>
      <c r="N301" s="2">
        <v>0.2</v>
      </c>
      <c r="O301" s="2">
        <v>113085.59999999999</v>
      </c>
      <c r="P301" s="2" t="str">
        <f t="shared" si="1"/>
        <v>High</v>
      </c>
    </row>
    <row r="302" spans="1:16" ht="14.25" customHeight="1" x14ac:dyDescent="0.5">
      <c r="A302" s="2" t="s">
        <v>1056</v>
      </c>
      <c r="B302" s="2" t="s">
        <v>1922</v>
      </c>
      <c r="C302" s="2" t="s">
        <v>1733</v>
      </c>
      <c r="D302" s="2" t="s">
        <v>34</v>
      </c>
      <c r="E302" s="2" t="s">
        <v>2004</v>
      </c>
      <c r="F302" s="2">
        <v>98608</v>
      </c>
      <c r="G302" s="2" t="s">
        <v>44</v>
      </c>
      <c r="H302" s="2" t="s">
        <v>1680</v>
      </c>
      <c r="I302" s="2" t="s">
        <v>1673</v>
      </c>
      <c r="J302" s="2" t="s">
        <v>1058</v>
      </c>
      <c r="K302" s="2" t="s">
        <v>1674</v>
      </c>
      <c r="L302" s="2" t="s">
        <v>1675</v>
      </c>
      <c r="M302" s="2" t="s">
        <v>1719</v>
      </c>
      <c r="N302" s="2">
        <v>0.2</v>
      </c>
      <c r="O302" s="2">
        <v>118329.59999999999</v>
      </c>
      <c r="P302" s="2" t="str">
        <f t="shared" si="1"/>
        <v>High</v>
      </c>
    </row>
    <row r="303" spans="1:16" ht="14.25" customHeight="1" x14ac:dyDescent="0.5">
      <c r="A303" s="2" t="s">
        <v>1059</v>
      </c>
      <c r="B303" s="2" t="s">
        <v>1798</v>
      </c>
      <c r="C303" s="2" t="s">
        <v>1709</v>
      </c>
      <c r="D303" s="2" t="s">
        <v>75</v>
      </c>
      <c r="E303" s="2" t="s">
        <v>2073</v>
      </c>
      <c r="F303" s="2">
        <v>71897</v>
      </c>
      <c r="G303" s="2" t="s">
        <v>44</v>
      </c>
      <c r="H303" s="2" t="s">
        <v>1680</v>
      </c>
      <c r="I303" s="2" t="s">
        <v>1685</v>
      </c>
      <c r="J303" s="2" t="s">
        <v>1061</v>
      </c>
      <c r="K303" s="2" t="s">
        <v>1674</v>
      </c>
      <c r="L303" s="2" t="s">
        <v>1675</v>
      </c>
      <c r="M303" s="2" t="s">
        <v>1688</v>
      </c>
      <c r="N303" s="2">
        <v>0.15</v>
      </c>
      <c r="O303" s="2">
        <v>82681.549999999988</v>
      </c>
      <c r="P303" s="2" t="str">
        <f t="shared" si="1"/>
        <v>Normal</v>
      </c>
    </row>
    <row r="304" spans="1:16" ht="14.25" customHeight="1" x14ac:dyDescent="0.5">
      <c r="A304" s="2" t="s">
        <v>1062</v>
      </c>
      <c r="B304" s="2" t="s">
        <v>1765</v>
      </c>
      <c r="C304" s="2" t="s">
        <v>1694</v>
      </c>
      <c r="D304" s="2" t="s">
        <v>50</v>
      </c>
      <c r="E304" s="2" t="s">
        <v>2074</v>
      </c>
      <c r="F304" s="2">
        <v>90961</v>
      </c>
      <c r="G304" s="2" t="s">
        <v>17</v>
      </c>
      <c r="H304" s="2" t="s">
        <v>1680</v>
      </c>
      <c r="I304" s="2" t="s">
        <v>1681</v>
      </c>
      <c r="J304" s="2" t="s">
        <v>1064</v>
      </c>
      <c r="K304" s="2" t="s">
        <v>1706</v>
      </c>
      <c r="L304" s="2" t="s">
        <v>1707</v>
      </c>
      <c r="M304" s="2" t="s">
        <v>1700</v>
      </c>
      <c r="N304" s="2">
        <v>0.05</v>
      </c>
      <c r="O304" s="2">
        <v>95509.05</v>
      </c>
      <c r="P304" s="2" t="str">
        <f t="shared" si="1"/>
        <v>Normal</v>
      </c>
    </row>
    <row r="305" spans="1:16" ht="14.25" customHeight="1" x14ac:dyDescent="0.5">
      <c r="A305" s="2" t="s">
        <v>1065</v>
      </c>
      <c r="B305" s="2" t="s">
        <v>1835</v>
      </c>
      <c r="C305" s="2" t="s">
        <v>1721</v>
      </c>
      <c r="D305" s="2" t="s">
        <v>75</v>
      </c>
      <c r="E305" s="2" t="s">
        <v>1960</v>
      </c>
      <c r="F305" s="2">
        <v>108703</v>
      </c>
      <c r="G305" s="2" t="s">
        <v>57</v>
      </c>
      <c r="H305" s="2" t="s">
        <v>45</v>
      </c>
      <c r="I305" s="2" t="s">
        <v>1673</v>
      </c>
      <c r="J305" s="2" t="s">
        <v>1067</v>
      </c>
      <c r="K305" s="2" t="s">
        <v>1691</v>
      </c>
      <c r="L305" s="2" t="s">
        <v>1692</v>
      </c>
      <c r="M305" s="2" t="s">
        <v>1719</v>
      </c>
      <c r="N305" s="2">
        <v>0.2</v>
      </c>
      <c r="O305" s="2">
        <v>130443.59999999999</v>
      </c>
      <c r="P305" s="2" t="str">
        <f t="shared" si="1"/>
        <v>High</v>
      </c>
    </row>
    <row r="306" spans="1:16" ht="14.25" customHeight="1" x14ac:dyDescent="0.5">
      <c r="A306" s="2" t="s">
        <v>1068</v>
      </c>
      <c r="B306" s="2" t="s">
        <v>1831</v>
      </c>
      <c r="C306" s="2" t="s">
        <v>1709</v>
      </c>
      <c r="D306" s="2" t="s">
        <v>42</v>
      </c>
      <c r="E306" s="2" t="s">
        <v>2075</v>
      </c>
      <c r="F306" s="2">
        <v>84757</v>
      </c>
      <c r="G306" s="2" t="s">
        <v>57</v>
      </c>
      <c r="H306" s="2" t="s">
        <v>1680</v>
      </c>
      <c r="I306" s="2" t="s">
        <v>1685</v>
      </c>
      <c r="J306" s="2" t="s">
        <v>1070</v>
      </c>
      <c r="K306" s="2" t="s">
        <v>1674</v>
      </c>
      <c r="L306" s="2" t="s">
        <v>1675</v>
      </c>
      <c r="M306" s="2" t="s">
        <v>1700</v>
      </c>
      <c r="N306" s="2">
        <v>0.15</v>
      </c>
      <c r="O306" s="2">
        <v>97470.549999999988</v>
      </c>
      <c r="P306" s="2" t="str">
        <f t="shared" si="1"/>
        <v>Normal</v>
      </c>
    </row>
    <row r="307" spans="1:16" ht="14.25" customHeight="1" x14ac:dyDescent="0.5">
      <c r="A307" s="2" t="s">
        <v>1071</v>
      </c>
      <c r="B307" s="2" t="s">
        <v>1926</v>
      </c>
      <c r="C307" s="2" t="s">
        <v>1733</v>
      </c>
      <c r="D307" s="2" t="s">
        <v>50</v>
      </c>
      <c r="E307" s="2" t="s">
        <v>2076</v>
      </c>
      <c r="F307" s="2">
        <v>66917</v>
      </c>
      <c r="G307" s="2" t="s">
        <v>83</v>
      </c>
      <c r="H307" s="2" t="s">
        <v>1680</v>
      </c>
      <c r="I307" s="2" t="s">
        <v>1685</v>
      </c>
      <c r="J307" s="2" t="s">
        <v>1073</v>
      </c>
      <c r="K307" s="2" t="s">
        <v>1686</v>
      </c>
      <c r="L307" s="2" t="s">
        <v>1687</v>
      </c>
      <c r="M307" s="2" t="s">
        <v>1676</v>
      </c>
      <c r="N307" s="2">
        <v>0.05</v>
      </c>
      <c r="O307" s="2">
        <v>70262.850000000006</v>
      </c>
      <c r="P307" s="2" t="str">
        <f t="shared" si="1"/>
        <v>Normal</v>
      </c>
    </row>
    <row r="308" spans="1:16" ht="14.25" customHeight="1" x14ac:dyDescent="0.5">
      <c r="A308" s="2" t="s">
        <v>1074</v>
      </c>
      <c r="B308" s="2" t="s">
        <v>1841</v>
      </c>
      <c r="C308" s="2" t="s">
        <v>1694</v>
      </c>
      <c r="D308" s="2" t="s">
        <v>75</v>
      </c>
      <c r="E308" s="2" t="s">
        <v>2077</v>
      </c>
      <c r="F308" s="2">
        <v>62736</v>
      </c>
      <c r="G308" s="2" t="s">
        <v>83</v>
      </c>
      <c r="H308" s="2" t="s">
        <v>45</v>
      </c>
      <c r="I308" s="2" t="s">
        <v>77</v>
      </c>
      <c r="J308" s="2" t="s">
        <v>1076</v>
      </c>
      <c r="K308" s="2" t="s">
        <v>1706</v>
      </c>
      <c r="L308" s="2" t="s">
        <v>1707</v>
      </c>
      <c r="M308" s="2" t="s">
        <v>1719</v>
      </c>
      <c r="N308" s="2">
        <v>0.2</v>
      </c>
      <c r="O308" s="2">
        <v>75283.199999999997</v>
      </c>
      <c r="P308" s="2" t="str">
        <f t="shared" si="1"/>
        <v>Normal</v>
      </c>
    </row>
    <row r="309" spans="1:16" ht="14.25" customHeight="1" x14ac:dyDescent="0.5">
      <c r="A309" s="2" t="s">
        <v>1077</v>
      </c>
      <c r="B309" s="2" t="s">
        <v>1835</v>
      </c>
      <c r="C309" s="2" t="s">
        <v>1733</v>
      </c>
      <c r="D309" s="2" t="s">
        <v>100</v>
      </c>
      <c r="E309" s="2" t="s">
        <v>2078</v>
      </c>
      <c r="F309" s="2">
        <v>67990</v>
      </c>
      <c r="G309" s="2" t="s">
        <v>57</v>
      </c>
      <c r="H309" s="2" t="s">
        <v>45</v>
      </c>
      <c r="I309" s="2" t="s">
        <v>77</v>
      </c>
      <c r="J309" s="2" t="s">
        <v>1079</v>
      </c>
      <c r="K309" s="2" t="s">
        <v>1691</v>
      </c>
      <c r="L309" s="2" t="s">
        <v>1692</v>
      </c>
      <c r="M309" s="2" t="s">
        <v>1688</v>
      </c>
      <c r="N309" s="2">
        <v>0.05</v>
      </c>
      <c r="O309" s="2">
        <v>71389.5</v>
      </c>
      <c r="P309" s="2" t="str">
        <f t="shared" si="1"/>
        <v>Normal</v>
      </c>
    </row>
    <row r="310" spans="1:16" ht="14.25" customHeight="1" x14ac:dyDescent="0.5">
      <c r="A310" s="2" t="s">
        <v>1080</v>
      </c>
      <c r="B310" s="2" t="s">
        <v>2010</v>
      </c>
      <c r="C310" s="2" t="s">
        <v>1717</v>
      </c>
      <c r="D310" s="2" t="s">
        <v>42</v>
      </c>
      <c r="E310" s="2" t="s">
        <v>2079</v>
      </c>
      <c r="F310" s="2">
        <v>102551</v>
      </c>
      <c r="G310" s="2" t="s">
        <v>36</v>
      </c>
      <c r="H310" s="2" t="s">
        <v>45</v>
      </c>
      <c r="I310" s="2" t="s">
        <v>1681</v>
      </c>
      <c r="J310" s="2" t="s">
        <v>1082</v>
      </c>
      <c r="K310" s="2" t="s">
        <v>1674</v>
      </c>
      <c r="L310" s="2" t="s">
        <v>1675</v>
      </c>
      <c r="M310" s="2" t="s">
        <v>1711</v>
      </c>
      <c r="N310" s="2">
        <v>0.2</v>
      </c>
      <c r="O310" s="2">
        <v>123061.2</v>
      </c>
      <c r="P310" s="2" t="str">
        <f t="shared" si="1"/>
        <v>High</v>
      </c>
    </row>
    <row r="311" spans="1:16" ht="14.25" customHeight="1" x14ac:dyDescent="0.5">
      <c r="A311" s="2" t="s">
        <v>1083</v>
      </c>
      <c r="B311" s="2" t="s">
        <v>2017</v>
      </c>
      <c r="C311" s="2" t="s">
        <v>1724</v>
      </c>
      <c r="D311" s="2" t="s">
        <v>42</v>
      </c>
      <c r="E311" s="2" t="s">
        <v>1718</v>
      </c>
      <c r="F311" s="2">
        <v>98161</v>
      </c>
      <c r="G311" s="2" t="s">
        <v>44</v>
      </c>
      <c r="H311" s="2" t="s">
        <v>45</v>
      </c>
      <c r="I311" s="2" t="s">
        <v>1681</v>
      </c>
      <c r="J311" s="2" t="s">
        <v>1085</v>
      </c>
      <c r="K311" s="2" t="s">
        <v>1686</v>
      </c>
      <c r="L311" s="2" t="s">
        <v>1687</v>
      </c>
      <c r="M311" s="2" t="s">
        <v>1688</v>
      </c>
      <c r="N311" s="2">
        <v>0.15</v>
      </c>
      <c r="O311" s="2">
        <v>112885.15</v>
      </c>
      <c r="P311" s="2" t="str">
        <f t="shared" si="1"/>
        <v>High</v>
      </c>
    </row>
    <row r="312" spans="1:16" ht="14.25" customHeight="1" x14ac:dyDescent="0.5">
      <c r="A312" s="2" t="s">
        <v>1086</v>
      </c>
      <c r="B312" s="2" t="s">
        <v>1759</v>
      </c>
      <c r="C312" s="2" t="s">
        <v>1678</v>
      </c>
      <c r="D312" s="2" t="s">
        <v>42</v>
      </c>
      <c r="E312" s="2" t="s">
        <v>2080</v>
      </c>
      <c r="F312" s="2">
        <v>119623</v>
      </c>
      <c r="G312" s="2" t="s">
        <v>36</v>
      </c>
      <c r="H312" s="2" t="s">
        <v>1680</v>
      </c>
      <c r="I312" s="2" t="s">
        <v>1681</v>
      </c>
      <c r="J312" s="2" t="s">
        <v>1088</v>
      </c>
      <c r="K312" s="2" t="s">
        <v>1691</v>
      </c>
      <c r="L312" s="2" t="s">
        <v>1692</v>
      </c>
      <c r="M312" s="2" t="s">
        <v>1688</v>
      </c>
      <c r="N312" s="2">
        <v>0.1</v>
      </c>
      <c r="O312" s="2">
        <v>131585.30000000002</v>
      </c>
      <c r="P312" s="2" t="str">
        <f t="shared" si="1"/>
        <v>High</v>
      </c>
    </row>
    <row r="313" spans="1:16" ht="14.25" customHeight="1" x14ac:dyDescent="0.5">
      <c r="A313" s="2" t="s">
        <v>1089</v>
      </c>
      <c r="B313" s="2" t="s">
        <v>1774</v>
      </c>
      <c r="C313" s="2" t="s">
        <v>1785</v>
      </c>
      <c r="D313" s="2" t="s">
        <v>100</v>
      </c>
      <c r="E313" s="2" t="s">
        <v>1855</v>
      </c>
      <c r="F313" s="2">
        <v>62440</v>
      </c>
      <c r="G313" s="2" t="s">
        <v>44</v>
      </c>
      <c r="H313" s="2" t="s">
        <v>1680</v>
      </c>
      <c r="I313" s="2" t="s">
        <v>1673</v>
      </c>
      <c r="J313" s="2" t="s">
        <v>1091</v>
      </c>
      <c r="K313" s="2" t="s">
        <v>1691</v>
      </c>
      <c r="L313" s="2" t="s">
        <v>1692</v>
      </c>
      <c r="M313" s="2" t="s">
        <v>1711</v>
      </c>
      <c r="N313" s="2">
        <v>0.1</v>
      </c>
      <c r="O313" s="2">
        <v>68684</v>
      </c>
      <c r="P313" s="2" t="str">
        <f t="shared" si="1"/>
        <v>Normal</v>
      </c>
    </row>
    <row r="314" spans="1:16" ht="14.25" customHeight="1" x14ac:dyDescent="0.5">
      <c r="A314" s="2" t="s">
        <v>1092</v>
      </c>
      <c r="B314" s="2" t="s">
        <v>1802</v>
      </c>
      <c r="C314" s="2" t="s">
        <v>1733</v>
      </c>
      <c r="D314" s="2" t="s">
        <v>100</v>
      </c>
      <c r="E314" s="2" t="s">
        <v>2081</v>
      </c>
      <c r="F314" s="2">
        <v>75205</v>
      </c>
      <c r="G314" s="2" t="s">
        <v>57</v>
      </c>
      <c r="H314" s="2" t="s">
        <v>45</v>
      </c>
      <c r="I314" s="2" t="s">
        <v>1703</v>
      </c>
      <c r="J314" s="2" t="s">
        <v>1094</v>
      </c>
      <c r="K314" s="2" t="s">
        <v>1706</v>
      </c>
      <c r="L314" s="2" t="s">
        <v>1707</v>
      </c>
      <c r="M314" s="2" t="s">
        <v>1711</v>
      </c>
      <c r="N314" s="2">
        <v>0.05</v>
      </c>
      <c r="O314" s="2">
        <v>78965.25</v>
      </c>
      <c r="P314" s="2" t="str">
        <f t="shared" si="1"/>
        <v>Normal</v>
      </c>
    </row>
    <row r="315" spans="1:16" ht="14.25" customHeight="1" x14ac:dyDescent="0.5">
      <c r="A315" s="2" t="s">
        <v>1095</v>
      </c>
      <c r="B315" s="2" t="s">
        <v>1871</v>
      </c>
      <c r="C315" s="2" t="s">
        <v>1785</v>
      </c>
      <c r="D315" s="2" t="s">
        <v>69</v>
      </c>
      <c r="E315" s="2" t="s">
        <v>2082</v>
      </c>
      <c r="F315" s="2">
        <v>95103</v>
      </c>
      <c r="G315" s="2" t="s">
        <v>83</v>
      </c>
      <c r="H315" s="2" t="s">
        <v>45</v>
      </c>
      <c r="I315" s="2" t="s">
        <v>1681</v>
      </c>
      <c r="J315" s="2" t="s">
        <v>1097</v>
      </c>
      <c r="K315" s="2" t="s">
        <v>1691</v>
      </c>
      <c r="L315" s="2" t="s">
        <v>1692</v>
      </c>
      <c r="M315" s="2" t="s">
        <v>1693</v>
      </c>
      <c r="N315" s="2">
        <v>0.15</v>
      </c>
      <c r="O315" s="2">
        <v>109368.45</v>
      </c>
      <c r="P315" s="2" t="str">
        <f t="shared" si="1"/>
        <v>High</v>
      </c>
    </row>
    <row r="316" spans="1:16" ht="14.25" customHeight="1" x14ac:dyDescent="0.5">
      <c r="A316" s="2" t="s">
        <v>1098</v>
      </c>
      <c r="B316" s="2" t="s">
        <v>1712</v>
      </c>
      <c r="C316" s="2" t="s">
        <v>1683</v>
      </c>
      <c r="D316" s="2" t="s">
        <v>15</v>
      </c>
      <c r="E316" s="2" t="s">
        <v>1988</v>
      </c>
      <c r="F316" s="2">
        <v>110812</v>
      </c>
      <c r="G316" s="2" t="s">
        <v>83</v>
      </c>
      <c r="H316" s="2" t="s">
        <v>45</v>
      </c>
      <c r="I316" s="2" t="s">
        <v>77</v>
      </c>
      <c r="J316" s="2" t="s">
        <v>1100</v>
      </c>
      <c r="K316" s="2" t="s">
        <v>1706</v>
      </c>
      <c r="L316" s="2" t="s">
        <v>1707</v>
      </c>
      <c r="M316" s="2" t="s">
        <v>1719</v>
      </c>
      <c r="N316" s="2">
        <v>0.1</v>
      </c>
      <c r="O316" s="2">
        <v>121893.20000000001</v>
      </c>
      <c r="P316" s="2" t="str">
        <f t="shared" si="1"/>
        <v>High</v>
      </c>
    </row>
    <row r="317" spans="1:16" ht="14.25" customHeight="1" x14ac:dyDescent="0.5">
      <c r="A317" s="2" t="s">
        <v>1101</v>
      </c>
      <c r="B317" s="2" t="s">
        <v>1984</v>
      </c>
      <c r="C317" s="2" t="s">
        <v>1733</v>
      </c>
      <c r="D317" s="2" t="s">
        <v>34</v>
      </c>
      <c r="E317" s="2" t="s">
        <v>2083</v>
      </c>
      <c r="F317" s="2">
        <v>81627</v>
      </c>
      <c r="G317" s="2" t="s">
        <v>36</v>
      </c>
      <c r="H317" s="2" t="s">
        <v>1699</v>
      </c>
      <c r="I317" s="2" t="s">
        <v>1703</v>
      </c>
      <c r="J317" s="2" t="s">
        <v>1103</v>
      </c>
      <c r="K317" s="2" t="s">
        <v>1674</v>
      </c>
      <c r="L317" s="2" t="s">
        <v>1675</v>
      </c>
      <c r="M317" s="2" t="s">
        <v>1676</v>
      </c>
      <c r="N317" s="2">
        <v>0.2</v>
      </c>
      <c r="O317" s="2">
        <v>97952.4</v>
      </c>
      <c r="P317" s="2" t="str">
        <f t="shared" si="1"/>
        <v>Normal</v>
      </c>
    </row>
    <row r="318" spans="1:16" ht="14.25" customHeight="1" x14ac:dyDescent="0.5">
      <c r="A318" s="2" t="s">
        <v>1104</v>
      </c>
      <c r="B318" s="2" t="s">
        <v>1739</v>
      </c>
      <c r="C318" s="2" t="s">
        <v>1724</v>
      </c>
      <c r="D318" s="2" t="s">
        <v>75</v>
      </c>
      <c r="E318" s="2" t="s">
        <v>2084</v>
      </c>
      <c r="F318" s="2">
        <v>59008</v>
      </c>
      <c r="G318" s="2" t="s">
        <v>83</v>
      </c>
      <c r="H318" s="2" t="s">
        <v>1699</v>
      </c>
      <c r="I318" s="2" t="s">
        <v>1673</v>
      </c>
      <c r="J318" s="2" t="s">
        <v>1106</v>
      </c>
      <c r="K318" s="2" t="s">
        <v>1706</v>
      </c>
      <c r="L318" s="2" t="s">
        <v>1707</v>
      </c>
      <c r="M318" s="2" t="s">
        <v>1693</v>
      </c>
      <c r="N318" s="2">
        <v>0.1</v>
      </c>
      <c r="O318" s="2">
        <v>64908.800000000003</v>
      </c>
      <c r="P318" s="2" t="str">
        <f t="shared" si="1"/>
        <v>Normal</v>
      </c>
    </row>
    <row r="319" spans="1:16" ht="14.25" customHeight="1" x14ac:dyDescent="0.5">
      <c r="A319" s="2" t="s">
        <v>1107</v>
      </c>
      <c r="B319" s="2" t="s">
        <v>1835</v>
      </c>
      <c r="C319" s="2" t="s">
        <v>1785</v>
      </c>
      <c r="D319" s="2" t="s">
        <v>69</v>
      </c>
      <c r="E319" s="2" t="s">
        <v>2085</v>
      </c>
      <c r="F319" s="2">
        <v>111274</v>
      </c>
      <c r="G319" s="2" t="s">
        <v>57</v>
      </c>
      <c r="H319" s="2" t="s">
        <v>1699</v>
      </c>
      <c r="I319" s="2" t="s">
        <v>1703</v>
      </c>
      <c r="J319" s="2" t="s">
        <v>1109</v>
      </c>
      <c r="K319" s="2" t="s">
        <v>1686</v>
      </c>
      <c r="L319" s="2" t="s">
        <v>1687</v>
      </c>
      <c r="M319" s="2" t="s">
        <v>1711</v>
      </c>
      <c r="N319" s="2">
        <v>0.05</v>
      </c>
      <c r="O319" s="2">
        <v>116837.70000000001</v>
      </c>
      <c r="P319" s="2" t="str">
        <f t="shared" si="1"/>
        <v>High</v>
      </c>
    </row>
    <row r="320" spans="1:16" ht="14.25" customHeight="1" x14ac:dyDescent="0.5">
      <c r="A320" s="2" t="s">
        <v>1110</v>
      </c>
      <c r="B320" s="2" t="s">
        <v>1768</v>
      </c>
      <c r="C320" s="2" t="s">
        <v>1709</v>
      </c>
      <c r="D320" s="2" t="s">
        <v>75</v>
      </c>
      <c r="E320" s="2" t="s">
        <v>2086</v>
      </c>
      <c r="F320" s="2">
        <v>72402</v>
      </c>
      <c r="G320" s="2" t="s">
        <v>36</v>
      </c>
      <c r="H320" s="2" t="s">
        <v>45</v>
      </c>
      <c r="I320" s="2" t="s">
        <v>77</v>
      </c>
      <c r="J320" s="2" t="s">
        <v>1112</v>
      </c>
      <c r="K320" s="2" t="s">
        <v>1706</v>
      </c>
      <c r="L320" s="2" t="s">
        <v>1707</v>
      </c>
      <c r="M320" s="2" t="s">
        <v>1700</v>
      </c>
      <c r="N320" s="2">
        <v>0.05</v>
      </c>
      <c r="O320" s="2">
        <v>76022.100000000006</v>
      </c>
      <c r="P320" s="2" t="str">
        <f t="shared" si="1"/>
        <v>Normal</v>
      </c>
    </row>
    <row r="321" spans="1:16" ht="14.25" customHeight="1" x14ac:dyDescent="0.5">
      <c r="A321" s="2" t="s">
        <v>1113</v>
      </c>
      <c r="B321" s="2" t="s">
        <v>1746</v>
      </c>
      <c r="C321" s="2" t="s">
        <v>1733</v>
      </c>
      <c r="D321" s="2" t="s">
        <v>34</v>
      </c>
      <c r="E321" s="2" t="s">
        <v>2087</v>
      </c>
      <c r="F321" s="2">
        <v>93384</v>
      </c>
      <c r="G321" s="2" t="s">
        <v>44</v>
      </c>
      <c r="H321" s="2" t="s">
        <v>1680</v>
      </c>
      <c r="I321" s="2" t="s">
        <v>1703</v>
      </c>
      <c r="J321" s="2" t="s">
        <v>1115</v>
      </c>
      <c r="K321" s="2" t="s">
        <v>1686</v>
      </c>
      <c r="L321" s="2" t="s">
        <v>1687</v>
      </c>
      <c r="M321" s="2" t="s">
        <v>1676</v>
      </c>
      <c r="N321" s="2">
        <v>0.15</v>
      </c>
      <c r="O321" s="2">
        <v>107391.59999999999</v>
      </c>
      <c r="P321" s="2" t="str">
        <f t="shared" si="1"/>
        <v>High</v>
      </c>
    </row>
    <row r="322" spans="1:16" ht="14.25" customHeight="1" x14ac:dyDescent="0.5">
      <c r="A322" s="2" t="s">
        <v>1116</v>
      </c>
      <c r="B322" s="2" t="s">
        <v>2065</v>
      </c>
      <c r="C322" s="2" t="s">
        <v>1671</v>
      </c>
      <c r="D322" s="2" t="s">
        <v>15</v>
      </c>
      <c r="E322" s="2" t="s">
        <v>2088</v>
      </c>
      <c r="F322" s="2">
        <v>45793</v>
      </c>
      <c r="G322" s="2" t="s">
        <v>83</v>
      </c>
      <c r="H322" s="2" t="s">
        <v>1680</v>
      </c>
      <c r="I322" s="2" t="s">
        <v>1681</v>
      </c>
      <c r="J322" s="2" t="s">
        <v>1118</v>
      </c>
      <c r="K322" s="2" t="s">
        <v>1706</v>
      </c>
      <c r="L322" s="2" t="s">
        <v>1707</v>
      </c>
      <c r="M322" s="2" t="s">
        <v>1700</v>
      </c>
      <c r="N322" s="2">
        <v>0.05</v>
      </c>
      <c r="O322" s="2">
        <v>48082.65</v>
      </c>
      <c r="P322" s="2" t="str">
        <f t="shared" si="1"/>
        <v>Normal</v>
      </c>
    </row>
    <row r="323" spans="1:16" ht="14.25" customHeight="1" x14ac:dyDescent="0.5">
      <c r="A323" s="2" t="s">
        <v>1119</v>
      </c>
      <c r="B323" s="2" t="s">
        <v>1849</v>
      </c>
      <c r="C323" s="2" t="s">
        <v>1678</v>
      </c>
      <c r="D323" s="2" t="s">
        <v>100</v>
      </c>
      <c r="E323" s="2" t="s">
        <v>1937</v>
      </c>
      <c r="F323" s="2">
        <v>45571</v>
      </c>
      <c r="G323" s="2" t="s">
        <v>17</v>
      </c>
      <c r="H323" s="2" t="s">
        <v>1699</v>
      </c>
      <c r="I323" s="2" t="s">
        <v>1673</v>
      </c>
      <c r="J323" s="2" t="s">
        <v>1121</v>
      </c>
      <c r="K323" s="2" t="s">
        <v>1691</v>
      </c>
      <c r="L323" s="2" t="s">
        <v>1692</v>
      </c>
      <c r="M323" s="2" t="s">
        <v>1688</v>
      </c>
      <c r="N323" s="2">
        <v>0.1</v>
      </c>
      <c r="O323" s="2">
        <v>50128.100000000006</v>
      </c>
      <c r="P323" s="2" t="str">
        <f t="shared" si="1"/>
        <v>Normal</v>
      </c>
    </row>
    <row r="324" spans="1:16" ht="14.25" customHeight="1" x14ac:dyDescent="0.5">
      <c r="A324" s="2" t="s">
        <v>1122</v>
      </c>
      <c r="B324" s="2" t="s">
        <v>1802</v>
      </c>
      <c r="C324" s="2" t="s">
        <v>1724</v>
      </c>
      <c r="D324" s="2" t="s">
        <v>15</v>
      </c>
      <c r="E324" s="2" t="s">
        <v>2089</v>
      </c>
      <c r="F324" s="2">
        <v>56209</v>
      </c>
      <c r="G324" s="2" t="s">
        <v>83</v>
      </c>
      <c r="H324" s="2" t="s">
        <v>1699</v>
      </c>
      <c r="I324" s="2" t="s">
        <v>1681</v>
      </c>
      <c r="J324" s="2" t="s">
        <v>1124</v>
      </c>
      <c r="K324" s="2" t="s">
        <v>1674</v>
      </c>
      <c r="L324" s="2" t="s">
        <v>1675</v>
      </c>
      <c r="M324" s="2" t="s">
        <v>1750</v>
      </c>
      <c r="N324" s="2">
        <v>0.1</v>
      </c>
      <c r="O324" s="2">
        <v>61829.9</v>
      </c>
      <c r="P324" s="2" t="str">
        <f t="shared" si="1"/>
        <v>Normal</v>
      </c>
    </row>
    <row r="325" spans="1:16" ht="14.25" customHeight="1" x14ac:dyDescent="0.5">
      <c r="A325" s="2" t="s">
        <v>1125</v>
      </c>
      <c r="B325" s="2" t="s">
        <v>1741</v>
      </c>
      <c r="C325" s="2" t="s">
        <v>1785</v>
      </c>
      <c r="D325" s="2" t="s">
        <v>100</v>
      </c>
      <c r="E325" s="2" t="s">
        <v>2090</v>
      </c>
      <c r="F325" s="2">
        <v>83148</v>
      </c>
      <c r="G325" s="2" t="s">
        <v>44</v>
      </c>
      <c r="H325" s="2" t="s">
        <v>1699</v>
      </c>
      <c r="I325" s="2" t="s">
        <v>77</v>
      </c>
      <c r="J325" s="2" t="s">
        <v>1127</v>
      </c>
      <c r="K325" s="2" t="s">
        <v>1686</v>
      </c>
      <c r="L325" s="2" t="s">
        <v>1687</v>
      </c>
      <c r="M325" s="2" t="s">
        <v>1688</v>
      </c>
      <c r="N325" s="2">
        <v>0.1</v>
      </c>
      <c r="O325" s="2">
        <v>91462.8</v>
      </c>
      <c r="P325" s="2" t="str">
        <f t="shared" si="1"/>
        <v>Normal</v>
      </c>
    </row>
    <row r="326" spans="1:16" ht="14.25" customHeight="1" x14ac:dyDescent="0.5">
      <c r="A326" s="2" t="s">
        <v>1128</v>
      </c>
      <c r="B326" s="2" t="s">
        <v>1865</v>
      </c>
      <c r="C326" s="2" t="s">
        <v>1724</v>
      </c>
      <c r="D326" s="2" t="s">
        <v>34</v>
      </c>
      <c r="E326" s="2" t="s">
        <v>1860</v>
      </c>
      <c r="F326" s="2">
        <v>42224</v>
      </c>
      <c r="G326" s="2" t="s">
        <v>36</v>
      </c>
      <c r="H326" s="2" t="s">
        <v>1680</v>
      </c>
      <c r="I326" s="2" t="s">
        <v>77</v>
      </c>
      <c r="J326" s="2" t="s">
        <v>1130</v>
      </c>
      <c r="K326" s="2" t="s">
        <v>1706</v>
      </c>
      <c r="L326" s="2" t="s">
        <v>1707</v>
      </c>
      <c r="M326" s="2" t="s">
        <v>1688</v>
      </c>
      <c r="N326" s="2">
        <v>0.1</v>
      </c>
      <c r="O326" s="2">
        <v>46446.400000000001</v>
      </c>
      <c r="P326" s="2" t="str">
        <f t="shared" si="1"/>
        <v>Normal</v>
      </c>
    </row>
    <row r="327" spans="1:16" ht="14.25" customHeight="1" x14ac:dyDescent="0.5">
      <c r="A327" s="2" t="s">
        <v>1131</v>
      </c>
      <c r="B327" s="2" t="s">
        <v>1849</v>
      </c>
      <c r="C327" s="2" t="s">
        <v>1694</v>
      </c>
      <c r="D327" s="2" t="s">
        <v>15</v>
      </c>
      <c r="E327" s="2" t="s">
        <v>2091</v>
      </c>
      <c r="F327" s="2">
        <v>88695</v>
      </c>
      <c r="G327" s="2" t="s">
        <v>44</v>
      </c>
      <c r="H327" s="2" t="s">
        <v>45</v>
      </c>
      <c r="I327" s="2" t="s">
        <v>77</v>
      </c>
      <c r="J327" s="2" t="s">
        <v>1133</v>
      </c>
      <c r="K327" s="2" t="s">
        <v>1706</v>
      </c>
      <c r="L327" s="2" t="s">
        <v>1707</v>
      </c>
      <c r="M327" s="2" t="s">
        <v>1750</v>
      </c>
      <c r="N327" s="2">
        <v>0.15</v>
      </c>
      <c r="O327" s="2">
        <v>101999.24999999999</v>
      </c>
      <c r="P327" s="2" t="str">
        <f t="shared" si="1"/>
        <v>High</v>
      </c>
    </row>
    <row r="328" spans="1:16" ht="14.25" customHeight="1" x14ac:dyDescent="0.5">
      <c r="A328" s="2" t="s">
        <v>1134</v>
      </c>
      <c r="B328" s="2" t="s">
        <v>1728</v>
      </c>
      <c r="C328" s="2" t="s">
        <v>1678</v>
      </c>
      <c r="D328" s="2" t="s">
        <v>69</v>
      </c>
      <c r="E328" s="2" t="s">
        <v>1885</v>
      </c>
      <c r="F328" s="2">
        <v>72441</v>
      </c>
      <c r="G328" s="2" t="s">
        <v>17</v>
      </c>
      <c r="H328" s="2" t="s">
        <v>1680</v>
      </c>
      <c r="I328" s="2" t="s">
        <v>1681</v>
      </c>
      <c r="J328" s="2" t="s">
        <v>1136</v>
      </c>
      <c r="K328" s="2" t="s">
        <v>1706</v>
      </c>
      <c r="L328" s="2" t="s">
        <v>1707</v>
      </c>
      <c r="M328" s="2" t="s">
        <v>1719</v>
      </c>
      <c r="N328" s="2">
        <v>0.2</v>
      </c>
      <c r="O328" s="2">
        <v>86929.2</v>
      </c>
      <c r="P328" s="2" t="str">
        <f t="shared" si="1"/>
        <v>Normal</v>
      </c>
    </row>
    <row r="329" spans="1:16" ht="14.25" customHeight="1" x14ac:dyDescent="0.5">
      <c r="A329" s="2" t="s">
        <v>1137</v>
      </c>
      <c r="B329" s="2" t="s">
        <v>1802</v>
      </c>
      <c r="C329" s="2" t="s">
        <v>1709</v>
      </c>
      <c r="D329" s="2" t="s">
        <v>50</v>
      </c>
      <c r="E329" s="2" t="s">
        <v>2092</v>
      </c>
      <c r="F329" s="2">
        <v>79129</v>
      </c>
      <c r="G329" s="2" t="s">
        <v>57</v>
      </c>
      <c r="H329" s="2" t="s">
        <v>45</v>
      </c>
      <c r="I329" s="2" t="s">
        <v>1681</v>
      </c>
      <c r="J329" s="2" t="s">
        <v>1139</v>
      </c>
      <c r="K329" s="2" t="s">
        <v>1691</v>
      </c>
      <c r="L329" s="2" t="s">
        <v>1692</v>
      </c>
      <c r="M329" s="2" t="s">
        <v>1711</v>
      </c>
      <c r="N329" s="2">
        <v>0.2</v>
      </c>
      <c r="O329" s="2">
        <v>94954.8</v>
      </c>
      <c r="P329" s="2" t="str">
        <f t="shared" si="1"/>
        <v>Normal</v>
      </c>
    </row>
    <row r="330" spans="1:16" ht="14.25" customHeight="1" x14ac:dyDescent="0.5">
      <c r="A330" s="2" t="s">
        <v>1140</v>
      </c>
      <c r="B330" s="2" t="s">
        <v>1953</v>
      </c>
      <c r="C330" s="2" t="s">
        <v>1733</v>
      </c>
      <c r="D330" s="2" t="s">
        <v>69</v>
      </c>
      <c r="E330" s="2" t="s">
        <v>1882</v>
      </c>
      <c r="F330" s="2">
        <v>102368</v>
      </c>
      <c r="G330" s="2" t="s">
        <v>83</v>
      </c>
      <c r="H330" s="2" t="s">
        <v>45</v>
      </c>
      <c r="I330" s="2" t="s">
        <v>1681</v>
      </c>
      <c r="J330" s="2" t="s">
        <v>1142</v>
      </c>
      <c r="K330" s="2" t="s">
        <v>1691</v>
      </c>
      <c r="L330" s="2" t="s">
        <v>1692</v>
      </c>
      <c r="M330" s="2" t="s">
        <v>1700</v>
      </c>
      <c r="N330" s="2">
        <v>0.15</v>
      </c>
      <c r="O330" s="2">
        <v>117723.2</v>
      </c>
      <c r="P330" s="2" t="str">
        <f t="shared" si="1"/>
        <v>High</v>
      </c>
    </row>
    <row r="331" spans="1:16" ht="14.25" customHeight="1" x14ac:dyDescent="0.5">
      <c r="A331" s="2" t="s">
        <v>1143</v>
      </c>
      <c r="B331" s="2" t="s">
        <v>1802</v>
      </c>
      <c r="C331" s="2" t="s">
        <v>1733</v>
      </c>
      <c r="D331" s="2" t="s">
        <v>75</v>
      </c>
      <c r="E331" s="2" t="s">
        <v>2093</v>
      </c>
      <c r="F331" s="2">
        <v>84760</v>
      </c>
      <c r="G331" s="2" t="s">
        <v>36</v>
      </c>
      <c r="H331" s="2" t="s">
        <v>1699</v>
      </c>
      <c r="I331" s="2" t="s">
        <v>1685</v>
      </c>
      <c r="J331" s="2" t="s">
        <v>1145</v>
      </c>
      <c r="K331" s="2" t="s">
        <v>1686</v>
      </c>
      <c r="L331" s="2" t="s">
        <v>1687</v>
      </c>
      <c r="M331" s="2" t="s">
        <v>1688</v>
      </c>
      <c r="N331" s="2">
        <v>0.05</v>
      </c>
      <c r="O331" s="2">
        <v>88998</v>
      </c>
      <c r="P331" s="2" t="str">
        <f t="shared" si="1"/>
        <v>Normal</v>
      </c>
    </row>
    <row r="332" spans="1:16" ht="14.25" customHeight="1" x14ac:dyDescent="0.5">
      <c r="A332" s="2" t="s">
        <v>1146</v>
      </c>
      <c r="B332" s="2" t="s">
        <v>1922</v>
      </c>
      <c r="C332" s="2" t="s">
        <v>1733</v>
      </c>
      <c r="D332" s="2" t="s">
        <v>69</v>
      </c>
      <c r="E332" s="2" t="s">
        <v>2094</v>
      </c>
      <c r="F332" s="2">
        <v>63478</v>
      </c>
      <c r="G332" s="2" t="s">
        <v>57</v>
      </c>
      <c r="H332" s="2" t="s">
        <v>1699</v>
      </c>
      <c r="I332" s="2" t="s">
        <v>77</v>
      </c>
      <c r="J332" s="2" t="s">
        <v>1148</v>
      </c>
      <c r="K332" s="2" t="s">
        <v>1686</v>
      </c>
      <c r="L332" s="2" t="s">
        <v>1687</v>
      </c>
      <c r="M332" s="2" t="s">
        <v>1750</v>
      </c>
      <c r="N332" s="2">
        <v>0.2</v>
      </c>
      <c r="O332" s="2">
        <v>76173.599999999991</v>
      </c>
      <c r="P332" s="2" t="str">
        <f t="shared" si="1"/>
        <v>Normal</v>
      </c>
    </row>
    <row r="333" spans="1:16" ht="14.25" customHeight="1" x14ac:dyDescent="0.5">
      <c r="A333" s="2" t="s">
        <v>1149</v>
      </c>
      <c r="B333" s="2" t="s">
        <v>1984</v>
      </c>
      <c r="C333" s="2" t="s">
        <v>1678</v>
      </c>
      <c r="D333" s="2" t="s">
        <v>34</v>
      </c>
      <c r="E333" s="2" t="s">
        <v>2095</v>
      </c>
      <c r="F333" s="2">
        <v>111854</v>
      </c>
      <c r="G333" s="2" t="s">
        <v>44</v>
      </c>
      <c r="H333" s="2" t="s">
        <v>45</v>
      </c>
      <c r="I333" s="2" t="s">
        <v>1681</v>
      </c>
      <c r="J333" s="2" t="s">
        <v>1151</v>
      </c>
      <c r="K333" s="2" t="s">
        <v>1691</v>
      </c>
      <c r="L333" s="2" t="s">
        <v>1692</v>
      </c>
      <c r="M333" s="2" t="s">
        <v>1693</v>
      </c>
      <c r="N333" s="2">
        <v>0.05</v>
      </c>
      <c r="O333" s="2">
        <v>117446.70000000001</v>
      </c>
      <c r="P333" s="2" t="str">
        <f t="shared" si="1"/>
        <v>High</v>
      </c>
    </row>
    <row r="334" spans="1:16" ht="14.25" customHeight="1" x14ac:dyDescent="0.5">
      <c r="A334" s="2" t="s">
        <v>1152</v>
      </c>
      <c r="B334" s="2" t="s">
        <v>1732</v>
      </c>
      <c r="C334" s="2" t="s">
        <v>1671</v>
      </c>
      <c r="D334" s="2" t="s">
        <v>42</v>
      </c>
      <c r="E334" s="2" t="s">
        <v>2096</v>
      </c>
      <c r="F334" s="2">
        <v>52180</v>
      </c>
      <c r="G334" s="2" t="s">
        <v>36</v>
      </c>
      <c r="H334" s="2" t="s">
        <v>1699</v>
      </c>
      <c r="I334" s="2" t="s">
        <v>1681</v>
      </c>
      <c r="J334" s="2" t="s">
        <v>1154</v>
      </c>
      <c r="K334" s="2" t="s">
        <v>1686</v>
      </c>
      <c r="L334" s="2" t="s">
        <v>1687</v>
      </c>
      <c r="M334" s="2" t="s">
        <v>1688</v>
      </c>
      <c r="N334" s="2">
        <v>0.2</v>
      </c>
      <c r="O334" s="2">
        <v>62616</v>
      </c>
      <c r="P334" s="2" t="str">
        <f t="shared" si="1"/>
        <v>Normal</v>
      </c>
    </row>
    <row r="335" spans="1:16" ht="14.25" customHeight="1" x14ac:dyDescent="0.5">
      <c r="A335" s="2" t="s">
        <v>1155</v>
      </c>
      <c r="B335" s="2" t="s">
        <v>1887</v>
      </c>
      <c r="C335" s="2" t="s">
        <v>1683</v>
      </c>
      <c r="D335" s="2" t="s">
        <v>75</v>
      </c>
      <c r="E335" s="2" t="s">
        <v>2097</v>
      </c>
      <c r="F335" s="2">
        <v>55372</v>
      </c>
      <c r="G335" s="2" t="s">
        <v>57</v>
      </c>
      <c r="H335" s="2" t="s">
        <v>45</v>
      </c>
      <c r="I335" s="2" t="s">
        <v>77</v>
      </c>
      <c r="J335" s="2" t="s">
        <v>1157</v>
      </c>
      <c r="K335" s="2" t="s">
        <v>1674</v>
      </c>
      <c r="L335" s="2" t="s">
        <v>1675</v>
      </c>
      <c r="M335" s="2" t="s">
        <v>1700</v>
      </c>
      <c r="N335" s="2">
        <v>0.05</v>
      </c>
      <c r="O335" s="2">
        <v>58140.600000000006</v>
      </c>
      <c r="P335" s="2" t="str">
        <f t="shared" si="1"/>
        <v>Normal</v>
      </c>
    </row>
    <row r="336" spans="1:16" ht="14.25" customHeight="1" x14ac:dyDescent="0.5">
      <c r="A336" s="2" t="s">
        <v>1158</v>
      </c>
      <c r="B336" s="2" t="s">
        <v>1807</v>
      </c>
      <c r="C336" s="2" t="s">
        <v>1721</v>
      </c>
      <c r="D336" s="2" t="s">
        <v>15</v>
      </c>
      <c r="E336" s="2" t="s">
        <v>2098</v>
      </c>
      <c r="F336" s="2">
        <v>69796</v>
      </c>
      <c r="G336" s="2" t="s">
        <v>36</v>
      </c>
      <c r="H336" s="2" t="s">
        <v>1680</v>
      </c>
      <c r="I336" s="2" t="s">
        <v>77</v>
      </c>
      <c r="J336" s="2" t="s">
        <v>1160</v>
      </c>
      <c r="K336" s="2" t="s">
        <v>1674</v>
      </c>
      <c r="L336" s="2" t="s">
        <v>1675</v>
      </c>
      <c r="M336" s="2" t="s">
        <v>1711</v>
      </c>
      <c r="N336" s="2">
        <v>0.15</v>
      </c>
      <c r="O336" s="2">
        <v>80265.399999999994</v>
      </c>
      <c r="P336" s="2" t="str">
        <f t="shared" si="1"/>
        <v>Normal</v>
      </c>
    </row>
    <row r="337" spans="1:16" ht="14.25" customHeight="1" x14ac:dyDescent="0.5">
      <c r="A337" s="2" t="s">
        <v>1161</v>
      </c>
      <c r="B337" s="2" t="s">
        <v>1748</v>
      </c>
      <c r="C337" s="2" t="s">
        <v>1717</v>
      </c>
      <c r="D337" s="2" t="s">
        <v>75</v>
      </c>
      <c r="E337" s="2" t="s">
        <v>1940</v>
      </c>
      <c r="F337" s="2">
        <v>98272</v>
      </c>
      <c r="G337" s="2" t="s">
        <v>17</v>
      </c>
      <c r="H337" s="2" t="s">
        <v>1699</v>
      </c>
      <c r="I337" s="2" t="s">
        <v>1681</v>
      </c>
      <c r="J337" s="2" t="s">
        <v>1163</v>
      </c>
      <c r="K337" s="2" t="s">
        <v>1691</v>
      </c>
      <c r="L337" s="2" t="s">
        <v>1692</v>
      </c>
      <c r="M337" s="2" t="s">
        <v>1688</v>
      </c>
      <c r="N337" s="2">
        <v>0.1</v>
      </c>
      <c r="O337" s="2">
        <v>108099.20000000001</v>
      </c>
      <c r="P337" s="2" t="str">
        <f t="shared" si="1"/>
        <v>High</v>
      </c>
    </row>
    <row r="338" spans="1:16" ht="14.25" customHeight="1" x14ac:dyDescent="0.5">
      <c r="A338" s="2" t="s">
        <v>1164</v>
      </c>
      <c r="B338" s="2" t="s">
        <v>2017</v>
      </c>
      <c r="C338" s="2" t="s">
        <v>1785</v>
      </c>
      <c r="D338" s="2" t="s">
        <v>50</v>
      </c>
      <c r="E338" s="2" t="s">
        <v>2099</v>
      </c>
      <c r="F338" s="2">
        <v>94040</v>
      </c>
      <c r="G338" s="2" t="s">
        <v>17</v>
      </c>
      <c r="H338" s="2" t="s">
        <v>1699</v>
      </c>
      <c r="I338" s="2" t="s">
        <v>1673</v>
      </c>
      <c r="J338" s="2" t="s">
        <v>1166</v>
      </c>
      <c r="K338" s="2" t="s">
        <v>1686</v>
      </c>
      <c r="L338" s="2" t="s">
        <v>1687</v>
      </c>
      <c r="M338" s="2" t="s">
        <v>1688</v>
      </c>
      <c r="N338" s="2">
        <v>0.05</v>
      </c>
      <c r="O338" s="2">
        <v>98742</v>
      </c>
      <c r="P338" s="2" t="str">
        <f t="shared" si="1"/>
        <v>Normal</v>
      </c>
    </row>
    <row r="339" spans="1:16" ht="14.25" customHeight="1" x14ac:dyDescent="0.5">
      <c r="A339" s="2" t="s">
        <v>1167</v>
      </c>
      <c r="B339" s="2" t="s">
        <v>1800</v>
      </c>
      <c r="C339" s="2" t="s">
        <v>1671</v>
      </c>
      <c r="D339" s="2" t="s">
        <v>100</v>
      </c>
      <c r="E339" s="2" t="s">
        <v>2100</v>
      </c>
      <c r="F339" s="2">
        <v>115357</v>
      </c>
      <c r="G339" s="2" t="s">
        <v>83</v>
      </c>
      <c r="H339" s="2" t="s">
        <v>1680</v>
      </c>
      <c r="I339" s="2" t="s">
        <v>1685</v>
      </c>
      <c r="J339" s="2" t="s">
        <v>1169</v>
      </c>
      <c r="K339" s="2" t="s">
        <v>1706</v>
      </c>
      <c r="L339" s="2" t="s">
        <v>1707</v>
      </c>
      <c r="M339" s="2" t="s">
        <v>1719</v>
      </c>
      <c r="N339" s="2">
        <v>0.1</v>
      </c>
      <c r="O339" s="2">
        <v>126892.70000000001</v>
      </c>
      <c r="P339" s="2" t="str">
        <f t="shared" si="1"/>
        <v>High</v>
      </c>
    </row>
    <row r="340" spans="1:16" ht="14.25" customHeight="1" x14ac:dyDescent="0.5">
      <c r="A340" s="2" t="s">
        <v>1170</v>
      </c>
      <c r="B340" s="2" t="s">
        <v>1884</v>
      </c>
      <c r="C340" s="2" t="s">
        <v>1709</v>
      </c>
      <c r="D340" s="2" t="s">
        <v>15</v>
      </c>
      <c r="E340" s="2" t="s">
        <v>2101</v>
      </c>
      <c r="F340" s="2">
        <v>111368</v>
      </c>
      <c r="G340" s="2" t="s">
        <v>83</v>
      </c>
      <c r="H340" s="2" t="s">
        <v>45</v>
      </c>
      <c r="I340" s="2" t="s">
        <v>77</v>
      </c>
      <c r="J340" s="2" t="s">
        <v>1172</v>
      </c>
      <c r="K340" s="2" t="s">
        <v>1674</v>
      </c>
      <c r="L340" s="2" t="s">
        <v>1675</v>
      </c>
      <c r="M340" s="2" t="s">
        <v>1696</v>
      </c>
      <c r="N340" s="2">
        <v>0.05</v>
      </c>
      <c r="O340" s="2">
        <v>116936.40000000001</v>
      </c>
      <c r="P340" s="2" t="str">
        <f t="shared" si="1"/>
        <v>High</v>
      </c>
    </row>
    <row r="341" spans="1:16" ht="14.25" customHeight="1" x14ac:dyDescent="0.5">
      <c r="A341" s="2" t="s">
        <v>1173</v>
      </c>
      <c r="B341" s="2" t="s">
        <v>1895</v>
      </c>
      <c r="C341" s="2" t="s">
        <v>1785</v>
      </c>
      <c r="D341" s="2" t="s">
        <v>75</v>
      </c>
      <c r="E341" s="2" t="s">
        <v>2092</v>
      </c>
      <c r="F341" s="2">
        <v>118356</v>
      </c>
      <c r="G341" s="2" t="s">
        <v>17</v>
      </c>
      <c r="H341" s="2" t="s">
        <v>45</v>
      </c>
      <c r="I341" s="2" t="s">
        <v>1673</v>
      </c>
      <c r="J341" s="2" t="s">
        <v>1175</v>
      </c>
      <c r="K341" s="2" t="s">
        <v>1691</v>
      </c>
      <c r="L341" s="2" t="s">
        <v>1692</v>
      </c>
      <c r="M341" s="2" t="s">
        <v>1750</v>
      </c>
      <c r="N341" s="2">
        <v>0.05</v>
      </c>
      <c r="O341" s="2">
        <v>124273.8</v>
      </c>
      <c r="P341" s="2" t="str">
        <f t="shared" si="1"/>
        <v>High</v>
      </c>
    </row>
    <row r="342" spans="1:16" ht="14.25" customHeight="1" x14ac:dyDescent="0.5">
      <c r="A342" s="2" t="s">
        <v>1176</v>
      </c>
      <c r="B342" s="2" t="s">
        <v>1708</v>
      </c>
      <c r="C342" s="2" t="s">
        <v>1733</v>
      </c>
      <c r="D342" s="2" t="s">
        <v>15</v>
      </c>
      <c r="E342" s="2" t="s">
        <v>2102</v>
      </c>
      <c r="F342" s="2">
        <v>56211</v>
      </c>
      <c r="G342" s="2" t="s">
        <v>36</v>
      </c>
      <c r="H342" s="2" t="s">
        <v>45</v>
      </c>
      <c r="I342" s="2" t="s">
        <v>1685</v>
      </c>
      <c r="J342" s="2" t="s">
        <v>1178</v>
      </c>
      <c r="K342" s="2" t="s">
        <v>1686</v>
      </c>
      <c r="L342" s="2" t="s">
        <v>1687</v>
      </c>
      <c r="M342" s="2" t="s">
        <v>1693</v>
      </c>
      <c r="N342" s="2">
        <v>0.05</v>
      </c>
      <c r="O342" s="2">
        <v>59021.55</v>
      </c>
      <c r="P342" s="2" t="str">
        <f t="shared" si="1"/>
        <v>Normal</v>
      </c>
    </row>
    <row r="343" spans="1:16" ht="14.25" customHeight="1" x14ac:dyDescent="0.5">
      <c r="A343" s="2" t="s">
        <v>1179</v>
      </c>
      <c r="B343" s="2" t="s">
        <v>1682</v>
      </c>
      <c r="C343" s="2" t="s">
        <v>1724</v>
      </c>
      <c r="D343" s="2" t="s">
        <v>15</v>
      </c>
      <c r="E343" s="2" t="s">
        <v>2103</v>
      </c>
      <c r="F343" s="2">
        <v>45842</v>
      </c>
      <c r="G343" s="2" t="s">
        <v>17</v>
      </c>
      <c r="H343" s="2" t="s">
        <v>45</v>
      </c>
      <c r="I343" s="2" t="s">
        <v>1681</v>
      </c>
      <c r="J343" s="2" t="s">
        <v>1181</v>
      </c>
      <c r="K343" s="2" t="s">
        <v>1691</v>
      </c>
      <c r="L343" s="2" t="s">
        <v>1692</v>
      </c>
      <c r="M343" s="2" t="s">
        <v>1693</v>
      </c>
      <c r="N343" s="2">
        <v>0.05</v>
      </c>
      <c r="O343" s="2">
        <v>48134.1</v>
      </c>
      <c r="P343" s="2" t="str">
        <f t="shared" si="1"/>
        <v>Normal</v>
      </c>
    </row>
    <row r="344" spans="1:16" ht="14.25" customHeight="1" x14ac:dyDescent="0.5">
      <c r="A344" s="2" t="s">
        <v>1182</v>
      </c>
      <c r="B344" s="2" t="s">
        <v>2010</v>
      </c>
      <c r="C344" s="2" t="s">
        <v>1709</v>
      </c>
      <c r="D344" s="2" t="s">
        <v>15</v>
      </c>
      <c r="E344" s="2" t="s">
        <v>2104</v>
      </c>
      <c r="F344" s="2">
        <v>103115</v>
      </c>
      <c r="G344" s="2" t="s">
        <v>83</v>
      </c>
      <c r="H344" s="2" t="s">
        <v>45</v>
      </c>
      <c r="I344" s="2" t="s">
        <v>77</v>
      </c>
      <c r="J344" s="2" t="s">
        <v>1184</v>
      </c>
      <c r="K344" s="2" t="s">
        <v>1706</v>
      </c>
      <c r="L344" s="2" t="s">
        <v>1707</v>
      </c>
      <c r="M344" s="2" t="s">
        <v>1676</v>
      </c>
      <c r="N344" s="2">
        <v>0.05</v>
      </c>
      <c r="O344" s="2">
        <v>108270.75</v>
      </c>
      <c r="P344" s="2" t="str">
        <f t="shared" si="1"/>
        <v>High</v>
      </c>
    </row>
    <row r="345" spans="1:16" ht="14.25" customHeight="1" x14ac:dyDescent="0.5">
      <c r="A345" s="2" t="s">
        <v>1185</v>
      </c>
      <c r="B345" s="2" t="s">
        <v>1914</v>
      </c>
      <c r="C345" s="2" t="s">
        <v>1785</v>
      </c>
      <c r="D345" s="2" t="s">
        <v>100</v>
      </c>
      <c r="E345" s="2" t="s">
        <v>2105</v>
      </c>
      <c r="F345" s="2">
        <v>106852</v>
      </c>
      <c r="G345" s="2" t="s">
        <v>17</v>
      </c>
      <c r="H345" s="2" t="s">
        <v>1699</v>
      </c>
      <c r="I345" s="2" t="s">
        <v>1703</v>
      </c>
      <c r="J345" s="2" t="s">
        <v>1187</v>
      </c>
      <c r="K345" s="2" t="s">
        <v>1674</v>
      </c>
      <c r="L345" s="2" t="s">
        <v>1675</v>
      </c>
      <c r="M345" s="2" t="s">
        <v>1711</v>
      </c>
      <c r="N345" s="2">
        <v>0.1</v>
      </c>
      <c r="O345" s="2">
        <v>117537.20000000001</v>
      </c>
      <c r="P345" s="2" t="str">
        <f t="shared" si="1"/>
        <v>High</v>
      </c>
    </row>
    <row r="346" spans="1:16" ht="14.25" customHeight="1" x14ac:dyDescent="0.5">
      <c r="A346" s="2" t="s">
        <v>1188</v>
      </c>
      <c r="B346" s="2" t="s">
        <v>1854</v>
      </c>
      <c r="C346" s="2" t="s">
        <v>1733</v>
      </c>
      <c r="D346" s="2" t="s">
        <v>34</v>
      </c>
      <c r="E346" s="2" t="s">
        <v>2106</v>
      </c>
      <c r="F346" s="2">
        <v>85968</v>
      </c>
      <c r="G346" s="2" t="s">
        <v>17</v>
      </c>
      <c r="H346" s="2" t="s">
        <v>45</v>
      </c>
      <c r="I346" s="2" t="s">
        <v>1703</v>
      </c>
      <c r="J346" s="2" t="s">
        <v>1190</v>
      </c>
      <c r="K346" s="2" t="s">
        <v>1691</v>
      </c>
      <c r="L346" s="2" t="s">
        <v>1692</v>
      </c>
      <c r="M346" s="2" t="s">
        <v>1676</v>
      </c>
      <c r="N346" s="2">
        <v>0.05</v>
      </c>
      <c r="O346" s="2">
        <v>90266.400000000009</v>
      </c>
      <c r="P346" s="2" t="str">
        <f t="shared" si="1"/>
        <v>Normal</v>
      </c>
    </row>
    <row r="347" spans="1:16" ht="14.25" customHeight="1" x14ac:dyDescent="0.5">
      <c r="A347" s="2" t="s">
        <v>1191</v>
      </c>
      <c r="B347" s="2" t="s">
        <v>2065</v>
      </c>
      <c r="C347" s="2" t="s">
        <v>1785</v>
      </c>
      <c r="D347" s="2" t="s">
        <v>69</v>
      </c>
      <c r="E347" s="2" t="s">
        <v>2107</v>
      </c>
      <c r="F347" s="2">
        <v>57508</v>
      </c>
      <c r="G347" s="2" t="s">
        <v>36</v>
      </c>
      <c r="H347" s="2" t="s">
        <v>1699</v>
      </c>
      <c r="I347" s="2" t="s">
        <v>1681</v>
      </c>
      <c r="J347" s="2" t="s">
        <v>1193</v>
      </c>
      <c r="K347" s="2" t="s">
        <v>1691</v>
      </c>
      <c r="L347" s="2" t="s">
        <v>1692</v>
      </c>
      <c r="M347" s="2" t="s">
        <v>1700</v>
      </c>
      <c r="N347" s="2">
        <v>0.1</v>
      </c>
      <c r="O347" s="2">
        <v>63258.8</v>
      </c>
      <c r="P347" s="2" t="str">
        <f t="shared" si="1"/>
        <v>Normal</v>
      </c>
    </row>
    <row r="348" spans="1:16" ht="14.25" customHeight="1" x14ac:dyDescent="0.5">
      <c r="A348" s="2" t="s">
        <v>1194</v>
      </c>
      <c r="B348" s="2" t="s">
        <v>2017</v>
      </c>
      <c r="C348" s="2" t="s">
        <v>1724</v>
      </c>
      <c r="D348" s="2" t="s">
        <v>15</v>
      </c>
      <c r="E348" s="2" t="s">
        <v>2108</v>
      </c>
      <c r="F348" s="2">
        <v>62005</v>
      </c>
      <c r="G348" s="2" t="s">
        <v>57</v>
      </c>
      <c r="H348" s="2" t="s">
        <v>45</v>
      </c>
      <c r="I348" s="2" t="s">
        <v>77</v>
      </c>
      <c r="J348" s="2" t="s">
        <v>1196</v>
      </c>
      <c r="K348" s="2" t="s">
        <v>1691</v>
      </c>
      <c r="L348" s="2" t="s">
        <v>1692</v>
      </c>
      <c r="M348" s="2" t="s">
        <v>1711</v>
      </c>
      <c r="N348" s="2">
        <v>0.15</v>
      </c>
      <c r="O348" s="2">
        <v>71305.75</v>
      </c>
      <c r="P348" s="2" t="str">
        <f t="shared" si="1"/>
        <v>Normal</v>
      </c>
    </row>
    <row r="349" spans="1:16" ht="14.25" customHeight="1" x14ac:dyDescent="0.5">
      <c r="A349" s="2" t="s">
        <v>1197</v>
      </c>
      <c r="B349" s="2" t="s">
        <v>2023</v>
      </c>
      <c r="C349" s="2" t="s">
        <v>1733</v>
      </c>
      <c r="D349" s="2" t="s">
        <v>42</v>
      </c>
      <c r="E349" s="2" t="s">
        <v>2109</v>
      </c>
      <c r="F349" s="2">
        <v>94575</v>
      </c>
      <c r="G349" s="2" t="s">
        <v>83</v>
      </c>
      <c r="H349" s="2" t="s">
        <v>1699</v>
      </c>
      <c r="I349" s="2" t="s">
        <v>1673</v>
      </c>
      <c r="J349" s="2" t="s">
        <v>1199</v>
      </c>
      <c r="K349" s="2" t="s">
        <v>1706</v>
      </c>
      <c r="L349" s="2" t="s">
        <v>1707</v>
      </c>
      <c r="M349" s="2" t="s">
        <v>1688</v>
      </c>
      <c r="N349" s="2">
        <v>0.2</v>
      </c>
      <c r="O349" s="2">
        <v>113490</v>
      </c>
      <c r="P349" s="2" t="str">
        <f t="shared" si="1"/>
        <v>High</v>
      </c>
    </row>
    <row r="350" spans="1:16" ht="14.25" customHeight="1" x14ac:dyDescent="0.5">
      <c r="A350" s="2" t="s">
        <v>1200</v>
      </c>
      <c r="B350" s="2" t="s">
        <v>1887</v>
      </c>
      <c r="C350" s="2" t="s">
        <v>1683</v>
      </c>
      <c r="D350" s="2" t="s">
        <v>34</v>
      </c>
      <c r="E350" s="2" t="s">
        <v>2110</v>
      </c>
      <c r="F350" s="2">
        <v>58971</v>
      </c>
      <c r="G350" s="2" t="s">
        <v>36</v>
      </c>
      <c r="H350" s="2" t="s">
        <v>45</v>
      </c>
      <c r="I350" s="2" t="s">
        <v>77</v>
      </c>
      <c r="J350" s="2" t="s">
        <v>1202</v>
      </c>
      <c r="K350" s="2" t="s">
        <v>1691</v>
      </c>
      <c r="L350" s="2" t="s">
        <v>1692</v>
      </c>
      <c r="M350" s="2" t="s">
        <v>1696</v>
      </c>
      <c r="N350" s="2">
        <v>0.05</v>
      </c>
      <c r="O350" s="2">
        <v>61919.55</v>
      </c>
      <c r="P350" s="2" t="str">
        <f t="shared" si="1"/>
        <v>Normal</v>
      </c>
    </row>
    <row r="351" spans="1:16" ht="14.25" customHeight="1" x14ac:dyDescent="0.5">
      <c r="A351" s="2" t="s">
        <v>1203</v>
      </c>
      <c r="B351" s="2" t="s">
        <v>2005</v>
      </c>
      <c r="C351" s="2" t="s">
        <v>1671</v>
      </c>
      <c r="D351" s="2" t="s">
        <v>50</v>
      </c>
      <c r="E351" s="2" t="s">
        <v>2111</v>
      </c>
      <c r="F351" s="2">
        <v>65599</v>
      </c>
      <c r="G351" s="2" t="s">
        <v>17</v>
      </c>
      <c r="H351" s="2" t="s">
        <v>1680</v>
      </c>
      <c r="I351" s="2" t="s">
        <v>1685</v>
      </c>
      <c r="J351" s="2" t="s">
        <v>1205</v>
      </c>
      <c r="K351" s="2" t="s">
        <v>1706</v>
      </c>
      <c r="L351" s="2" t="s">
        <v>1707</v>
      </c>
      <c r="M351" s="2" t="s">
        <v>1688</v>
      </c>
      <c r="N351" s="2">
        <v>0.2</v>
      </c>
      <c r="O351" s="2">
        <v>78718.8</v>
      </c>
      <c r="P351" s="2" t="str">
        <f t="shared" si="1"/>
        <v>Normal</v>
      </c>
    </row>
    <row r="352" spans="1:16" ht="14.25" customHeight="1" x14ac:dyDescent="0.5">
      <c r="A352" s="2" t="s">
        <v>1206</v>
      </c>
      <c r="B352" s="2" t="s">
        <v>1953</v>
      </c>
      <c r="C352" s="2" t="s">
        <v>1694</v>
      </c>
      <c r="D352" s="2" t="s">
        <v>100</v>
      </c>
      <c r="E352" s="2" t="s">
        <v>2112</v>
      </c>
      <c r="F352" s="2">
        <v>106914</v>
      </c>
      <c r="G352" s="2" t="s">
        <v>17</v>
      </c>
      <c r="H352" s="2" t="s">
        <v>1699</v>
      </c>
      <c r="I352" s="2" t="s">
        <v>1681</v>
      </c>
      <c r="J352" s="2" t="s">
        <v>1208</v>
      </c>
      <c r="K352" s="2" t="s">
        <v>1706</v>
      </c>
      <c r="L352" s="2" t="s">
        <v>1707</v>
      </c>
      <c r="M352" s="2" t="s">
        <v>1693</v>
      </c>
      <c r="N352" s="2">
        <v>0.1</v>
      </c>
      <c r="O352" s="2">
        <v>117605.40000000001</v>
      </c>
      <c r="P352" s="2" t="str">
        <f t="shared" si="1"/>
        <v>High</v>
      </c>
    </row>
    <row r="353" spans="1:16" ht="14.25" customHeight="1" x14ac:dyDescent="0.5">
      <c r="A353" s="2" t="s">
        <v>1209</v>
      </c>
      <c r="B353" s="2" t="s">
        <v>1755</v>
      </c>
      <c r="C353" s="2" t="s">
        <v>1717</v>
      </c>
      <c r="D353" s="2" t="s">
        <v>75</v>
      </c>
      <c r="E353" s="2" t="s">
        <v>2113</v>
      </c>
      <c r="F353" s="2">
        <v>107055</v>
      </c>
      <c r="G353" s="2" t="s">
        <v>57</v>
      </c>
      <c r="H353" s="2" t="s">
        <v>45</v>
      </c>
      <c r="I353" s="2" t="s">
        <v>77</v>
      </c>
      <c r="J353" s="2" t="s">
        <v>1211</v>
      </c>
      <c r="K353" s="2" t="s">
        <v>1706</v>
      </c>
      <c r="L353" s="2" t="s">
        <v>1707</v>
      </c>
      <c r="M353" s="2" t="s">
        <v>1700</v>
      </c>
      <c r="N353" s="2">
        <v>0.15</v>
      </c>
      <c r="O353" s="2">
        <v>123113.24999999999</v>
      </c>
      <c r="P353" s="2" t="str">
        <f t="shared" si="1"/>
        <v>High</v>
      </c>
    </row>
    <row r="354" spans="1:16" ht="14.25" customHeight="1" x14ac:dyDescent="0.5">
      <c r="A354" s="2" t="s">
        <v>1212</v>
      </c>
      <c r="B354" s="2" t="s">
        <v>1903</v>
      </c>
      <c r="C354" s="2" t="s">
        <v>1678</v>
      </c>
      <c r="D354" s="2" t="s">
        <v>100</v>
      </c>
      <c r="E354" s="2" t="s">
        <v>2114</v>
      </c>
      <c r="F354" s="2">
        <v>45355</v>
      </c>
      <c r="G354" s="2" t="s">
        <v>83</v>
      </c>
      <c r="H354" s="2" t="s">
        <v>1680</v>
      </c>
      <c r="I354" s="2" t="s">
        <v>77</v>
      </c>
      <c r="J354" s="2" t="s">
        <v>1214</v>
      </c>
      <c r="K354" s="2" t="s">
        <v>1674</v>
      </c>
      <c r="L354" s="2" t="s">
        <v>1675</v>
      </c>
      <c r="M354" s="2" t="s">
        <v>1750</v>
      </c>
      <c r="N354" s="2">
        <v>0.15</v>
      </c>
      <c r="O354" s="2">
        <v>52158.249999999993</v>
      </c>
      <c r="P354" s="2" t="str">
        <f t="shared" si="1"/>
        <v>Normal</v>
      </c>
    </row>
    <row r="355" spans="1:16" ht="14.25" customHeight="1" x14ac:dyDescent="0.5">
      <c r="A355" s="2" t="s">
        <v>1215</v>
      </c>
      <c r="B355" s="2" t="s">
        <v>2005</v>
      </c>
      <c r="C355" s="2" t="s">
        <v>1717</v>
      </c>
      <c r="D355" s="2" t="s">
        <v>75</v>
      </c>
      <c r="E355" s="2" t="s">
        <v>1898</v>
      </c>
      <c r="F355" s="2">
        <v>94120</v>
      </c>
      <c r="G355" s="2" t="s">
        <v>83</v>
      </c>
      <c r="H355" s="2" t="s">
        <v>1680</v>
      </c>
      <c r="I355" s="2" t="s">
        <v>77</v>
      </c>
      <c r="J355" s="2" t="s">
        <v>1217</v>
      </c>
      <c r="K355" s="2" t="s">
        <v>1674</v>
      </c>
      <c r="L355" s="2" t="s">
        <v>1675</v>
      </c>
      <c r="M355" s="2" t="s">
        <v>1700</v>
      </c>
      <c r="N355" s="2">
        <v>0.15</v>
      </c>
      <c r="O355" s="2">
        <v>108237.99999999999</v>
      </c>
      <c r="P355" s="2" t="str">
        <f t="shared" si="1"/>
        <v>High</v>
      </c>
    </row>
    <row r="356" spans="1:16" ht="14.25" customHeight="1" x14ac:dyDescent="0.5">
      <c r="A356" s="2" t="s">
        <v>1218</v>
      </c>
      <c r="B356" s="2" t="s">
        <v>1737</v>
      </c>
      <c r="C356" s="2" t="s">
        <v>1709</v>
      </c>
      <c r="D356" s="2" t="s">
        <v>100</v>
      </c>
      <c r="E356" s="2" t="s">
        <v>2115</v>
      </c>
      <c r="F356" s="2">
        <v>114619</v>
      </c>
      <c r="G356" s="2" t="s">
        <v>44</v>
      </c>
      <c r="H356" s="2" t="s">
        <v>1699</v>
      </c>
      <c r="I356" s="2" t="s">
        <v>1685</v>
      </c>
      <c r="J356" s="2" t="s">
        <v>1220</v>
      </c>
      <c r="K356" s="2" t="s">
        <v>1691</v>
      </c>
      <c r="L356" s="2" t="s">
        <v>1692</v>
      </c>
      <c r="M356" s="2" t="s">
        <v>1688</v>
      </c>
      <c r="N356" s="2">
        <v>0.2</v>
      </c>
      <c r="O356" s="2">
        <v>137542.79999999999</v>
      </c>
      <c r="P356" s="2" t="str">
        <f t="shared" si="1"/>
        <v>High</v>
      </c>
    </row>
    <row r="357" spans="1:16" ht="14.25" customHeight="1" x14ac:dyDescent="0.5">
      <c r="A357" s="2" t="s">
        <v>1221</v>
      </c>
      <c r="B357" s="2" t="s">
        <v>1867</v>
      </c>
      <c r="C357" s="2" t="s">
        <v>1717</v>
      </c>
      <c r="D357" s="2" t="s">
        <v>75</v>
      </c>
      <c r="E357" s="2" t="s">
        <v>2116</v>
      </c>
      <c r="F357" s="2">
        <v>78342</v>
      </c>
      <c r="G357" s="2" t="s">
        <v>83</v>
      </c>
      <c r="H357" s="2" t="s">
        <v>1680</v>
      </c>
      <c r="I357" s="2" t="s">
        <v>77</v>
      </c>
      <c r="J357" s="2" t="s">
        <v>1223</v>
      </c>
      <c r="K357" s="2" t="s">
        <v>1691</v>
      </c>
      <c r="L357" s="2" t="s">
        <v>1692</v>
      </c>
      <c r="M357" s="2" t="s">
        <v>1750</v>
      </c>
      <c r="N357" s="2">
        <v>0.1</v>
      </c>
      <c r="O357" s="2">
        <v>86176.200000000012</v>
      </c>
      <c r="P357" s="2" t="str">
        <f t="shared" si="1"/>
        <v>Normal</v>
      </c>
    </row>
    <row r="358" spans="1:16" ht="14.25" customHeight="1" x14ac:dyDescent="0.5">
      <c r="A358" s="2" t="s">
        <v>1224</v>
      </c>
      <c r="B358" s="2" t="s">
        <v>1895</v>
      </c>
      <c r="C358" s="2" t="s">
        <v>1733</v>
      </c>
      <c r="D358" s="2" t="s">
        <v>15</v>
      </c>
      <c r="E358" s="2" t="s">
        <v>2117</v>
      </c>
      <c r="F358" s="2">
        <v>118860</v>
      </c>
      <c r="G358" s="2" t="s">
        <v>57</v>
      </c>
      <c r="H358" s="2" t="s">
        <v>45</v>
      </c>
      <c r="I358" s="2" t="s">
        <v>77</v>
      </c>
      <c r="J358" s="2" t="s">
        <v>1226</v>
      </c>
      <c r="K358" s="2" t="s">
        <v>1674</v>
      </c>
      <c r="L358" s="2" t="s">
        <v>1675</v>
      </c>
      <c r="M358" s="2" t="s">
        <v>1700</v>
      </c>
      <c r="N358" s="2">
        <v>0.05</v>
      </c>
      <c r="O358" s="2">
        <v>124803</v>
      </c>
      <c r="P358" s="2" t="str">
        <f t="shared" si="1"/>
        <v>High</v>
      </c>
    </row>
    <row r="359" spans="1:16" ht="14.25" customHeight="1" x14ac:dyDescent="0.5">
      <c r="A359" s="2" t="s">
        <v>1227</v>
      </c>
      <c r="B359" s="2" t="s">
        <v>1682</v>
      </c>
      <c r="C359" s="2" t="s">
        <v>1683</v>
      </c>
      <c r="D359" s="2" t="s">
        <v>69</v>
      </c>
      <c r="E359" s="2" t="s">
        <v>2078</v>
      </c>
      <c r="F359" s="2">
        <v>42257</v>
      </c>
      <c r="G359" s="2" t="s">
        <v>44</v>
      </c>
      <c r="H359" s="2" t="s">
        <v>1699</v>
      </c>
      <c r="I359" s="2" t="s">
        <v>1673</v>
      </c>
      <c r="J359" s="2" t="s">
        <v>1229</v>
      </c>
      <c r="K359" s="2" t="s">
        <v>1686</v>
      </c>
      <c r="L359" s="2" t="s">
        <v>1687</v>
      </c>
      <c r="M359" s="2" t="s">
        <v>1696</v>
      </c>
      <c r="N359" s="2">
        <v>0.05</v>
      </c>
      <c r="O359" s="2">
        <v>44369.85</v>
      </c>
      <c r="P359" s="2" t="str">
        <f t="shared" si="1"/>
        <v>Normal</v>
      </c>
    </row>
    <row r="360" spans="1:16" ht="14.25" customHeight="1" x14ac:dyDescent="0.5">
      <c r="A360" s="2" t="s">
        <v>1230</v>
      </c>
      <c r="B360" s="2" t="s">
        <v>1748</v>
      </c>
      <c r="C360" s="2" t="s">
        <v>1694</v>
      </c>
      <c r="D360" s="2" t="s">
        <v>75</v>
      </c>
      <c r="E360" s="2" t="s">
        <v>2118</v>
      </c>
      <c r="F360" s="2">
        <v>67364</v>
      </c>
      <c r="G360" s="2" t="s">
        <v>44</v>
      </c>
      <c r="H360" s="2" t="s">
        <v>1680</v>
      </c>
      <c r="I360" s="2" t="s">
        <v>77</v>
      </c>
      <c r="J360" s="2" t="s">
        <v>1232</v>
      </c>
      <c r="K360" s="2" t="s">
        <v>1674</v>
      </c>
      <c r="L360" s="2" t="s">
        <v>1675</v>
      </c>
      <c r="M360" s="2" t="s">
        <v>1696</v>
      </c>
      <c r="N360" s="2">
        <v>0.1</v>
      </c>
      <c r="O360" s="2">
        <v>74100.400000000009</v>
      </c>
      <c r="P360" s="2" t="str">
        <f t="shared" si="1"/>
        <v>Normal</v>
      </c>
    </row>
    <row r="361" spans="1:16" ht="14.25" customHeight="1" x14ac:dyDescent="0.5">
      <c r="A361" s="2" t="s">
        <v>1233</v>
      </c>
      <c r="B361" s="2" t="s">
        <v>1862</v>
      </c>
      <c r="C361" s="2" t="s">
        <v>1671</v>
      </c>
      <c r="D361" s="2" t="s">
        <v>75</v>
      </c>
      <c r="E361" s="2" t="s">
        <v>2119</v>
      </c>
      <c r="F361" s="2">
        <v>64972</v>
      </c>
      <c r="G361" s="2" t="s">
        <v>17</v>
      </c>
      <c r="H361" s="2" t="s">
        <v>1680</v>
      </c>
      <c r="I361" s="2" t="s">
        <v>1673</v>
      </c>
      <c r="J361" s="2" t="s">
        <v>1235</v>
      </c>
      <c r="K361" s="2" t="s">
        <v>1706</v>
      </c>
      <c r="L361" s="2" t="s">
        <v>1707</v>
      </c>
      <c r="M361" s="2" t="s">
        <v>1700</v>
      </c>
      <c r="N361" s="2">
        <v>0.2</v>
      </c>
      <c r="O361" s="2">
        <v>77966.399999999994</v>
      </c>
      <c r="P361" s="2" t="str">
        <f t="shared" si="1"/>
        <v>Normal</v>
      </c>
    </row>
    <row r="362" spans="1:16" ht="14.25" customHeight="1" x14ac:dyDescent="0.5">
      <c r="A362" s="2" t="s">
        <v>1236</v>
      </c>
      <c r="B362" s="2" t="s">
        <v>1835</v>
      </c>
      <c r="C362" s="2" t="s">
        <v>1671</v>
      </c>
      <c r="D362" s="2" t="s">
        <v>42</v>
      </c>
      <c r="E362" s="2" t="s">
        <v>2120</v>
      </c>
      <c r="F362" s="2">
        <v>66654</v>
      </c>
      <c r="G362" s="2" t="s">
        <v>17</v>
      </c>
      <c r="H362" s="2" t="s">
        <v>1699</v>
      </c>
      <c r="I362" s="2" t="s">
        <v>1673</v>
      </c>
      <c r="J362" s="2" t="s">
        <v>1238</v>
      </c>
      <c r="K362" s="2" t="s">
        <v>1674</v>
      </c>
      <c r="L362" s="2" t="s">
        <v>1675</v>
      </c>
      <c r="M362" s="2" t="s">
        <v>1750</v>
      </c>
      <c r="N362" s="2">
        <v>0.05</v>
      </c>
      <c r="O362" s="2">
        <v>69986.7</v>
      </c>
      <c r="P362" s="2" t="str">
        <f t="shared" si="1"/>
        <v>Normal</v>
      </c>
    </row>
    <row r="363" spans="1:16" ht="14.25" customHeight="1" x14ac:dyDescent="0.5">
      <c r="A363" s="2" t="s">
        <v>1239</v>
      </c>
      <c r="B363" s="2" t="s">
        <v>1976</v>
      </c>
      <c r="C363" s="2" t="s">
        <v>1724</v>
      </c>
      <c r="D363" s="2" t="s">
        <v>75</v>
      </c>
      <c r="E363" s="2" t="s">
        <v>2022</v>
      </c>
      <c r="F363" s="2">
        <v>69320</v>
      </c>
      <c r="G363" s="2" t="s">
        <v>83</v>
      </c>
      <c r="H363" s="2" t="s">
        <v>1680</v>
      </c>
      <c r="I363" s="2" t="s">
        <v>77</v>
      </c>
      <c r="J363" s="2" t="s">
        <v>1241</v>
      </c>
      <c r="K363" s="2" t="s">
        <v>1706</v>
      </c>
      <c r="L363" s="2" t="s">
        <v>1707</v>
      </c>
      <c r="M363" s="2" t="s">
        <v>1688</v>
      </c>
      <c r="N363" s="2">
        <v>0.1</v>
      </c>
      <c r="O363" s="2">
        <v>76252</v>
      </c>
      <c r="P363" s="2" t="str">
        <f t="shared" si="1"/>
        <v>Normal</v>
      </c>
    </row>
    <row r="364" spans="1:16" ht="14.25" customHeight="1" x14ac:dyDescent="0.5">
      <c r="A364" s="2" t="s">
        <v>1242</v>
      </c>
      <c r="B364" s="2" t="s">
        <v>1809</v>
      </c>
      <c r="C364" s="2" t="s">
        <v>1678</v>
      </c>
      <c r="D364" s="2" t="s">
        <v>42</v>
      </c>
      <c r="E364" s="2" t="s">
        <v>2121</v>
      </c>
      <c r="F364" s="2">
        <v>60808</v>
      </c>
      <c r="G364" s="2" t="s">
        <v>44</v>
      </c>
      <c r="H364" s="2" t="s">
        <v>1699</v>
      </c>
      <c r="I364" s="2" t="s">
        <v>77</v>
      </c>
      <c r="J364" s="2" t="s">
        <v>1244</v>
      </c>
      <c r="K364" s="2" t="s">
        <v>1691</v>
      </c>
      <c r="L364" s="2" t="s">
        <v>1692</v>
      </c>
      <c r="M364" s="2" t="s">
        <v>1700</v>
      </c>
      <c r="N364" s="2">
        <v>0.05</v>
      </c>
      <c r="O364" s="2">
        <v>63848.4</v>
      </c>
      <c r="P364" s="2" t="str">
        <f t="shared" si="1"/>
        <v>Normal</v>
      </c>
    </row>
    <row r="365" spans="1:16" ht="14.25" customHeight="1" x14ac:dyDescent="0.5">
      <c r="A365" s="2" t="s">
        <v>1245</v>
      </c>
      <c r="B365" s="2" t="s">
        <v>1677</v>
      </c>
      <c r="C365" s="2" t="s">
        <v>1785</v>
      </c>
      <c r="D365" s="2" t="s">
        <v>50</v>
      </c>
      <c r="E365" s="2" t="s">
        <v>2122</v>
      </c>
      <c r="F365" s="2">
        <v>92389</v>
      </c>
      <c r="G365" s="2" t="s">
        <v>17</v>
      </c>
      <c r="H365" s="2" t="s">
        <v>45</v>
      </c>
      <c r="I365" s="2" t="s">
        <v>1673</v>
      </c>
      <c r="J365" s="2" t="s">
        <v>1247</v>
      </c>
      <c r="K365" s="2" t="s">
        <v>1686</v>
      </c>
      <c r="L365" s="2" t="s">
        <v>1687</v>
      </c>
      <c r="M365" s="2" t="s">
        <v>1750</v>
      </c>
      <c r="N365" s="2">
        <v>0.15</v>
      </c>
      <c r="O365" s="2">
        <v>106247.34999999999</v>
      </c>
      <c r="P365" s="2" t="str">
        <f t="shared" si="1"/>
        <v>High</v>
      </c>
    </row>
    <row r="366" spans="1:16" ht="14.25" customHeight="1" x14ac:dyDescent="0.5">
      <c r="A366" s="2" t="s">
        <v>1248</v>
      </c>
      <c r="B366" s="2" t="s">
        <v>1755</v>
      </c>
      <c r="C366" s="2" t="s">
        <v>1683</v>
      </c>
      <c r="D366" s="2" t="s">
        <v>15</v>
      </c>
      <c r="E366" s="2" t="s">
        <v>2123</v>
      </c>
      <c r="F366" s="2">
        <v>74773</v>
      </c>
      <c r="G366" s="2" t="s">
        <v>57</v>
      </c>
      <c r="H366" s="2" t="s">
        <v>45</v>
      </c>
      <c r="I366" s="2" t="s">
        <v>1685</v>
      </c>
      <c r="J366" s="2" t="s">
        <v>1250</v>
      </c>
      <c r="K366" s="2" t="s">
        <v>1691</v>
      </c>
      <c r="L366" s="2" t="s">
        <v>1692</v>
      </c>
      <c r="M366" s="2" t="s">
        <v>1719</v>
      </c>
      <c r="N366" s="2">
        <v>0.05</v>
      </c>
      <c r="O366" s="2">
        <v>78511.650000000009</v>
      </c>
      <c r="P366" s="2" t="str">
        <f t="shared" si="1"/>
        <v>Normal</v>
      </c>
    </row>
    <row r="367" spans="1:16" ht="14.25" customHeight="1" x14ac:dyDescent="0.5">
      <c r="A367" s="2" t="s">
        <v>1251</v>
      </c>
      <c r="B367" s="2" t="s">
        <v>2124</v>
      </c>
      <c r="C367" s="2" t="s">
        <v>1785</v>
      </c>
      <c r="D367" s="2" t="s">
        <v>42</v>
      </c>
      <c r="E367" s="2" t="s">
        <v>2125</v>
      </c>
      <c r="F367" s="2">
        <v>91168</v>
      </c>
      <c r="G367" s="2" t="s">
        <v>17</v>
      </c>
      <c r="H367" s="2" t="s">
        <v>1699</v>
      </c>
      <c r="I367" s="2" t="s">
        <v>77</v>
      </c>
      <c r="J367" s="2" t="s">
        <v>1254</v>
      </c>
      <c r="K367" s="2" t="s">
        <v>1706</v>
      </c>
      <c r="L367" s="2" t="s">
        <v>1707</v>
      </c>
      <c r="M367" s="2" t="s">
        <v>1696</v>
      </c>
      <c r="N367" s="2">
        <v>0.2</v>
      </c>
      <c r="O367" s="2">
        <v>109401.59999999999</v>
      </c>
      <c r="P367" s="2" t="str">
        <f t="shared" si="1"/>
        <v>High</v>
      </c>
    </row>
    <row r="368" spans="1:16" ht="14.25" customHeight="1" x14ac:dyDescent="0.5">
      <c r="A368" s="2" t="s">
        <v>1255</v>
      </c>
      <c r="B368" s="2" t="s">
        <v>1924</v>
      </c>
      <c r="C368" s="2" t="s">
        <v>1694</v>
      </c>
      <c r="D368" s="2" t="s">
        <v>69</v>
      </c>
      <c r="E368" s="2" t="s">
        <v>2126</v>
      </c>
      <c r="F368" s="2">
        <v>67747</v>
      </c>
      <c r="G368" s="2" t="s">
        <v>17</v>
      </c>
      <c r="H368" s="2" t="s">
        <v>1699</v>
      </c>
      <c r="I368" s="2" t="s">
        <v>77</v>
      </c>
      <c r="J368" s="2" t="s">
        <v>1257</v>
      </c>
      <c r="K368" s="2" t="s">
        <v>1706</v>
      </c>
      <c r="L368" s="2" t="s">
        <v>1707</v>
      </c>
      <c r="M368" s="2" t="s">
        <v>1719</v>
      </c>
      <c r="N368" s="2">
        <v>0.1</v>
      </c>
      <c r="O368" s="2">
        <v>74521.700000000012</v>
      </c>
      <c r="P368" s="2" t="str">
        <f t="shared" si="1"/>
        <v>Normal</v>
      </c>
    </row>
    <row r="369" spans="1:16" ht="14.25" customHeight="1" x14ac:dyDescent="0.5">
      <c r="A369" s="2" t="s">
        <v>1258</v>
      </c>
      <c r="B369" s="2" t="s">
        <v>1793</v>
      </c>
      <c r="C369" s="2" t="s">
        <v>1717</v>
      </c>
      <c r="D369" s="2" t="s">
        <v>34</v>
      </c>
      <c r="E369" s="2" t="s">
        <v>2127</v>
      </c>
      <c r="F369" s="2">
        <v>116396</v>
      </c>
      <c r="G369" s="2" t="s">
        <v>44</v>
      </c>
      <c r="H369" s="2" t="s">
        <v>1680</v>
      </c>
      <c r="I369" s="2" t="s">
        <v>77</v>
      </c>
      <c r="J369" s="2" t="s">
        <v>1260</v>
      </c>
      <c r="K369" s="2" t="s">
        <v>1706</v>
      </c>
      <c r="L369" s="2" t="s">
        <v>1707</v>
      </c>
      <c r="M369" s="2" t="s">
        <v>1688</v>
      </c>
      <c r="N369" s="2">
        <v>0.2</v>
      </c>
      <c r="O369" s="2">
        <v>139675.19999999998</v>
      </c>
      <c r="P369" s="2" t="str">
        <f t="shared" si="1"/>
        <v>High</v>
      </c>
    </row>
    <row r="370" spans="1:16" ht="14.25" customHeight="1" x14ac:dyDescent="0.5">
      <c r="A370" s="2" t="s">
        <v>1261</v>
      </c>
      <c r="B370" s="2" t="s">
        <v>1831</v>
      </c>
      <c r="C370" s="2" t="s">
        <v>1671</v>
      </c>
      <c r="D370" s="2" t="s">
        <v>15</v>
      </c>
      <c r="E370" s="2" t="s">
        <v>2128</v>
      </c>
      <c r="F370" s="2">
        <v>97505</v>
      </c>
      <c r="G370" s="2" t="s">
        <v>44</v>
      </c>
      <c r="H370" s="2" t="s">
        <v>45</v>
      </c>
      <c r="I370" s="2" t="s">
        <v>1703</v>
      </c>
      <c r="J370" s="2" t="s">
        <v>1263</v>
      </c>
      <c r="K370" s="2" t="s">
        <v>1686</v>
      </c>
      <c r="L370" s="2" t="s">
        <v>1687</v>
      </c>
      <c r="M370" s="2" t="s">
        <v>1750</v>
      </c>
      <c r="N370" s="2">
        <v>0.1</v>
      </c>
      <c r="O370" s="2">
        <v>107255.50000000001</v>
      </c>
      <c r="P370" s="2" t="str">
        <f t="shared" si="1"/>
        <v>High</v>
      </c>
    </row>
    <row r="371" spans="1:16" ht="14.25" customHeight="1" x14ac:dyDescent="0.5">
      <c r="A371" s="2" t="s">
        <v>1264</v>
      </c>
      <c r="B371" s="2" t="s">
        <v>1697</v>
      </c>
      <c r="C371" s="2" t="s">
        <v>1694</v>
      </c>
      <c r="D371" s="2" t="s">
        <v>42</v>
      </c>
      <c r="E371" s="2" t="s">
        <v>2129</v>
      </c>
      <c r="F371" s="2">
        <v>58135</v>
      </c>
      <c r="G371" s="2" t="s">
        <v>36</v>
      </c>
      <c r="H371" s="2" t="s">
        <v>1680</v>
      </c>
      <c r="I371" s="2" t="s">
        <v>77</v>
      </c>
      <c r="J371" s="2" t="s">
        <v>1266</v>
      </c>
      <c r="K371" s="2" t="s">
        <v>1674</v>
      </c>
      <c r="L371" s="2" t="s">
        <v>1675</v>
      </c>
      <c r="M371" s="2" t="s">
        <v>1719</v>
      </c>
      <c r="N371" s="2">
        <v>0.15</v>
      </c>
      <c r="O371" s="2">
        <v>66855.25</v>
      </c>
      <c r="P371" s="2" t="str">
        <f t="shared" si="1"/>
        <v>Normal</v>
      </c>
    </row>
    <row r="372" spans="1:16" ht="14.25" customHeight="1" x14ac:dyDescent="0.5">
      <c r="A372" s="2" t="s">
        <v>1267</v>
      </c>
      <c r="B372" s="2" t="s">
        <v>1697</v>
      </c>
      <c r="C372" s="2" t="s">
        <v>1717</v>
      </c>
      <c r="D372" s="2" t="s">
        <v>15</v>
      </c>
      <c r="E372" s="2" t="s">
        <v>2130</v>
      </c>
      <c r="F372" s="2">
        <v>87377</v>
      </c>
      <c r="G372" s="2" t="s">
        <v>57</v>
      </c>
      <c r="H372" s="2" t="s">
        <v>1699</v>
      </c>
      <c r="I372" s="2" t="s">
        <v>77</v>
      </c>
      <c r="J372" s="2" t="s">
        <v>1269</v>
      </c>
      <c r="K372" s="2" t="s">
        <v>1691</v>
      </c>
      <c r="L372" s="2" t="s">
        <v>1692</v>
      </c>
      <c r="M372" s="2" t="s">
        <v>1750</v>
      </c>
      <c r="N372" s="2">
        <v>0.1</v>
      </c>
      <c r="O372" s="2">
        <v>96114.700000000012</v>
      </c>
      <c r="P372" s="2" t="str">
        <f t="shared" si="1"/>
        <v>Normal</v>
      </c>
    </row>
    <row r="373" spans="1:16" ht="14.25" customHeight="1" x14ac:dyDescent="0.5">
      <c r="A373" s="2" t="s">
        <v>1270</v>
      </c>
      <c r="B373" s="2" t="s">
        <v>1728</v>
      </c>
      <c r="C373" s="2" t="s">
        <v>1671</v>
      </c>
      <c r="D373" s="2" t="s">
        <v>15</v>
      </c>
      <c r="E373" s="2" t="s">
        <v>2131</v>
      </c>
      <c r="F373" s="2">
        <v>63554</v>
      </c>
      <c r="G373" s="2" t="s">
        <v>44</v>
      </c>
      <c r="H373" s="2" t="s">
        <v>45</v>
      </c>
      <c r="I373" s="2" t="s">
        <v>1685</v>
      </c>
      <c r="J373" s="2" t="s">
        <v>1272</v>
      </c>
      <c r="K373" s="2" t="s">
        <v>1691</v>
      </c>
      <c r="L373" s="2" t="s">
        <v>1692</v>
      </c>
      <c r="M373" s="2" t="s">
        <v>1700</v>
      </c>
      <c r="N373" s="2">
        <v>0.05</v>
      </c>
      <c r="O373" s="2">
        <v>66731.7</v>
      </c>
      <c r="P373" s="2" t="str">
        <f t="shared" si="1"/>
        <v>Normal</v>
      </c>
    </row>
    <row r="374" spans="1:16" ht="14.25" customHeight="1" x14ac:dyDescent="0.5">
      <c r="A374" s="2" t="s">
        <v>1273</v>
      </c>
      <c r="B374" s="2" t="s">
        <v>1854</v>
      </c>
      <c r="C374" s="2" t="s">
        <v>1717</v>
      </c>
      <c r="D374" s="2" t="s">
        <v>15</v>
      </c>
      <c r="E374" s="2" t="s">
        <v>2132</v>
      </c>
      <c r="F374" s="2">
        <v>102491</v>
      </c>
      <c r="G374" s="2" t="s">
        <v>83</v>
      </c>
      <c r="H374" s="2" t="s">
        <v>1680</v>
      </c>
      <c r="I374" s="2" t="s">
        <v>77</v>
      </c>
      <c r="J374" s="2" t="s">
        <v>1275</v>
      </c>
      <c r="K374" s="2" t="s">
        <v>1674</v>
      </c>
      <c r="L374" s="2" t="s">
        <v>1675</v>
      </c>
      <c r="M374" s="2" t="s">
        <v>1688</v>
      </c>
      <c r="N374" s="2">
        <v>0.05</v>
      </c>
      <c r="O374" s="2">
        <v>107615.55</v>
      </c>
      <c r="P374" s="2" t="str">
        <f t="shared" si="1"/>
        <v>High</v>
      </c>
    </row>
    <row r="375" spans="1:16" ht="14.25" customHeight="1" x14ac:dyDescent="0.5">
      <c r="A375" s="2" t="s">
        <v>1276</v>
      </c>
      <c r="B375" s="2" t="s">
        <v>1723</v>
      </c>
      <c r="C375" s="2" t="s">
        <v>1678</v>
      </c>
      <c r="D375" s="2" t="s">
        <v>50</v>
      </c>
      <c r="E375" s="2" t="s">
        <v>2133</v>
      </c>
      <c r="F375" s="2">
        <v>95621</v>
      </c>
      <c r="G375" s="2" t="s">
        <v>57</v>
      </c>
      <c r="H375" s="2" t="s">
        <v>1699</v>
      </c>
      <c r="I375" s="2" t="s">
        <v>1703</v>
      </c>
      <c r="J375" s="2" t="s">
        <v>1278</v>
      </c>
      <c r="K375" s="2" t="s">
        <v>1691</v>
      </c>
      <c r="L375" s="2" t="s">
        <v>1692</v>
      </c>
      <c r="M375" s="2" t="s">
        <v>1719</v>
      </c>
      <c r="N375" s="2">
        <v>0.15</v>
      </c>
      <c r="O375" s="2">
        <v>109964.15</v>
      </c>
      <c r="P375" s="2" t="str">
        <f t="shared" si="1"/>
        <v>High</v>
      </c>
    </row>
    <row r="376" spans="1:16" ht="14.25" customHeight="1" x14ac:dyDescent="0.5">
      <c r="A376" s="2" t="s">
        <v>1279</v>
      </c>
      <c r="B376" s="2" t="s">
        <v>1984</v>
      </c>
      <c r="C376" s="2" t="s">
        <v>1683</v>
      </c>
      <c r="D376" s="2" t="s">
        <v>69</v>
      </c>
      <c r="E376" s="2" t="s">
        <v>1943</v>
      </c>
      <c r="F376" s="2">
        <v>98283</v>
      </c>
      <c r="G376" s="2" t="s">
        <v>57</v>
      </c>
      <c r="H376" s="2" t="s">
        <v>1680</v>
      </c>
      <c r="I376" s="2" t="s">
        <v>77</v>
      </c>
      <c r="J376" s="2" t="s">
        <v>1281</v>
      </c>
      <c r="K376" s="2" t="s">
        <v>1686</v>
      </c>
      <c r="L376" s="2" t="s">
        <v>1687</v>
      </c>
      <c r="M376" s="2" t="s">
        <v>1676</v>
      </c>
      <c r="N376" s="2">
        <v>0.1</v>
      </c>
      <c r="O376" s="2">
        <v>108111.3</v>
      </c>
      <c r="P376" s="2" t="str">
        <f t="shared" si="1"/>
        <v>High</v>
      </c>
    </row>
    <row r="377" spans="1:16" ht="14.25" customHeight="1" x14ac:dyDescent="0.5">
      <c r="A377" s="2" t="s">
        <v>1282</v>
      </c>
      <c r="B377" s="2" t="s">
        <v>2124</v>
      </c>
      <c r="C377" s="2" t="s">
        <v>1709</v>
      </c>
      <c r="D377" s="2" t="s">
        <v>100</v>
      </c>
      <c r="E377" s="2" t="s">
        <v>2134</v>
      </c>
      <c r="F377" s="2">
        <v>56923</v>
      </c>
      <c r="G377" s="2" t="s">
        <v>44</v>
      </c>
      <c r="H377" s="2" t="s">
        <v>45</v>
      </c>
      <c r="I377" s="2" t="s">
        <v>1673</v>
      </c>
      <c r="J377" s="2" t="s">
        <v>1284</v>
      </c>
      <c r="K377" s="2" t="s">
        <v>1691</v>
      </c>
      <c r="L377" s="2" t="s">
        <v>1692</v>
      </c>
      <c r="M377" s="2" t="s">
        <v>1700</v>
      </c>
      <c r="N377" s="2">
        <v>0.15</v>
      </c>
      <c r="O377" s="2">
        <v>65461.45</v>
      </c>
      <c r="P377" s="2" t="str">
        <f t="shared" si="1"/>
        <v>Normal</v>
      </c>
    </row>
    <row r="378" spans="1:16" ht="14.25" customHeight="1" x14ac:dyDescent="0.5">
      <c r="A378" s="2" t="s">
        <v>1285</v>
      </c>
      <c r="B378" s="2" t="s">
        <v>1716</v>
      </c>
      <c r="C378" s="2" t="s">
        <v>1694</v>
      </c>
      <c r="D378" s="2" t="s">
        <v>100</v>
      </c>
      <c r="E378" s="2" t="s">
        <v>2135</v>
      </c>
      <c r="F378" s="2">
        <v>87591</v>
      </c>
      <c r="G378" s="2" t="s">
        <v>57</v>
      </c>
      <c r="H378" s="2" t="s">
        <v>45</v>
      </c>
      <c r="I378" s="2" t="s">
        <v>1681</v>
      </c>
      <c r="J378" s="2" t="s">
        <v>1287</v>
      </c>
      <c r="K378" s="2" t="s">
        <v>1706</v>
      </c>
      <c r="L378" s="2" t="s">
        <v>1707</v>
      </c>
      <c r="M378" s="2" t="s">
        <v>1696</v>
      </c>
      <c r="N378" s="2">
        <v>0.05</v>
      </c>
      <c r="O378" s="2">
        <v>91970.55</v>
      </c>
      <c r="P378" s="2" t="str">
        <f t="shared" si="1"/>
        <v>Normal</v>
      </c>
    </row>
    <row r="379" spans="1:16" ht="14.25" customHeight="1" x14ac:dyDescent="0.5">
      <c r="A379" s="2" t="s">
        <v>1288</v>
      </c>
      <c r="B379" s="2" t="s">
        <v>1922</v>
      </c>
      <c r="C379" s="2" t="s">
        <v>1694</v>
      </c>
      <c r="D379" s="2" t="s">
        <v>42</v>
      </c>
      <c r="E379" s="2" t="s">
        <v>2136</v>
      </c>
      <c r="F379" s="2">
        <v>102261</v>
      </c>
      <c r="G379" s="2" t="s">
        <v>44</v>
      </c>
      <c r="H379" s="2" t="s">
        <v>45</v>
      </c>
      <c r="I379" s="2" t="s">
        <v>1681</v>
      </c>
      <c r="J379" s="2" t="s">
        <v>1290</v>
      </c>
      <c r="K379" s="2" t="s">
        <v>1674</v>
      </c>
      <c r="L379" s="2" t="s">
        <v>1675</v>
      </c>
      <c r="M379" s="2" t="s">
        <v>1676</v>
      </c>
      <c r="N379" s="2">
        <v>0.2</v>
      </c>
      <c r="O379" s="2">
        <v>122713.2</v>
      </c>
      <c r="P379" s="2" t="str">
        <f t="shared" si="1"/>
        <v>High</v>
      </c>
    </row>
    <row r="380" spans="1:16" ht="14.25" customHeight="1" x14ac:dyDescent="0.5">
      <c r="A380" s="2" t="s">
        <v>1291</v>
      </c>
      <c r="B380" s="2" t="s">
        <v>1802</v>
      </c>
      <c r="C380" s="2" t="s">
        <v>1721</v>
      </c>
      <c r="D380" s="2" t="s">
        <v>15</v>
      </c>
      <c r="E380" s="2" t="s">
        <v>2137</v>
      </c>
      <c r="F380" s="2">
        <v>94336</v>
      </c>
      <c r="G380" s="2" t="s">
        <v>17</v>
      </c>
      <c r="H380" s="2" t="s">
        <v>1699</v>
      </c>
      <c r="I380" s="2" t="s">
        <v>1673</v>
      </c>
      <c r="J380" s="2" t="s">
        <v>1293</v>
      </c>
      <c r="K380" s="2" t="s">
        <v>1686</v>
      </c>
      <c r="L380" s="2" t="s">
        <v>1687</v>
      </c>
      <c r="M380" s="2" t="s">
        <v>1676</v>
      </c>
      <c r="N380" s="2">
        <v>0.15</v>
      </c>
      <c r="O380" s="2">
        <v>108486.39999999999</v>
      </c>
      <c r="P380" s="2" t="str">
        <f t="shared" si="1"/>
        <v>High</v>
      </c>
    </row>
    <row r="381" spans="1:16" ht="14.25" customHeight="1" x14ac:dyDescent="0.5">
      <c r="A381" s="2" t="s">
        <v>1294</v>
      </c>
      <c r="B381" s="2" t="s">
        <v>1932</v>
      </c>
      <c r="C381" s="2" t="s">
        <v>1733</v>
      </c>
      <c r="D381" s="2" t="s">
        <v>42</v>
      </c>
      <c r="E381" s="2" t="s">
        <v>2138</v>
      </c>
      <c r="F381" s="2">
        <v>114083</v>
      </c>
      <c r="G381" s="2" t="s">
        <v>36</v>
      </c>
      <c r="H381" s="2" t="s">
        <v>1680</v>
      </c>
      <c r="I381" s="2" t="s">
        <v>77</v>
      </c>
      <c r="J381" s="2" t="s">
        <v>1296</v>
      </c>
      <c r="K381" s="2" t="s">
        <v>1674</v>
      </c>
      <c r="L381" s="2" t="s">
        <v>1675</v>
      </c>
      <c r="M381" s="2" t="s">
        <v>1711</v>
      </c>
      <c r="N381" s="2">
        <v>0.2</v>
      </c>
      <c r="O381" s="2">
        <v>136899.6</v>
      </c>
      <c r="P381" s="2" t="str">
        <f t="shared" si="1"/>
        <v>High</v>
      </c>
    </row>
    <row r="382" spans="1:16" ht="14.25" customHeight="1" x14ac:dyDescent="0.5">
      <c r="A382" s="2" t="s">
        <v>1297</v>
      </c>
      <c r="B382" s="2" t="s">
        <v>1791</v>
      </c>
      <c r="C382" s="2" t="s">
        <v>1678</v>
      </c>
      <c r="D382" s="2" t="s">
        <v>50</v>
      </c>
      <c r="E382" s="2" t="s">
        <v>1842</v>
      </c>
      <c r="F382" s="2">
        <v>100948</v>
      </c>
      <c r="G382" s="2" t="s">
        <v>17</v>
      </c>
      <c r="H382" s="2" t="s">
        <v>1680</v>
      </c>
      <c r="I382" s="2" t="s">
        <v>1681</v>
      </c>
      <c r="J382" s="2" t="s">
        <v>1299</v>
      </c>
      <c r="K382" s="2" t="s">
        <v>1686</v>
      </c>
      <c r="L382" s="2" t="s">
        <v>1687</v>
      </c>
      <c r="M382" s="2" t="s">
        <v>1711</v>
      </c>
      <c r="N382" s="2">
        <v>0.2</v>
      </c>
      <c r="O382" s="2">
        <v>121137.59999999999</v>
      </c>
      <c r="P382" s="2" t="str">
        <f t="shared" si="1"/>
        <v>High</v>
      </c>
    </row>
    <row r="383" spans="1:16" ht="14.25" customHeight="1" x14ac:dyDescent="0.5">
      <c r="A383" s="2" t="s">
        <v>1300</v>
      </c>
      <c r="B383" s="2" t="s">
        <v>1741</v>
      </c>
      <c r="C383" s="2" t="s">
        <v>1678</v>
      </c>
      <c r="D383" s="2" t="s">
        <v>50</v>
      </c>
      <c r="E383" s="2" t="s">
        <v>1782</v>
      </c>
      <c r="F383" s="2">
        <v>73002</v>
      </c>
      <c r="G383" s="2" t="s">
        <v>44</v>
      </c>
      <c r="H383" s="2" t="s">
        <v>1680</v>
      </c>
      <c r="I383" s="2" t="s">
        <v>1681</v>
      </c>
      <c r="J383" s="2" t="s">
        <v>1302</v>
      </c>
      <c r="K383" s="2" t="s">
        <v>1706</v>
      </c>
      <c r="L383" s="2" t="s">
        <v>1707</v>
      </c>
      <c r="M383" s="2" t="s">
        <v>1688</v>
      </c>
      <c r="N383" s="2">
        <v>0.1</v>
      </c>
      <c r="O383" s="2">
        <v>80302.200000000012</v>
      </c>
      <c r="P383" s="2" t="str">
        <f t="shared" si="1"/>
        <v>Normal</v>
      </c>
    </row>
    <row r="384" spans="1:16" ht="14.25" customHeight="1" x14ac:dyDescent="0.5">
      <c r="A384" s="2" t="s">
        <v>1303</v>
      </c>
      <c r="B384" s="2" t="s">
        <v>1741</v>
      </c>
      <c r="C384" s="2" t="s">
        <v>1785</v>
      </c>
      <c r="D384" s="2" t="s">
        <v>75</v>
      </c>
      <c r="E384" s="2" t="s">
        <v>2139</v>
      </c>
      <c r="F384" s="2">
        <v>113016</v>
      </c>
      <c r="G384" s="2" t="s">
        <v>44</v>
      </c>
      <c r="H384" s="2" t="s">
        <v>1680</v>
      </c>
      <c r="I384" s="2" t="s">
        <v>1673</v>
      </c>
      <c r="J384" s="2" t="s">
        <v>1305</v>
      </c>
      <c r="K384" s="2" t="s">
        <v>1674</v>
      </c>
      <c r="L384" s="2" t="s">
        <v>1675</v>
      </c>
      <c r="M384" s="2" t="s">
        <v>1719</v>
      </c>
      <c r="N384" s="2">
        <v>0.15</v>
      </c>
      <c r="O384" s="2">
        <v>129968.4</v>
      </c>
      <c r="P384" s="2" t="str">
        <f t="shared" si="1"/>
        <v>High</v>
      </c>
    </row>
    <row r="385" spans="1:16" ht="14.25" customHeight="1" x14ac:dyDescent="0.5">
      <c r="A385" s="2" t="s">
        <v>1306</v>
      </c>
      <c r="B385" s="2" t="s">
        <v>1867</v>
      </c>
      <c r="C385" s="2" t="s">
        <v>1717</v>
      </c>
      <c r="D385" s="2" t="s">
        <v>50</v>
      </c>
      <c r="E385" s="2" t="s">
        <v>2140</v>
      </c>
      <c r="F385" s="2">
        <v>66672</v>
      </c>
      <c r="G385" s="2" t="s">
        <v>17</v>
      </c>
      <c r="H385" s="2" t="s">
        <v>45</v>
      </c>
      <c r="I385" s="2" t="s">
        <v>77</v>
      </c>
      <c r="J385" s="2" t="s">
        <v>1308</v>
      </c>
      <c r="K385" s="2" t="s">
        <v>1691</v>
      </c>
      <c r="L385" s="2" t="s">
        <v>1692</v>
      </c>
      <c r="M385" s="2" t="s">
        <v>1719</v>
      </c>
      <c r="N385" s="2">
        <v>0.2</v>
      </c>
      <c r="O385" s="2">
        <v>80006.399999999994</v>
      </c>
      <c r="P385" s="2" t="str">
        <f t="shared" si="1"/>
        <v>Normal</v>
      </c>
    </row>
    <row r="386" spans="1:16" ht="14.25" customHeight="1" x14ac:dyDescent="0.5">
      <c r="A386" s="2" t="s">
        <v>1309</v>
      </c>
      <c r="B386" s="2" t="s">
        <v>1777</v>
      </c>
      <c r="C386" s="2" t="s">
        <v>1733</v>
      </c>
      <c r="D386" s="2" t="s">
        <v>75</v>
      </c>
      <c r="E386" s="2" t="s">
        <v>2141</v>
      </c>
      <c r="F386" s="2">
        <v>44213</v>
      </c>
      <c r="G386" s="2" t="s">
        <v>83</v>
      </c>
      <c r="H386" s="2" t="s">
        <v>45</v>
      </c>
      <c r="I386" s="2" t="s">
        <v>77</v>
      </c>
      <c r="J386" s="2" t="s">
        <v>1311</v>
      </c>
      <c r="K386" s="2" t="s">
        <v>1686</v>
      </c>
      <c r="L386" s="2" t="s">
        <v>1687</v>
      </c>
      <c r="M386" s="2" t="s">
        <v>1719</v>
      </c>
      <c r="N386" s="2">
        <v>0.2</v>
      </c>
      <c r="O386" s="2">
        <v>53055.6</v>
      </c>
      <c r="P386" s="2" t="str">
        <f t="shared" si="1"/>
        <v>Normal</v>
      </c>
    </row>
    <row r="387" spans="1:16" ht="14.25" customHeight="1" x14ac:dyDescent="0.5">
      <c r="A387" s="2" t="s">
        <v>1312</v>
      </c>
      <c r="B387" s="2" t="s">
        <v>1841</v>
      </c>
      <c r="C387" s="2" t="s">
        <v>1683</v>
      </c>
      <c r="D387" s="2" t="s">
        <v>69</v>
      </c>
      <c r="E387" s="2" t="s">
        <v>1915</v>
      </c>
      <c r="F387" s="2">
        <v>50293</v>
      </c>
      <c r="G387" s="2" t="s">
        <v>83</v>
      </c>
      <c r="H387" s="2" t="s">
        <v>45</v>
      </c>
      <c r="I387" s="2" t="s">
        <v>1673</v>
      </c>
      <c r="J387" s="2" t="s">
        <v>1314</v>
      </c>
      <c r="K387" s="2" t="s">
        <v>1674</v>
      </c>
      <c r="L387" s="2" t="s">
        <v>1675</v>
      </c>
      <c r="M387" s="2" t="s">
        <v>1750</v>
      </c>
      <c r="N387" s="2">
        <v>0.1</v>
      </c>
      <c r="O387" s="2">
        <v>55322.3</v>
      </c>
      <c r="P387" s="2" t="str">
        <f t="shared" si="1"/>
        <v>Normal</v>
      </c>
    </row>
    <row r="388" spans="1:16" ht="14.25" customHeight="1" x14ac:dyDescent="0.5">
      <c r="A388" s="2" t="s">
        <v>1315</v>
      </c>
      <c r="B388" s="2" t="s">
        <v>1895</v>
      </c>
      <c r="C388" s="2" t="s">
        <v>1683</v>
      </c>
      <c r="D388" s="2" t="s">
        <v>42</v>
      </c>
      <c r="E388" s="2" t="s">
        <v>2142</v>
      </c>
      <c r="F388" s="2">
        <v>95860</v>
      </c>
      <c r="G388" s="2" t="s">
        <v>83</v>
      </c>
      <c r="H388" s="2" t="s">
        <v>1699</v>
      </c>
      <c r="I388" s="2" t="s">
        <v>77</v>
      </c>
      <c r="J388" s="2" t="s">
        <v>1317</v>
      </c>
      <c r="K388" s="2" t="s">
        <v>1691</v>
      </c>
      <c r="L388" s="2" t="s">
        <v>1692</v>
      </c>
      <c r="M388" s="2" t="s">
        <v>1700</v>
      </c>
      <c r="N388" s="2">
        <v>0.1</v>
      </c>
      <c r="O388" s="2">
        <v>105446.00000000001</v>
      </c>
      <c r="P388" s="2" t="str">
        <f t="shared" si="1"/>
        <v>High</v>
      </c>
    </row>
    <row r="389" spans="1:16" ht="14.25" customHeight="1" x14ac:dyDescent="0.5">
      <c r="A389" s="2" t="s">
        <v>1318</v>
      </c>
      <c r="B389" s="2" t="s">
        <v>1800</v>
      </c>
      <c r="C389" s="2" t="s">
        <v>1678</v>
      </c>
      <c r="D389" s="2" t="s">
        <v>34</v>
      </c>
      <c r="E389" s="2" t="s">
        <v>2143</v>
      </c>
      <c r="F389" s="2">
        <v>102507</v>
      </c>
      <c r="G389" s="2" t="s">
        <v>44</v>
      </c>
      <c r="H389" s="2" t="s">
        <v>45</v>
      </c>
      <c r="I389" s="2" t="s">
        <v>77</v>
      </c>
      <c r="J389" s="2" t="s">
        <v>1320</v>
      </c>
      <c r="K389" s="2" t="s">
        <v>1674</v>
      </c>
      <c r="L389" s="2" t="s">
        <v>1675</v>
      </c>
      <c r="M389" s="2" t="s">
        <v>1719</v>
      </c>
      <c r="N389" s="2">
        <v>0.05</v>
      </c>
      <c r="O389" s="2">
        <v>107632.35</v>
      </c>
      <c r="P389" s="2" t="str">
        <f t="shared" si="1"/>
        <v>High</v>
      </c>
    </row>
    <row r="390" spans="1:16" ht="14.25" customHeight="1" x14ac:dyDescent="0.5">
      <c r="A390" s="2" t="s">
        <v>1321</v>
      </c>
      <c r="B390" s="2" t="s">
        <v>1697</v>
      </c>
      <c r="C390" s="2" t="s">
        <v>1683</v>
      </c>
      <c r="D390" s="2" t="s">
        <v>69</v>
      </c>
      <c r="E390" s="2" t="s">
        <v>2144</v>
      </c>
      <c r="F390" s="2">
        <v>97134</v>
      </c>
      <c r="G390" s="2" t="s">
        <v>57</v>
      </c>
      <c r="H390" s="2" t="s">
        <v>1699</v>
      </c>
      <c r="I390" s="2" t="s">
        <v>77</v>
      </c>
      <c r="J390" s="2" t="s">
        <v>1323</v>
      </c>
      <c r="K390" s="2" t="s">
        <v>1674</v>
      </c>
      <c r="L390" s="2" t="s">
        <v>1675</v>
      </c>
      <c r="M390" s="2" t="s">
        <v>1700</v>
      </c>
      <c r="N390" s="2">
        <v>0.2</v>
      </c>
      <c r="O390" s="2">
        <v>116560.8</v>
      </c>
      <c r="P390" s="2" t="str">
        <f t="shared" si="1"/>
        <v>High</v>
      </c>
    </row>
    <row r="391" spans="1:16" ht="14.25" customHeight="1" x14ac:dyDescent="0.5">
      <c r="A391" s="2" t="s">
        <v>1324</v>
      </c>
      <c r="B391" s="2" t="s">
        <v>1757</v>
      </c>
      <c r="C391" s="2" t="s">
        <v>1721</v>
      </c>
      <c r="D391" s="2" t="s">
        <v>50</v>
      </c>
      <c r="E391" s="2" t="s">
        <v>2145</v>
      </c>
      <c r="F391" s="2">
        <v>42100</v>
      </c>
      <c r="G391" s="2" t="s">
        <v>44</v>
      </c>
      <c r="H391" s="2" t="s">
        <v>1680</v>
      </c>
      <c r="I391" s="2" t="s">
        <v>77</v>
      </c>
      <c r="J391" s="2" t="s">
        <v>1326</v>
      </c>
      <c r="K391" s="2" t="s">
        <v>1674</v>
      </c>
      <c r="L391" s="2" t="s">
        <v>1675</v>
      </c>
      <c r="M391" s="2" t="s">
        <v>1688</v>
      </c>
      <c r="N391" s="2">
        <v>0.05</v>
      </c>
      <c r="O391" s="2">
        <v>44205</v>
      </c>
      <c r="P391" s="2" t="str">
        <f t="shared" si="1"/>
        <v>Normal</v>
      </c>
    </row>
    <row r="392" spans="1:16" ht="14.25" customHeight="1" x14ac:dyDescent="0.5">
      <c r="A392" s="2" t="s">
        <v>1327</v>
      </c>
      <c r="B392" s="2" t="s">
        <v>1746</v>
      </c>
      <c r="C392" s="2" t="s">
        <v>1694</v>
      </c>
      <c r="D392" s="2" t="s">
        <v>69</v>
      </c>
      <c r="E392" s="2" t="s">
        <v>2146</v>
      </c>
      <c r="F392" s="2">
        <v>101997</v>
      </c>
      <c r="G392" s="2" t="s">
        <v>57</v>
      </c>
      <c r="H392" s="2" t="s">
        <v>45</v>
      </c>
      <c r="I392" s="2" t="s">
        <v>1673</v>
      </c>
      <c r="J392" s="2" t="s">
        <v>1329</v>
      </c>
      <c r="K392" s="2" t="s">
        <v>1686</v>
      </c>
      <c r="L392" s="2" t="s">
        <v>1687</v>
      </c>
      <c r="M392" s="2" t="s">
        <v>1676</v>
      </c>
      <c r="N392" s="2">
        <v>0.2</v>
      </c>
      <c r="O392" s="2">
        <v>122396.4</v>
      </c>
      <c r="P392" s="2" t="str">
        <f t="shared" si="1"/>
        <v>High</v>
      </c>
    </row>
    <row r="393" spans="1:16" ht="14.25" customHeight="1" x14ac:dyDescent="0.5">
      <c r="A393" s="2" t="s">
        <v>1330</v>
      </c>
      <c r="B393" s="2" t="s">
        <v>1761</v>
      </c>
      <c r="C393" s="2" t="s">
        <v>1724</v>
      </c>
      <c r="D393" s="2" t="s">
        <v>69</v>
      </c>
      <c r="E393" s="2" t="s">
        <v>2147</v>
      </c>
      <c r="F393" s="2">
        <v>68172</v>
      </c>
      <c r="G393" s="2" t="s">
        <v>17</v>
      </c>
      <c r="H393" s="2" t="s">
        <v>1699</v>
      </c>
      <c r="I393" s="2" t="s">
        <v>1685</v>
      </c>
      <c r="J393" s="2" t="s">
        <v>1332</v>
      </c>
      <c r="K393" s="2" t="s">
        <v>1691</v>
      </c>
      <c r="L393" s="2" t="s">
        <v>1692</v>
      </c>
      <c r="M393" s="2" t="s">
        <v>1719</v>
      </c>
      <c r="N393" s="2">
        <v>0.05</v>
      </c>
      <c r="O393" s="2">
        <v>71580.600000000006</v>
      </c>
      <c r="P393" s="2" t="str">
        <f t="shared" si="1"/>
        <v>Normal</v>
      </c>
    </row>
    <row r="394" spans="1:16" ht="14.25" customHeight="1" x14ac:dyDescent="0.5">
      <c r="A394" s="2" t="s">
        <v>1333</v>
      </c>
      <c r="B394" s="2" t="s">
        <v>1701</v>
      </c>
      <c r="C394" s="2" t="s">
        <v>1709</v>
      </c>
      <c r="D394" s="2" t="s">
        <v>69</v>
      </c>
      <c r="E394" s="2" t="s">
        <v>2148</v>
      </c>
      <c r="F394" s="2">
        <v>60132</v>
      </c>
      <c r="G394" s="2" t="s">
        <v>36</v>
      </c>
      <c r="H394" s="2" t="s">
        <v>1699</v>
      </c>
      <c r="I394" s="2" t="s">
        <v>1681</v>
      </c>
      <c r="J394" s="2" t="s">
        <v>1335</v>
      </c>
      <c r="K394" s="2" t="s">
        <v>1706</v>
      </c>
      <c r="L394" s="2" t="s">
        <v>1707</v>
      </c>
      <c r="M394" s="2" t="s">
        <v>1688</v>
      </c>
      <c r="N394" s="2">
        <v>0.1</v>
      </c>
      <c r="O394" s="2">
        <v>66145.200000000012</v>
      </c>
      <c r="P394" s="2" t="str">
        <f t="shared" si="1"/>
        <v>Normal</v>
      </c>
    </row>
    <row r="395" spans="1:16" ht="14.25" customHeight="1" x14ac:dyDescent="0.5">
      <c r="A395" s="2" t="s">
        <v>1336</v>
      </c>
      <c r="B395" s="2" t="s">
        <v>2057</v>
      </c>
      <c r="C395" s="2" t="s">
        <v>1785</v>
      </c>
      <c r="D395" s="2" t="s">
        <v>50</v>
      </c>
      <c r="E395" s="2" t="s">
        <v>2149</v>
      </c>
      <c r="F395" s="2">
        <v>58199</v>
      </c>
      <c r="G395" s="2" t="s">
        <v>57</v>
      </c>
      <c r="H395" s="2" t="s">
        <v>45</v>
      </c>
      <c r="I395" s="2" t="s">
        <v>77</v>
      </c>
      <c r="J395" s="2" t="s">
        <v>1338</v>
      </c>
      <c r="K395" s="2" t="s">
        <v>1686</v>
      </c>
      <c r="L395" s="2" t="s">
        <v>1687</v>
      </c>
      <c r="M395" s="2" t="s">
        <v>1719</v>
      </c>
      <c r="N395" s="2">
        <v>0.15</v>
      </c>
      <c r="O395" s="2">
        <v>66928.849999999991</v>
      </c>
      <c r="P395" s="2" t="str">
        <f t="shared" si="1"/>
        <v>Normal</v>
      </c>
    </row>
    <row r="396" spans="1:16" ht="14.25" customHeight="1" x14ac:dyDescent="0.5">
      <c r="A396" s="2" t="s">
        <v>1339</v>
      </c>
      <c r="B396" s="2" t="s">
        <v>1843</v>
      </c>
      <c r="C396" s="2" t="s">
        <v>1717</v>
      </c>
      <c r="D396" s="2" t="s">
        <v>34</v>
      </c>
      <c r="E396" s="2" t="s">
        <v>2111</v>
      </c>
      <c r="F396" s="2">
        <v>76609</v>
      </c>
      <c r="G396" s="2" t="s">
        <v>83</v>
      </c>
      <c r="H396" s="2" t="s">
        <v>1680</v>
      </c>
      <c r="I396" s="2" t="s">
        <v>1681</v>
      </c>
      <c r="J396" s="2" t="s">
        <v>1341</v>
      </c>
      <c r="K396" s="2" t="s">
        <v>1686</v>
      </c>
      <c r="L396" s="2" t="s">
        <v>1687</v>
      </c>
      <c r="M396" s="2" t="s">
        <v>1711</v>
      </c>
      <c r="N396" s="2">
        <v>0.1</v>
      </c>
      <c r="O396" s="2">
        <v>84269.900000000009</v>
      </c>
      <c r="P396" s="2" t="str">
        <f t="shared" si="1"/>
        <v>Normal</v>
      </c>
    </row>
    <row r="397" spans="1:16" ht="14.25" customHeight="1" x14ac:dyDescent="0.5">
      <c r="A397" s="2" t="s">
        <v>1342</v>
      </c>
      <c r="B397" s="2" t="s">
        <v>1716</v>
      </c>
      <c r="C397" s="2" t="s">
        <v>1709</v>
      </c>
      <c r="D397" s="2" t="s">
        <v>15</v>
      </c>
      <c r="E397" s="2" t="s">
        <v>1738</v>
      </c>
      <c r="F397" s="2">
        <v>82965</v>
      </c>
      <c r="G397" s="2" t="s">
        <v>44</v>
      </c>
      <c r="H397" s="2" t="s">
        <v>1699</v>
      </c>
      <c r="I397" s="2" t="s">
        <v>1703</v>
      </c>
      <c r="J397" s="2" t="s">
        <v>1344</v>
      </c>
      <c r="K397" s="2" t="s">
        <v>1686</v>
      </c>
      <c r="L397" s="2" t="s">
        <v>1687</v>
      </c>
      <c r="M397" s="2" t="s">
        <v>1693</v>
      </c>
      <c r="N397" s="2">
        <v>0.05</v>
      </c>
      <c r="O397" s="2">
        <v>87113.25</v>
      </c>
      <c r="P397" s="2" t="str">
        <f t="shared" si="1"/>
        <v>Normal</v>
      </c>
    </row>
    <row r="398" spans="1:16" ht="14.25" customHeight="1" x14ac:dyDescent="0.5">
      <c r="A398" s="2" t="s">
        <v>1345</v>
      </c>
      <c r="B398" s="2" t="s">
        <v>1891</v>
      </c>
      <c r="C398" s="2" t="s">
        <v>1717</v>
      </c>
      <c r="D398" s="2" t="s">
        <v>69</v>
      </c>
      <c r="E398" s="2" t="s">
        <v>2150</v>
      </c>
      <c r="F398" s="2">
        <v>48016</v>
      </c>
      <c r="G398" s="2" t="s">
        <v>17</v>
      </c>
      <c r="H398" s="2" t="s">
        <v>1680</v>
      </c>
      <c r="I398" s="2" t="s">
        <v>1673</v>
      </c>
      <c r="J398" s="2" t="s">
        <v>1346</v>
      </c>
      <c r="K398" s="2" t="s">
        <v>1706</v>
      </c>
      <c r="L398" s="2" t="s">
        <v>1707</v>
      </c>
      <c r="M398" s="2" t="s">
        <v>1688</v>
      </c>
      <c r="N398" s="2">
        <v>0.05</v>
      </c>
      <c r="O398" s="2">
        <v>50416.800000000003</v>
      </c>
      <c r="P398" s="2" t="str">
        <f t="shared" si="1"/>
        <v>Normal</v>
      </c>
    </row>
    <row r="399" spans="1:16" ht="14.25" customHeight="1" x14ac:dyDescent="0.5">
      <c r="A399" s="2" t="s">
        <v>1347</v>
      </c>
      <c r="B399" s="2" t="s">
        <v>1735</v>
      </c>
      <c r="C399" s="2" t="s">
        <v>1671</v>
      </c>
      <c r="D399" s="2" t="s">
        <v>75</v>
      </c>
      <c r="E399" s="2" t="s">
        <v>2151</v>
      </c>
      <c r="F399" s="2">
        <v>79779</v>
      </c>
      <c r="G399" s="2" t="s">
        <v>83</v>
      </c>
      <c r="H399" s="2" t="s">
        <v>1699</v>
      </c>
      <c r="I399" s="2" t="s">
        <v>1685</v>
      </c>
      <c r="J399" s="2" t="s">
        <v>1349</v>
      </c>
      <c r="K399" s="2" t="s">
        <v>1691</v>
      </c>
      <c r="L399" s="2" t="s">
        <v>1692</v>
      </c>
      <c r="M399" s="2" t="s">
        <v>1719</v>
      </c>
      <c r="N399" s="2">
        <v>0.15</v>
      </c>
      <c r="O399" s="2">
        <v>91745.849999999991</v>
      </c>
      <c r="P399" s="2" t="str">
        <f t="shared" si="1"/>
        <v>Normal</v>
      </c>
    </row>
    <row r="400" spans="1:16" ht="14.25" customHeight="1" x14ac:dyDescent="0.5">
      <c r="A400" s="2" t="s">
        <v>1350</v>
      </c>
      <c r="B400" s="2" t="s">
        <v>1784</v>
      </c>
      <c r="C400" s="2" t="s">
        <v>1709</v>
      </c>
      <c r="D400" s="2" t="s">
        <v>50</v>
      </c>
      <c r="E400" s="2" t="s">
        <v>2152</v>
      </c>
      <c r="F400" s="2">
        <v>71881</v>
      </c>
      <c r="G400" s="2" t="s">
        <v>17</v>
      </c>
      <c r="H400" s="2" t="s">
        <v>1680</v>
      </c>
      <c r="I400" s="2" t="s">
        <v>1703</v>
      </c>
      <c r="J400" s="2" t="s">
        <v>1352</v>
      </c>
      <c r="K400" s="2" t="s">
        <v>1691</v>
      </c>
      <c r="L400" s="2" t="s">
        <v>1692</v>
      </c>
      <c r="M400" s="2" t="s">
        <v>1696</v>
      </c>
      <c r="N400" s="2">
        <v>0.2</v>
      </c>
      <c r="O400" s="2">
        <v>86257.2</v>
      </c>
      <c r="P400" s="2" t="str">
        <f t="shared" si="1"/>
        <v>Normal</v>
      </c>
    </row>
    <row r="401" spans="1:16" ht="14.25" customHeight="1" x14ac:dyDescent="0.5">
      <c r="A401" s="2" t="s">
        <v>1353</v>
      </c>
      <c r="B401" s="2" t="s">
        <v>1765</v>
      </c>
      <c r="C401" s="2" t="s">
        <v>1724</v>
      </c>
      <c r="D401" s="2" t="s">
        <v>69</v>
      </c>
      <c r="E401" s="2" t="s">
        <v>2153</v>
      </c>
      <c r="F401" s="2">
        <v>64472</v>
      </c>
      <c r="G401" s="2" t="s">
        <v>36</v>
      </c>
      <c r="H401" s="2" t="s">
        <v>45</v>
      </c>
      <c r="I401" s="2" t="s">
        <v>1703</v>
      </c>
      <c r="J401" s="2" t="s">
        <v>1355</v>
      </c>
      <c r="K401" s="2" t="s">
        <v>1691</v>
      </c>
      <c r="L401" s="2" t="s">
        <v>1692</v>
      </c>
      <c r="M401" s="2" t="s">
        <v>1693</v>
      </c>
      <c r="N401" s="2">
        <v>0.05</v>
      </c>
      <c r="O401" s="2">
        <v>67695.600000000006</v>
      </c>
      <c r="P401" s="2" t="str">
        <f t="shared" si="1"/>
        <v>Normal</v>
      </c>
    </row>
    <row r="402" spans="1:16" ht="14.25" customHeight="1" x14ac:dyDescent="0.5">
      <c r="A402" s="2" t="s">
        <v>1356</v>
      </c>
      <c r="B402" s="2" t="s">
        <v>2023</v>
      </c>
      <c r="C402" s="2" t="s">
        <v>1678</v>
      </c>
      <c r="D402" s="2" t="s">
        <v>34</v>
      </c>
      <c r="E402" s="2" t="s">
        <v>1957</v>
      </c>
      <c r="F402" s="2">
        <v>91813</v>
      </c>
      <c r="G402" s="2" t="s">
        <v>44</v>
      </c>
      <c r="H402" s="2" t="s">
        <v>45</v>
      </c>
      <c r="I402" s="2" t="s">
        <v>77</v>
      </c>
      <c r="J402" s="2" t="s">
        <v>1358</v>
      </c>
      <c r="K402" s="2" t="s">
        <v>1674</v>
      </c>
      <c r="L402" s="2" t="s">
        <v>1675</v>
      </c>
      <c r="M402" s="2" t="s">
        <v>1688</v>
      </c>
      <c r="N402" s="2">
        <v>0.05</v>
      </c>
      <c r="O402" s="2">
        <v>96403.650000000009</v>
      </c>
      <c r="P402" s="2" t="str">
        <f t="shared" si="1"/>
        <v>Normal</v>
      </c>
    </row>
    <row r="403" spans="1:16" ht="14.25" customHeight="1" x14ac:dyDescent="0.5">
      <c r="A403" s="2" t="s">
        <v>1359</v>
      </c>
      <c r="B403" s="2" t="s">
        <v>1757</v>
      </c>
      <c r="C403" s="2" t="s">
        <v>1721</v>
      </c>
      <c r="D403" s="2" t="s">
        <v>15</v>
      </c>
      <c r="E403" s="2" t="s">
        <v>2154</v>
      </c>
      <c r="F403" s="2">
        <v>76021</v>
      </c>
      <c r="G403" s="2" t="s">
        <v>44</v>
      </c>
      <c r="H403" s="2" t="s">
        <v>45</v>
      </c>
      <c r="I403" s="2" t="s">
        <v>1703</v>
      </c>
      <c r="J403" s="2" t="s">
        <v>1361</v>
      </c>
      <c r="K403" s="2" t="s">
        <v>1674</v>
      </c>
      <c r="L403" s="2" t="s">
        <v>1675</v>
      </c>
      <c r="M403" s="2" t="s">
        <v>1696</v>
      </c>
      <c r="N403" s="2">
        <v>0.05</v>
      </c>
      <c r="O403" s="2">
        <v>79822.05</v>
      </c>
      <c r="P403" s="2" t="str">
        <f t="shared" si="1"/>
        <v>Normal</v>
      </c>
    </row>
    <row r="404" spans="1:16" ht="14.25" customHeight="1" x14ac:dyDescent="0.5">
      <c r="A404" s="2" t="s">
        <v>1362</v>
      </c>
      <c r="B404" s="2" t="s">
        <v>1720</v>
      </c>
      <c r="C404" s="2" t="s">
        <v>1694</v>
      </c>
      <c r="D404" s="2" t="s">
        <v>50</v>
      </c>
      <c r="E404" s="2" t="s">
        <v>2155</v>
      </c>
      <c r="F404" s="2">
        <v>94131</v>
      </c>
      <c r="G404" s="2" t="s">
        <v>36</v>
      </c>
      <c r="H404" s="2" t="s">
        <v>1680</v>
      </c>
      <c r="I404" s="2" t="s">
        <v>1673</v>
      </c>
      <c r="J404" s="2" t="s">
        <v>1364</v>
      </c>
      <c r="K404" s="2" t="s">
        <v>1674</v>
      </c>
      <c r="L404" s="2" t="s">
        <v>1675</v>
      </c>
      <c r="M404" s="2" t="s">
        <v>1696</v>
      </c>
      <c r="N404" s="2">
        <v>0.15</v>
      </c>
      <c r="O404" s="2">
        <v>108250.65</v>
      </c>
      <c r="P404" s="2" t="str">
        <f t="shared" si="1"/>
        <v>High</v>
      </c>
    </row>
    <row r="405" spans="1:16" ht="14.25" customHeight="1" x14ac:dyDescent="0.5">
      <c r="A405" s="2" t="s">
        <v>1365</v>
      </c>
      <c r="B405" s="2" t="s">
        <v>1828</v>
      </c>
      <c r="C405" s="2" t="s">
        <v>1694</v>
      </c>
      <c r="D405" s="2" t="s">
        <v>100</v>
      </c>
      <c r="E405" s="2" t="s">
        <v>2025</v>
      </c>
      <c r="F405" s="2">
        <v>64087</v>
      </c>
      <c r="G405" s="2" t="s">
        <v>44</v>
      </c>
      <c r="H405" s="2" t="s">
        <v>45</v>
      </c>
      <c r="I405" s="2" t="s">
        <v>77</v>
      </c>
      <c r="J405" s="2" t="s">
        <v>1367</v>
      </c>
      <c r="K405" s="2" t="s">
        <v>1706</v>
      </c>
      <c r="L405" s="2" t="s">
        <v>1707</v>
      </c>
      <c r="M405" s="2" t="s">
        <v>1750</v>
      </c>
      <c r="N405" s="2">
        <v>0.1</v>
      </c>
      <c r="O405" s="2">
        <v>70495.700000000012</v>
      </c>
      <c r="P405" s="2" t="str">
        <f t="shared" si="1"/>
        <v>Normal</v>
      </c>
    </row>
    <row r="406" spans="1:16" ht="14.25" customHeight="1" x14ac:dyDescent="0.5">
      <c r="A406" s="2" t="s">
        <v>1368</v>
      </c>
      <c r="B406" s="2" t="s">
        <v>1958</v>
      </c>
      <c r="C406" s="2" t="s">
        <v>1721</v>
      </c>
      <c r="D406" s="2" t="s">
        <v>15</v>
      </c>
      <c r="E406" s="2" t="s">
        <v>1860</v>
      </c>
      <c r="F406" s="2">
        <v>52828</v>
      </c>
      <c r="G406" s="2" t="s">
        <v>57</v>
      </c>
      <c r="H406" s="2" t="s">
        <v>45</v>
      </c>
      <c r="I406" s="2" t="s">
        <v>1673</v>
      </c>
      <c r="J406" s="2" t="s">
        <v>1370</v>
      </c>
      <c r="K406" s="2" t="s">
        <v>1674</v>
      </c>
      <c r="L406" s="2" t="s">
        <v>1675</v>
      </c>
      <c r="M406" s="2" t="s">
        <v>1696</v>
      </c>
      <c r="N406" s="2">
        <v>0.05</v>
      </c>
      <c r="O406" s="2">
        <v>55469.4</v>
      </c>
      <c r="P406" s="2" t="str">
        <f t="shared" si="1"/>
        <v>Normal</v>
      </c>
    </row>
    <row r="407" spans="1:16" ht="14.25" customHeight="1" x14ac:dyDescent="0.5">
      <c r="A407" s="2" t="s">
        <v>1371</v>
      </c>
      <c r="B407" s="2" t="s">
        <v>1924</v>
      </c>
      <c r="C407" s="2" t="s">
        <v>1733</v>
      </c>
      <c r="D407" s="2" t="s">
        <v>75</v>
      </c>
      <c r="E407" s="2" t="s">
        <v>2156</v>
      </c>
      <c r="F407" s="2">
        <v>101610</v>
      </c>
      <c r="G407" s="2" t="s">
        <v>17</v>
      </c>
      <c r="H407" s="2" t="s">
        <v>45</v>
      </c>
      <c r="I407" s="2" t="s">
        <v>77</v>
      </c>
      <c r="J407" s="2" t="s">
        <v>1373</v>
      </c>
      <c r="K407" s="2" t="s">
        <v>1706</v>
      </c>
      <c r="L407" s="2" t="s">
        <v>1707</v>
      </c>
      <c r="M407" s="2" t="s">
        <v>1719</v>
      </c>
      <c r="N407" s="2">
        <v>0.15</v>
      </c>
      <c r="O407" s="2">
        <v>116851.49999999999</v>
      </c>
      <c r="P407" s="2" t="str">
        <f t="shared" si="1"/>
        <v>High</v>
      </c>
    </row>
    <row r="408" spans="1:16" ht="14.25" customHeight="1" x14ac:dyDescent="0.5">
      <c r="A408" s="2" t="s">
        <v>1374</v>
      </c>
      <c r="B408" s="2" t="s">
        <v>1737</v>
      </c>
      <c r="C408" s="2" t="s">
        <v>1671</v>
      </c>
      <c r="D408" s="2" t="s">
        <v>69</v>
      </c>
      <c r="E408" s="2" t="s">
        <v>2157</v>
      </c>
      <c r="F408" s="2">
        <v>41401</v>
      </c>
      <c r="G408" s="2" t="s">
        <v>83</v>
      </c>
      <c r="H408" s="2" t="s">
        <v>1699</v>
      </c>
      <c r="I408" s="2" t="s">
        <v>1703</v>
      </c>
      <c r="J408" s="2" t="s">
        <v>1376</v>
      </c>
      <c r="K408" s="2" t="s">
        <v>1691</v>
      </c>
      <c r="L408" s="2" t="s">
        <v>1692</v>
      </c>
      <c r="M408" s="2" t="s">
        <v>1750</v>
      </c>
      <c r="N408" s="2">
        <v>0.05</v>
      </c>
      <c r="O408" s="2">
        <v>43471.05</v>
      </c>
      <c r="P408" s="2" t="str">
        <f t="shared" si="1"/>
        <v>Normal</v>
      </c>
    </row>
    <row r="409" spans="1:16" ht="14.25" customHeight="1" x14ac:dyDescent="0.5">
      <c r="A409" s="2" t="s">
        <v>1377</v>
      </c>
      <c r="B409" s="2" t="s">
        <v>1712</v>
      </c>
      <c r="C409" s="2" t="s">
        <v>1717</v>
      </c>
      <c r="D409" s="2" t="s">
        <v>34</v>
      </c>
      <c r="E409" s="2" t="s">
        <v>2158</v>
      </c>
      <c r="F409" s="2">
        <v>55193</v>
      </c>
      <c r="G409" s="2" t="s">
        <v>36</v>
      </c>
      <c r="H409" s="2" t="s">
        <v>1680</v>
      </c>
      <c r="I409" s="2" t="s">
        <v>1703</v>
      </c>
      <c r="J409" s="2" t="s">
        <v>1379</v>
      </c>
      <c r="K409" s="2" t="s">
        <v>1674</v>
      </c>
      <c r="L409" s="2" t="s">
        <v>1675</v>
      </c>
      <c r="M409" s="2" t="s">
        <v>1711</v>
      </c>
      <c r="N409" s="2">
        <v>0.2</v>
      </c>
      <c r="O409" s="2">
        <v>66231.599999999991</v>
      </c>
      <c r="P409" s="2" t="str">
        <f t="shared" si="1"/>
        <v>Normal</v>
      </c>
    </row>
    <row r="410" spans="1:16" ht="14.25" customHeight="1" x14ac:dyDescent="0.5">
      <c r="A410" s="2" t="s">
        <v>1380</v>
      </c>
      <c r="B410" s="2" t="s">
        <v>1779</v>
      </c>
      <c r="C410" s="2" t="s">
        <v>1724</v>
      </c>
      <c r="D410" s="2" t="s">
        <v>100</v>
      </c>
      <c r="E410" s="2" t="s">
        <v>2159</v>
      </c>
      <c r="F410" s="2">
        <v>84864</v>
      </c>
      <c r="G410" s="2" t="s">
        <v>57</v>
      </c>
      <c r="H410" s="2" t="s">
        <v>45</v>
      </c>
      <c r="I410" s="2" t="s">
        <v>1685</v>
      </c>
      <c r="J410" s="2" t="s">
        <v>1382</v>
      </c>
      <c r="K410" s="2" t="s">
        <v>1674</v>
      </c>
      <c r="L410" s="2" t="s">
        <v>1675</v>
      </c>
      <c r="M410" s="2" t="s">
        <v>1719</v>
      </c>
      <c r="N410" s="2">
        <v>0.15</v>
      </c>
      <c r="O410" s="2">
        <v>97593.599999999991</v>
      </c>
      <c r="P410" s="2" t="str">
        <f t="shared" si="1"/>
        <v>Normal</v>
      </c>
    </row>
    <row r="411" spans="1:16" ht="14.25" customHeight="1" x14ac:dyDescent="0.5">
      <c r="A411" s="2" t="s">
        <v>1383</v>
      </c>
      <c r="B411" s="2" t="s">
        <v>1800</v>
      </c>
      <c r="C411" s="2" t="s">
        <v>1683</v>
      </c>
      <c r="D411" s="2" t="s">
        <v>34</v>
      </c>
      <c r="E411" s="2" t="s">
        <v>2160</v>
      </c>
      <c r="F411" s="2">
        <v>60307</v>
      </c>
      <c r="G411" s="2" t="s">
        <v>83</v>
      </c>
      <c r="H411" s="2" t="s">
        <v>1680</v>
      </c>
      <c r="I411" s="2" t="s">
        <v>77</v>
      </c>
      <c r="J411" s="2" t="s">
        <v>1385</v>
      </c>
      <c r="K411" s="2" t="s">
        <v>1686</v>
      </c>
      <c r="L411" s="2" t="s">
        <v>1687</v>
      </c>
      <c r="M411" s="2" t="s">
        <v>1676</v>
      </c>
      <c r="N411" s="2">
        <v>0.05</v>
      </c>
      <c r="O411" s="2">
        <v>63322.350000000006</v>
      </c>
      <c r="P411" s="2" t="str">
        <f t="shared" si="1"/>
        <v>Normal</v>
      </c>
    </row>
    <row r="412" spans="1:16" ht="14.25" customHeight="1" x14ac:dyDescent="0.5">
      <c r="A412" s="2" t="s">
        <v>1386</v>
      </c>
      <c r="B412" s="2" t="s">
        <v>1741</v>
      </c>
      <c r="C412" s="2" t="s">
        <v>1709</v>
      </c>
      <c r="D412" s="2" t="s">
        <v>100</v>
      </c>
      <c r="E412" s="2" t="s">
        <v>2161</v>
      </c>
      <c r="F412" s="2">
        <v>59611</v>
      </c>
      <c r="G412" s="2" t="s">
        <v>83</v>
      </c>
      <c r="H412" s="2" t="s">
        <v>1680</v>
      </c>
      <c r="I412" s="2" t="s">
        <v>1703</v>
      </c>
      <c r="J412" s="2" t="s">
        <v>1388</v>
      </c>
      <c r="K412" s="2" t="s">
        <v>1706</v>
      </c>
      <c r="L412" s="2" t="s">
        <v>1707</v>
      </c>
      <c r="M412" s="2" t="s">
        <v>1696</v>
      </c>
      <c r="N412" s="2">
        <v>0.15</v>
      </c>
      <c r="O412" s="2">
        <v>68552.649999999994</v>
      </c>
      <c r="P412" s="2" t="str">
        <f t="shared" si="1"/>
        <v>Normal</v>
      </c>
    </row>
    <row r="413" spans="1:16" ht="14.25" customHeight="1" x14ac:dyDescent="0.5">
      <c r="A413" s="2" t="s">
        <v>1389</v>
      </c>
      <c r="B413" s="2" t="s">
        <v>1922</v>
      </c>
      <c r="C413" s="2" t="s">
        <v>1671</v>
      </c>
      <c r="D413" s="2" t="s">
        <v>50</v>
      </c>
      <c r="E413" s="2" t="s">
        <v>2162</v>
      </c>
      <c r="F413" s="2">
        <v>83791</v>
      </c>
      <c r="G413" s="2" t="s">
        <v>36</v>
      </c>
      <c r="H413" s="2" t="s">
        <v>1699</v>
      </c>
      <c r="I413" s="2" t="s">
        <v>77</v>
      </c>
      <c r="J413" s="2" t="s">
        <v>1391</v>
      </c>
      <c r="K413" s="2" t="s">
        <v>1691</v>
      </c>
      <c r="L413" s="2" t="s">
        <v>1692</v>
      </c>
      <c r="M413" s="2" t="s">
        <v>1711</v>
      </c>
      <c r="N413" s="2">
        <v>0.05</v>
      </c>
      <c r="O413" s="2">
        <v>87980.55</v>
      </c>
      <c r="P413" s="2" t="str">
        <f t="shared" si="1"/>
        <v>Normal</v>
      </c>
    </row>
    <row r="414" spans="1:16" ht="14.25" customHeight="1" x14ac:dyDescent="0.5">
      <c r="A414" s="2" t="s">
        <v>1392</v>
      </c>
      <c r="B414" s="2" t="s">
        <v>1958</v>
      </c>
      <c r="C414" s="2" t="s">
        <v>1709</v>
      </c>
      <c r="D414" s="2" t="s">
        <v>100</v>
      </c>
      <c r="E414" s="2" t="s">
        <v>2163</v>
      </c>
      <c r="F414" s="2">
        <v>51950</v>
      </c>
      <c r="G414" s="2" t="s">
        <v>57</v>
      </c>
      <c r="H414" s="2" t="s">
        <v>45</v>
      </c>
      <c r="I414" s="2" t="s">
        <v>1681</v>
      </c>
      <c r="J414" s="2" t="s">
        <v>1394</v>
      </c>
      <c r="K414" s="2" t="s">
        <v>1686</v>
      </c>
      <c r="L414" s="2" t="s">
        <v>1687</v>
      </c>
      <c r="M414" s="2" t="s">
        <v>1693</v>
      </c>
      <c r="N414" s="2">
        <v>0.1</v>
      </c>
      <c r="O414" s="2">
        <v>57145.000000000007</v>
      </c>
      <c r="P414" s="2" t="str">
        <f t="shared" si="1"/>
        <v>Normal</v>
      </c>
    </row>
    <row r="415" spans="1:16" ht="14.25" customHeight="1" x14ac:dyDescent="0.5">
      <c r="A415" s="2" t="s">
        <v>1395</v>
      </c>
      <c r="B415" s="2" t="s">
        <v>1708</v>
      </c>
      <c r="C415" s="2" t="s">
        <v>1724</v>
      </c>
      <c r="D415" s="2" t="s">
        <v>75</v>
      </c>
      <c r="E415" s="2" t="s">
        <v>2164</v>
      </c>
      <c r="F415" s="2">
        <v>116240</v>
      </c>
      <c r="G415" s="2" t="s">
        <v>83</v>
      </c>
      <c r="H415" s="2" t="s">
        <v>1680</v>
      </c>
      <c r="I415" s="2" t="s">
        <v>1685</v>
      </c>
      <c r="J415" s="2" t="s">
        <v>1397</v>
      </c>
      <c r="K415" s="2" t="s">
        <v>1686</v>
      </c>
      <c r="L415" s="2" t="s">
        <v>1687</v>
      </c>
      <c r="M415" s="2" t="s">
        <v>1688</v>
      </c>
      <c r="N415" s="2">
        <v>0.05</v>
      </c>
      <c r="O415" s="2">
        <v>122052</v>
      </c>
      <c r="P415" s="2" t="str">
        <f t="shared" si="1"/>
        <v>High</v>
      </c>
    </row>
    <row r="416" spans="1:16" ht="14.25" customHeight="1" x14ac:dyDescent="0.5">
      <c r="A416" s="2" t="s">
        <v>1398</v>
      </c>
      <c r="B416" s="2" t="s">
        <v>1704</v>
      </c>
      <c r="C416" s="2" t="s">
        <v>1785</v>
      </c>
      <c r="D416" s="2" t="s">
        <v>75</v>
      </c>
      <c r="E416" s="2" t="s">
        <v>2165</v>
      </c>
      <c r="F416" s="2">
        <v>117403</v>
      </c>
      <c r="G416" s="2" t="s">
        <v>83</v>
      </c>
      <c r="H416" s="2" t="s">
        <v>1699</v>
      </c>
      <c r="I416" s="2" t="s">
        <v>1673</v>
      </c>
      <c r="J416" s="2" t="s">
        <v>1400</v>
      </c>
      <c r="K416" s="2" t="s">
        <v>1691</v>
      </c>
      <c r="L416" s="2" t="s">
        <v>1692</v>
      </c>
      <c r="M416" s="2" t="s">
        <v>1696</v>
      </c>
      <c r="N416" s="2">
        <v>0.15</v>
      </c>
      <c r="O416" s="2">
        <v>135013.44999999998</v>
      </c>
      <c r="P416" s="2" t="str">
        <f t="shared" si="1"/>
        <v>High</v>
      </c>
    </row>
    <row r="417" spans="1:16" ht="14.25" customHeight="1" x14ac:dyDescent="0.5">
      <c r="A417" s="2" t="s">
        <v>1401</v>
      </c>
      <c r="B417" s="2" t="s">
        <v>1720</v>
      </c>
      <c r="C417" s="2" t="s">
        <v>1785</v>
      </c>
      <c r="D417" s="2" t="s">
        <v>42</v>
      </c>
      <c r="E417" s="2" t="s">
        <v>2166</v>
      </c>
      <c r="F417" s="2">
        <v>42745</v>
      </c>
      <c r="G417" s="2" t="s">
        <v>57</v>
      </c>
      <c r="H417" s="2" t="s">
        <v>1680</v>
      </c>
      <c r="I417" s="2" t="s">
        <v>1685</v>
      </c>
      <c r="J417" s="2" t="s">
        <v>1403</v>
      </c>
      <c r="K417" s="2" t="s">
        <v>1686</v>
      </c>
      <c r="L417" s="2" t="s">
        <v>1687</v>
      </c>
      <c r="M417" s="2" t="s">
        <v>1700</v>
      </c>
      <c r="N417" s="2">
        <v>0.2</v>
      </c>
      <c r="O417" s="2">
        <v>51294</v>
      </c>
      <c r="P417" s="2" t="str">
        <f t="shared" si="1"/>
        <v>Normal</v>
      </c>
    </row>
    <row r="418" spans="1:16" ht="14.25" customHeight="1" x14ac:dyDescent="0.5">
      <c r="A418" s="2" t="s">
        <v>1404</v>
      </c>
      <c r="B418" s="2" t="s">
        <v>1922</v>
      </c>
      <c r="C418" s="2" t="s">
        <v>1671</v>
      </c>
      <c r="D418" s="2" t="s">
        <v>75</v>
      </c>
      <c r="E418" s="2" t="s">
        <v>2167</v>
      </c>
      <c r="F418" s="2">
        <v>95243</v>
      </c>
      <c r="G418" s="2" t="s">
        <v>44</v>
      </c>
      <c r="H418" s="2" t="s">
        <v>45</v>
      </c>
      <c r="I418" s="2" t="s">
        <v>1681</v>
      </c>
      <c r="J418" s="2" t="s">
        <v>1406</v>
      </c>
      <c r="K418" s="2" t="s">
        <v>1706</v>
      </c>
      <c r="L418" s="2" t="s">
        <v>1707</v>
      </c>
      <c r="M418" s="2" t="s">
        <v>1711</v>
      </c>
      <c r="N418" s="2">
        <v>0.2</v>
      </c>
      <c r="O418" s="2">
        <v>114291.59999999999</v>
      </c>
      <c r="P418" s="2" t="str">
        <f t="shared" si="1"/>
        <v>High</v>
      </c>
    </row>
    <row r="419" spans="1:16" ht="14.25" customHeight="1" x14ac:dyDescent="0.5">
      <c r="A419" s="2" t="s">
        <v>1407</v>
      </c>
      <c r="B419" s="2" t="s">
        <v>1922</v>
      </c>
      <c r="C419" s="2" t="s">
        <v>1678</v>
      </c>
      <c r="D419" s="2" t="s">
        <v>15</v>
      </c>
      <c r="E419" s="2" t="s">
        <v>2168</v>
      </c>
      <c r="F419" s="2">
        <v>43866</v>
      </c>
      <c r="G419" s="2" t="s">
        <v>83</v>
      </c>
      <c r="H419" s="2" t="s">
        <v>1680</v>
      </c>
      <c r="I419" s="2" t="s">
        <v>77</v>
      </c>
      <c r="J419" s="2" t="s">
        <v>1409</v>
      </c>
      <c r="K419" s="2" t="s">
        <v>1706</v>
      </c>
      <c r="L419" s="2" t="s">
        <v>1707</v>
      </c>
      <c r="M419" s="2" t="s">
        <v>1700</v>
      </c>
      <c r="N419" s="2">
        <v>0.2</v>
      </c>
      <c r="O419" s="2">
        <v>52639.199999999997</v>
      </c>
      <c r="P419" s="2" t="str">
        <f t="shared" si="1"/>
        <v>Normal</v>
      </c>
    </row>
    <row r="420" spans="1:16" ht="14.25" customHeight="1" x14ac:dyDescent="0.5">
      <c r="A420" s="2" t="s">
        <v>1410</v>
      </c>
      <c r="B420" s="2" t="s">
        <v>1857</v>
      </c>
      <c r="C420" s="2" t="s">
        <v>1724</v>
      </c>
      <c r="D420" s="2" t="s">
        <v>100</v>
      </c>
      <c r="E420" s="2" t="s">
        <v>2169</v>
      </c>
      <c r="F420" s="2">
        <v>72245</v>
      </c>
      <c r="G420" s="2" t="s">
        <v>17</v>
      </c>
      <c r="H420" s="2" t="s">
        <v>1680</v>
      </c>
      <c r="I420" s="2" t="s">
        <v>1673</v>
      </c>
      <c r="J420" s="2" t="s">
        <v>1412</v>
      </c>
      <c r="K420" s="2" t="s">
        <v>1674</v>
      </c>
      <c r="L420" s="2" t="s">
        <v>1675</v>
      </c>
      <c r="M420" s="2" t="s">
        <v>1696</v>
      </c>
      <c r="N420" s="2">
        <v>0.05</v>
      </c>
      <c r="O420" s="2">
        <v>75857.25</v>
      </c>
      <c r="P420" s="2" t="str">
        <f t="shared" si="1"/>
        <v>Normal</v>
      </c>
    </row>
    <row r="421" spans="1:16" ht="14.25" customHeight="1" x14ac:dyDescent="0.5">
      <c r="A421" s="2" t="s">
        <v>1413</v>
      </c>
      <c r="B421" s="2" t="s">
        <v>1697</v>
      </c>
      <c r="C421" s="2" t="s">
        <v>1724</v>
      </c>
      <c r="D421" s="2" t="s">
        <v>75</v>
      </c>
      <c r="E421" s="2" t="s">
        <v>2170</v>
      </c>
      <c r="F421" s="2">
        <v>84724</v>
      </c>
      <c r="G421" s="2" t="s">
        <v>57</v>
      </c>
      <c r="H421" s="2" t="s">
        <v>45</v>
      </c>
      <c r="I421" s="2" t="s">
        <v>1673</v>
      </c>
      <c r="J421" s="2" t="s">
        <v>1415</v>
      </c>
      <c r="K421" s="2" t="s">
        <v>1686</v>
      </c>
      <c r="L421" s="2" t="s">
        <v>1687</v>
      </c>
      <c r="M421" s="2" t="s">
        <v>1700</v>
      </c>
      <c r="N421" s="2">
        <v>0.1</v>
      </c>
      <c r="O421" s="2">
        <v>93196.400000000009</v>
      </c>
      <c r="P421" s="2" t="str">
        <f t="shared" si="1"/>
        <v>Normal</v>
      </c>
    </row>
    <row r="422" spans="1:16" ht="14.25" customHeight="1" x14ac:dyDescent="0.5">
      <c r="A422" s="2" t="s">
        <v>1416</v>
      </c>
      <c r="B422" s="2" t="s">
        <v>1765</v>
      </c>
      <c r="C422" s="2" t="s">
        <v>1721</v>
      </c>
      <c r="D422" s="2" t="s">
        <v>50</v>
      </c>
      <c r="E422" s="2" t="s">
        <v>2171</v>
      </c>
      <c r="F422" s="2">
        <v>111354</v>
      </c>
      <c r="G422" s="2" t="s">
        <v>83</v>
      </c>
      <c r="H422" s="2" t="s">
        <v>1699</v>
      </c>
      <c r="I422" s="2" t="s">
        <v>77</v>
      </c>
      <c r="J422" s="2" t="s">
        <v>1418</v>
      </c>
      <c r="K422" s="2" t="s">
        <v>1674</v>
      </c>
      <c r="L422" s="2" t="s">
        <v>1675</v>
      </c>
      <c r="M422" s="2" t="s">
        <v>1696</v>
      </c>
      <c r="N422" s="2">
        <v>0.05</v>
      </c>
      <c r="O422" s="2">
        <v>116921.70000000001</v>
      </c>
      <c r="P422" s="2" t="str">
        <f t="shared" si="1"/>
        <v>High</v>
      </c>
    </row>
    <row r="423" spans="1:16" ht="14.25" customHeight="1" x14ac:dyDescent="0.5">
      <c r="A423" s="2" t="s">
        <v>1419</v>
      </c>
      <c r="B423" s="2" t="s">
        <v>2057</v>
      </c>
      <c r="C423" s="2" t="s">
        <v>1678</v>
      </c>
      <c r="D423" s="2" t="s">
        <v>34</v>
      </c>
      <c r="E423" s="2" t="s">
        <v>2172</v>
      </c>
      <c r="F423" s="2">
        <v>91374</v>
      </c>
      <c r="G423" s="2" t="s">
        <v>36</v>
      </c>
      <c r="H423" s="2" t="s">
        <v>1699</v>
      </c>
      <c r="I423" s="2" t="s">
        <v>1685</v>
      </c>
      <c r="J423" s="2" t="s">
        <v>1421</v>
      </c>
      <c r="K423" s="2" t="s">
        <v>1686</v>
      </c>
      <c r="L423" s="2" t="s">
        <v>1687</v>
      </c>
      <c r="M423" s="2" t="s">
        <v>1688</v>
      </c>
      <c r="N423" s="2">
        <v>0.2</v>
      </c>
      <c r="O423" s="2">
        <v>109648.8</v>
      </c>
      <c r="P423" s="2" t="str">
        <f t="shared" si="1"/>
        <v>High</v>
      </c>
    </row>
    <row r="424" spans="1:16" ht="14.25" customHeight="1" x14ac:dyDescent="0.5">
      <c r="A424" s="2" t="s">
        <v>1422</v>
      </c>
      <c r="B424" s="2" t="s">
        <v>1796</v>
      </c>
      <c r="C424" s="2" t="s">
        <v>1717</v>
      </c>
      <c r="D424" s="2" t="s">
        <v>34</v>
      </c>
      <c r="E424" s="2" t="s">
        <v>2047</v>
      </c>
      <c r="F424" s="2">
        <v>70116</v>
      </c>
      <c r="G424" s="2" t="s">
        <v>17</v>
      </c>
      <c r="H424" s="2" t="s">
        <v>1699</v>
      </c>
      <c r="I424" s="2" t="s">
        <v>1703</v>
      </c>
      <c r="J424" s="2" t="s">
        <v>1424</v>
      </c>
      <c r="K424" s="2" t="s">
        <v>1706</v>
      </c>
      <c r="L424" s="2" t="s">
        <v>1707</v>
      </c>
      <c r="M424" s="2" t="s">
        <v>1693</v>
      </c>
      <c r="N424" s="2">
        <v>0.15</v>
      </c>
      <c r="O424" s="2">
        <v>80633.399999999994</v>
      </c>
      <c r="P424" s="2" t="str">
        <f t="shared" si="1"/>
        <v>Normal</v>
      </c>
    </row>
    <row r="425" spans="1:16" ht="14.25" customHeight="1" x14ac:dyDescent="0.5">
      <c r="A425" s="2" t="s">
        <v>1425</v>
      </c>
      <c r="B425" s="2" t="s">
        <v>1862</v>
      </c>
      <c r="C425" s="2" t="s">
        <v>1717</v>
      </c>
      <c r="D425" s="2" t="s">
        <v>42</v>
      </c>
      <c r="E425" s="2" t="s">
        <v>2173</v>
      </c>
      <c r="F425" s="2">
        <v>60447</v>
      </c>
      <c r="G425" s="2" t="s">
        <v>83</v>
      </c>
      <c r="H425" s="2" t="s">
        <v>45</v>
      </c>
      <c r="I425" s="2" t="s">
        <v>1685</v>
      </c>
      <c r="J425" s="2" t="s">
        <v>1427</v>
      </c>
      <c r="K425" s="2" t="s">
        <v>1706</v>
      </c>
      <c r="L425" s="2" t="s">
        <v>1707</v>
      </c>
      <c r="M425" s="2" t="s">
        <v>1688</v>
      </c>
      <c r="N425" s="2">
        <v>0.2</v>
      </c>
      <c r="O425" s="2">
        <v>72536.399999999994</v>
      </c>
      <c r="P425" s="2" t="str">
        <f t="shared" si="1"/>
        <v>Normal</v>
      </c>
    </row>
    <row r="426" spans="1:16" ht="14.25" customHeight="1" x14ac:dyDescent="0.5">
      <c r="A426" s="2" t="s">
        <v>1428</v>
      </c>
      <c r="B426" s="2" t="s">
        <v>2174</v>
      </c>
      <c r="C426" s="2" t="s">
        <v>1683</v>
      </c>
      <c r="D426" s="2" t="s">
        <v>34</v>
      </c>
      <c r="E426" s="2" t="s">
        <v>2175</v>
      </c>
      <c r="F426" s="2">
        <v>70431</v>
      </c>
      <c r="G426" s="2" t="s">
        <v>17</v>
      </c>
      <c r="H426" s="2" t="s">
        <v>1680</v>
      </c>
      <c r="I426" s="2" t="s">
        <v>1681</v>
      </c>
      <c r="J426" s="2" t="s">
        <v>1431</v>
      </c>
      <c r="K426" s="2" t="s">
        <v>1706</v>
      </c>
      <c r="L426" s="2" t="s">
        <v>1707</v>
      </c>
      <c r="M426" s="2" t="s">
        <v>1719</v>
      </c>
      <c r="N426" s="2">
        <v>0.15</v>
      </c>
      <c r="O426" s="2">
        <v>80995.649999999994</v>
      </c>
      <c r="P426" s="2" t="str">
        <f t="shared" si="1"/>
        <v>Normal</v>
      </c>
    </row>
    <row r="427" spans="1:16" ht="14.25" customHeight="1" x14ac:dyDescent="0.5">
      <c r="A427" s="2" t="s">
        <v>1432</v>
      </c>
      <c r="B427" s="2" t="s">
        <v>1737</v>
      </c>
      <c r="C427" s="2" t="s">
        <v>1694</v>
      </c>
      <c r="D427" s="2" t="s">
        <v>100</v>
      </c>
      <c r="E427" s="2" t="s">
        <v>2176</v>
      </c>
      <c r="F427" s="2">
        <v>57908</v>
      </c>
      <c r="G427" s="2" t="s">
        <v>17</v>
      </c>
      <c r="H427" s="2" t="s">
        <v>1680</v>
      </c>
      <c r="I427" s="2" t="s">
        <v>77</v>
      </c>
      <c r="J427" s="2" t="s">
        <v>1434</v>
      </c>
      <c r="K427" s="2" t="s">
        <v>1686</v>
      </c>
      <c r="L427" s="2" t="s">
        <v>1687</v>
      </c>
      <c r="M427" s="2" t="s">
        <v>1711</v>
      </c>
      <c r="N427" s="2">
        <v>0.1</v>
      </c>
      <c r="O427" s="2">
        <v>63698.8</v>
      </c>
      <c r="P427" s="2" t="str">
        <f t="shared" si="1"/>
        <v>Normal</v>
      </c>
    </row>
    <row r="428" spans="1:16" ht="14.25" customHeight="1" x14ac:dyDescent="0.5">
      <c r="A428" s="2" t="s">
        <v>1435</v>
      </c>
      <c r="B428" s="2" t="s">
        <v>1759</v>
      </c>
      <c r="C428" s="2" t="s">
        <v>1785</v>
      </c>
      <c r="D428" s="2" t="s">
        <v>42</v>
      </c>
      <c r="E428" s="2" t="s">
        <v>2177</v>
      </c>
      <c r="F428" s="2">
        <v>69336</v>
      </c>
      <c r="G428" s="2" t="s">
        <v>44</v>
      </c>
      <c r="H428" s="2" t="s">
        <v>45</v>
      </c>
      <c r="I428" s="2" t="s">
        <v>1703</v>
      </c>
      <c r="J428" s="2" t="s">
        <v>1437</v>
      </c>
      <c r="K428" s="2" t="s">
        <v>1706</v>
      </c>
      <c r="L428" s="2" t="s">
        <v>1707</v>
      </c>
      <c r="M428" s="2" t="s">
        <v>1700</v>
      </c>
      <c r="N428" s="2">
        <v>0.15</v>
      </c>
      <c r="O428" s="2">
        <v>79736.399999999994</v>
      </c>
      <c r="P428" s="2" t="str">
        <f t="shared" si="1"/>
        <v>Normal</v>
      </c>
    </row>
    <row r="429" spans="1:16" ht="14.25" customHeight="1" x14ac:dyDescent="0.5">
      <c r="A429" s="2" t="s">
        <v>1438</v>
      </c>
      <c r="B429" s="2" t="s">
        <v>1865</v>
      </c>
      <c r="C429" s="2" t="s">
        <v>1717</v>
      </c>
      <c r="D429" s="2" t="s">
        <v>100</v>
      </c>
      <c r="E429" s="2" t="s">
        <v>1882</v>
      </c>
      <c r="F429" s="2">
        <v>80992</v>
      </c>
      <c r="G429" s="2" t="s">
        <v>17</v>
      </c>
      <c r="H429" s="2" t="s">
        <v>45</v>
      </c>
      <c r="I429" s="2" t="s">
        <v>1685</v>
      </c>
      <c r="J429" s="2" t="s">
        <v>1440</v>
      </c>
      <c r="K429" s="2" t="s">
        <v>1686</v>
      </c>
      <c r="L429" s="2" t="s">
        <v>1687</v>
      </c>
      <c r="M429" s="2" t="s">
        <v>1688</v>
      </c>
      <c r="N429" s="2">
        <v>0.05</v>
      </c>
      <c r="O429" s="2">
        <v>85041.600000000006</v>
      </c>
      <c r="P429" s="2" t="str">
        <f t="shared" si="1"/>
        <v>Normal</v>
      </c>
    </row>
    <row r="430" spans="1:16" ht="14.25" customHeight="1" x14ac:dyDescent="0.5">
      <c r="A430" s="2" t="s">
        <v>1441</v>
      </c>
      <c r="B430" s="2" t="s">
        <v>2174</v>
      </c>
      <c r="C430" s="2" t="s">
        <v>1678</v>
      </c>
      <c r="D430" s="2" t="s">
        <v>50</v>
      </c>
      <c r="E430" s="2" t="s">
        <v>2178</v>
      </c>
      <c r="F430" s="2">
        <v>95350</v>
      </c>
      <c r="G430" s="2" t="s">
        <v>44</v>
      </c>
      <c r="H430" s="2" t="s">
        <v>1680</v>
      </c>
      <c r="I430" s="2" t="s">
        <v>77</v>
      </c>
      <c r="J430" s="2" t="s">
        <v>1443</v>
      </c>
      <c r="K430" s="2" t="s">
        <v>1674</v>
      </c>
      <c r="L430" s="2" t="s">
        <v>1675</v>
      </c>
      <c r="M430" s="2" t="s">
        <v>1696</v>
      </c>
      <c r="N430" s="2">
        <v>0.05</v>
      </c>
      <c r="O430" s="2">
        <v>100117.5</v>
      </c>
      <c r="P430" s="2" t="str">
        <f t="shared" si="1"/>
        <v>High</v>
      </c>
    </row>
    <row r="431" spans="1:16" ht="14.25" customHeight="1" x14ac:dyDescent="0.5">
      <c r="A431" s="2" t="s">
        <v>1444</v>
      </c>
      <c r="B431" s="2" t="s">
        <v>1924</v>
      </c>
      <c r="C431" s="2" t="s">
        <v>1724</v>
      </c>
      <c r="D431" s="2" t="s">
        <v>42</v>
      </c>
      <c r="E431" s="2" t="s">
        <v>2179</v>
      </c>
      <c r="F431" s="2">
        <v>109561</v>
      </c>
      <c r="G431" s="2" t="s">
        <v>57</v>
      </c>
      <c r="H431" s="2" t="s">
        <v>1680</v>
      </c>
      <c r="I431" s="2" t="s">
        <v>77</v>
      </c>
      <c r="J431" s="2" t="s">
        <v>1446</v>
      </c>
      <c r="K431" s="2" t="s">
        <v>1686</v>
      </c>
      <c r="L431" s="2" t="s">
        <v>1687</v>
      </c>
      <c r="M431" s="2" t="s">
        <v>1688</v>
      </c>
      <c r="N431" s="2">
        <v>0.05</v>
      </c>
      <c r="O431" s="2">
        <v>115039.05</v>
      </c>
      <c r="P431" s="2" t="str">
        <f t="shared" si="1"/>
        <v>High</v>
      </c>
    </row>
    <row r="432" spans="1:16" ht="14.25" customHeight="1" x14ac:dyDescent="0.5">
      <c r="A432" s="2" t="s">
        <v>1447</v>
      </c>
      <c r="B432" s="2" t="s">
        <v>1708</v>
      </c>
      <c r="C432" s="2" t="s">
        <v>1717</v>
      </c>
      <c r="D432" s="2" t="s">
        <v>69</v>
      </c>
      <c r="E432" s="2" t="s">
        <v>2180</v>
      </c>
      <c r="F432" s="2">
        <v>91955</v>
      </c>
      <c r="G432" s="2" t="s">
        <v>44</v>
      </c>
      <c r="H432" s="2" t="s">
        <v>1680</v>
      </c>
      <c r="I432" s="2" t="s">
        <v>77</v>
      </c>
      <c r="J432" s="2" t="s">
        <v>1449</v>
      </c>
      <c r="K432" s="2" t="s">
        <v>1674</v>
      </c>
      <c r="L432" s="2" t="s">
        <v>1675</v>
      </c>
      <c r="M432" s="2" t="s">
        <v>1688</v>
      </c>
      <c r="N432" s="2">
        <v>0.15</v>
      </c>
      <c r="O432" s="2">
        <v>105748.24999999999</v>
      </c>
      <c r="P432" s="2" t="str">
        <f t="shared" si="1"/>
        <v>High</v>
      </c>
    </row>
    <row r="433" spans="1:16" ht="14.25" customHeight="1" x14ac:dyDescent="0.5">
      <c r="A433" s="2" t="s">
        <v>1450</v>
      </c>
      <c r="B433" s="2" t="s">
        <v>1723</v>
      </c>
      <c r="C433" s="2" t="s">
        <v>1724</v>
      </c>
      <c r="D433" s="2" t="s">
        <v>15</v>
      </c>
      <c r="E433" s="2" t="s">
        <v>2012</v>
      </c>
      <c r="F433" s="2">
        <v>101240</v>
      </c>
      <c r="G433" s="2" t="s">
        <v>36</v>
      </c>
      <c r="H433" s="2" t="s">
        <v>1680</v>
      </c>
      <c r="I433" s="2" t="s">
        <v>1681</v>
      </c>
      <c r="J433" s="2" t="s">
        <v>1452</v>
      </c>
      <c r="K433" s="2" t="s">
        <v>1686</v>
      </c>
      <c r="L433" s="2" t="s">
        <v>1687</v>
      </c>
      <c r="M433" s="2" t="s">
        <v>1711</v>
      </c>
      <c r="N433" s="2">
        <v>0.05</v>
      </c>
      <c r="O433" s="2">
        <v>106302</v>
      </c>
      <c r="P433" s="2" t="str">
        <f t="shared" si="1"/>
        <v>High</v>
      </c>
    </row>
    <row r="434" spans="1:16" ht="14.25" customHeight="1" x14ac:dyDescent="0.5">
      <c r="A434" s="2" t="s">
        <v>1453</v>
      </c>
      <c r="B434" s="2" t="s">
        <v>1922</v>
      </c>
      <c r="C434" s="2" t="s">
        <v>1717</v>
      </c>
      <c r="D434" s="2" t="s">
        <v>15</v>
      </c>
      <c r="E434" s="2" t="s">
        <v>2181</v>
      </c>
      <c r="F434" s="2">
        <v>60093</v>
      </c>
      <c r="G434" s="2" t="s">
        <v>83</v>
      </c>
      <c r="H434" s="2" t="s">
        <v>1680</v>
      </c>
      <c r="I434" s="2" t="s">
        <v>1681</v>
      </c>
      <c r="J434" s="2" t="s">
        <v>1455</v>
      </c>
      <c r="K434" s="2" t="s">
        <v>1674</v>
      </c>
      <c r="L434" s="2" t="s">
        <v>1675</v>
      </c>
      <c r="M434" s="2" t="s">
        <v>1693</v>
      </c>
      <c r="N434" s="2">
        <v>0.05</v>
      </c>
      <c r="O434" s="2">
        <v>63097.65</v>
      </c>
      <c r="P434" s="2" t="str">
        <f t="shared" si="1"/>
        <v>Normal</v>
      </c>
    </row>
    <row r="435" spans="1:16" ht="14.25" customHeight="1" x14ac:dyDescent="0.5">
      <c r="A435" s="2" t="s">
        <v>1456</v>
      </c>
      <c r="B435" s="2" t="s">
        <v>1716</v>
      </c>
      <c r="C435" s="2" t="s">
        <v>1785</v>
      </c>
      <c r="D435" s="2" t="s">
        <v>100</v>
      </c>
      <c r="E435" s="2" t="s">
        <v>2182</v>
      </c>
      <c r="F435" s="2">
        <v>46155</v>
      </c>
      <c r="G435" s="2" t="s">
        <v>57</v>
      </c>
      <c r="H435" s="2" t="s">
        <v>1680</v>
      </c>
      <c r="I435" s="2" t="s">
        <v>1681</v>
      </c>
      <c r="J435" s="2" t="s">
        <v>1458</v>
      </c>
      <c r="K435" s="2" t="s">
        <v>1706</v>
      </c>
      <c r="L435" s="2" t="s">
        <v>1707</v>
      </c>
      <c r="M435" s="2" t="s">
        <v>1676</v>
      </c>
      <c r="N435" s="2">
        <v>0.05</v>
      </c>
      <c r="O435" s="2">
        <v>48462.75</v>
      </c>
      <c r="P435" s="2" t="str">
        <f t="shared" si="1"/>
        <v>Normal</v>
      </c>
    </row>
    <row r="436" spans="1:16" ht="14.25" customHeight="1" x14ac:dyDescent="0.5">
      <c r="A436" s="2" t="s">
        <v>1459</v>
      </c>
      <c r="B436" s="2" t="s">
        <v>1871</v>
      </c>
      <c r="C436" s="2" t="s">
        <v>1709</v>
      </c>
      <c r="D436" s="2" t="s">
        <v>34</v>
      </c>
      <c r="E436" s="2" t="s">
        <v>2183</v>
      </c>
      <c r="F436" s="2">
        <v>86607</v>
      </c>
      <c r="G436" s="2" t="s">
        <v>57</v>
      </c>
      <c r="H436" s="2" t="s">
        <v>45</v>
      </c>
      <c r="I436" s="2" t="s">
        <v>1703</v>
      </c>
      <c r="J436" s="2" t="s">
        <v>1461</v>
      </c>
      <c r="K436" s="2" t="s">
        <v>1674</v>
      </c>
      <c r="L436" s="2" t="s">
        <v>1675</v>
      </c>
      <c r="M436" s="2" t="s">
        <v>1688</v>
      </c>
      <c r="N436" s="2">
        <v>0.1</v>
      </c>
      <c r="O436" s="2">
        <v>95267.700000000012</v>
      </c>
      <c r="P436" s="2" t="str">
        <f t="shared" si="1"/>
        <v>Normal</v>
      </c>
    </row>
    <row r="437" spans="1:16" ht="14.25" customHeight="1" x14ac:dyDescent="0.5">
      <c r="A437" s="2" t="s">
        <v>1462</v>
      </c>
      <c r="B437" s="2" t="s">
        <v>1884</v>
      </c>
      <c r="C437" s="2" t="s">
        <v>1717</v>
      </c>
      <c r="D437" s="2" t="s">
        <v>69</v>
      </c>
      <c r="E437" s="2" t="s">
        <v>2184</v>
      </c>
      <c r="F437" s="2">
        <v>73487</v>
      </c>
      <c r="G437" s="2" t="s">
        <v>36</v>
      </c>
      <c r="H437" s="2" t="s">
        <v>45</v>
      </c>
      <c r="I437" s="2" t="s">
        <v>1673</v>
      </c>
      <c r="J437" s="2" t="s">
        <v>1464</v>
      </c>
      <c r="K437" s="2" t="s">
        <v>1706</v>
      </c>
      <c r="L437" s="2" t="s">
        <v>1707</v>
      </c>
      <c r="M437" s="2" t="s">
        <v>1711</v>
      </c>
      <c r="N437" s="2">
        <v>0.15</v>
      </c>
      <c r="O437" s="2">
        <v>84510.049999999988</v>
      </c>
      <c r="P437" s="2" t="str">
        <f t="shared" si="1"/>
        <v>Normal</v>
      </c>
    </row>
    <row r="438" spans="1:16" ht="14.25" customHeight="1" x14ac:dyDescent="0.5">
      <c r="A438" s="2" t="s">
        <v>1465</v>
      </c>
      <c r="B438" s="2" t="s">
        <v>1884</v>
      </c>
      <c r="C438" s="2" t="s">
        <v>1678</v>
      </c>
      <c r="D438" s="2" t="s">
        <v>42</v>
      </c>
      <c r="E438" s="2" t="s">
        <v>2185</v>
      </c>
      <c r="F438" s="2">
        <v>95668</v>
      </c>
      <c r="G438" s="2" t="s">
        <v>44</v>
      </c>
      <c r="H438" s="2" t="s">
        <v>45</v>
      </c>
      <c r="I438" s="2" t="s">
        <v>1703</v>
      </c>
      <c r="J438" s="2" t="s">
        <v>1467</v>
      </c>
      <c r="K438" s="2" t="s">
        <v>1706</v>
      </c>
      <c r="L438" s="2" t="s">
        <v>1707</v>
      </c>
      <c r="M438" s="2" t="s">
        <v>1700</v>
      </c>
      <c r="N438" s="2">
        <v>0.15</v>
      </c>
      <c r="O438" s="2">
        <v>110018.2</v>
      </c>
      <c r="P438" s="2" t="str">
        <f t="shared" si="1"/>
        <v>High</v>
      </c>
    </row>
    <row r="439" spans="1:16" ht="14.25" customHeight="1" x14ac:dyDescent="0.5">
      <c r="A439" s="2" t="s">
        <v>1468</v>
      </c>
      <c r="B439" s="2" t="s">
        <v>1976</v>
      </c>
      <c r="C439" s="2" t="s">
        <v>1717</v>
      </c>
      <c r="D439" s="2" t="s">
        <v>69</v>
      </c>
      <c r="E439" s="2" t="s">
        <v>2186</v>
      </c>
      <c r="F439" s="2">
        <v>60963</v>
      </c>
      <c r="G439" s="2" t="s">
        <v>83</v>
      </c>
      <c r="H439" s="2" t="s">
        <v>1680</v>
      </c>
      <c r="I439" s="2" t="s">
        <v>1685</v>
      </c>
      <c r="J439" s="2" t="s">
        <v>1470</v>
      </c>
      <c r="K439" s="2" t="s">
        <v>1674</v>
      </c>
      <c r="L439" s="2" t="s">
        <v>1675</v>
      </c>
      <c r="M439" s="2" t="s">
        <v>1696</v>
      </c>
      <c r="N439" s="2">
        <v>0.2</v>
      </c>
      <c r="O439" s="2">
        <v>73155.599999999991</v>
      </c>
      <c r="P439" s="2" t="str">
        <f t="shared" si="1"/>
        <v>Normal</v>
      </c>
    </row>
    <row r="440" spans="1:16" ht="14.25" customHeight="1" x14ac:dyDescent="0.5">
      <c r="A440" s="2" t="s">
        <v>1471</v>
      </c>
      <c r="B440" s="2" t="s">
        <v>1704</v>
      </c>
      <c r="C440" s="2" t="s">
        <v>1694</v>
      </c>
      <c r="D440" s="2" t="s">
        <v>69</v>
      </c>
      <c r="E440" s="2" t="s">
        <v>1939</v>
      </c>
      <c r="F440" s="2">
        <v>90124</v>
      </c>
      <c r="G440" s="2" t="s">
        <v>44</v>
      </c>
      <c r="H440" s="2" t="s">
        <v>1699</v>
      </c>
      <c r="I440" s="2" t="s">
        <v>77</v>
      </c>
      <c r="J440" s="2" t="s">
        <v>1473</v>
      </c>
      <c r="K440" s="2" t="s">
        <v>1686</v>
      </c>
      <c r="L440" s="2" t="s">
        <v>1687</v>
      </c>
      <c r="M440" s="2" t="s">
        <v>1719</v>
      </c>
      <c r="N440" s="2">
        <v>0.15</v>
      </c>
      <c r="O440" s="2">
        <v>103642.59999999999</v>
      </c>
      <c r="P440" s="2" t="str">
        <f t="shared" si="1"/>
        <v>High</v>
      </c>
    </row>
    <row r="441" spans="1:16" ht="14.25" customHeight="1" x14ac:dyDescent="0.5">
      <c r="A441" s="2" t="s">
        <v>1474</v>
      </c>
      <c r="B441" s="2" t="s">
        <v>1871</v>
      </c>
      <c r="C441" s="2" t="s">
        <v>1785</v>
      </c>
      <c r="D441" s="2" t="s">
        <v>34</v>
      </c>
      <c r="E441" s="2" t="s">
        <v>1907</v>
      </c>
      <c r="F441" s="2">
        <v>92870</v>
      </c>
      <c r="G441" s="2" t="s">
        <v>17</v>
      </c>
      <c r="H441" s="2" t="s">
        <v>1680</v>
      </c>
      <c r="I441" s="2" t="s">
        <v>77</v>
      </c>
      <c r="J441" s="2" t="s">
        <v>1476</v>
      </c>
      <c r="K441" s="2" t="s">
        <v>1686</v>
      </c>
      <c r="L441" s="2" t="s">
        <v>1687</v>
      </c>
      <c r="M441" s="2" t="s">
        <v>1676</v>
      </c>
      <c r="N441" s="2">
        <v>0.1</v>
      </c>
      <c r="O441" s="2">
        <v>102157.00000000001</v>
      </c>
      <c r="P441" s="2" t="str">
        <f t="shared" si="1"/>
        <v>High</v>
      </c>
    </row>
    <row r="442" spans="1:16" ht="14.25" customHeight="1" x14ac:dyDescent="0.5">
      <c r="A442" s="2" t="s">
        <v>1477</v>
      </c>
      <c r="B442" s="2" t="s">
        <v>2065</v>
      </c>
      <c r="C442" s="2" t="s">
        <v>1678</v>
      </c>
      <c r="D442" s="2" t="s">
        <v>42</v>
      </c>
      <c r="E442" s="2" t="s">
        <v>1762</v>
      </c>
      <c r="F442" s="2">
        <v>96547</v>
      </c>
      <c r="G442" s="2" t="s">
        <v>44</v>
      </c>
      <c r="H442" s="2" t="s">
        <v>45</v>
      </c>
      <c r="I442" s="2" t="s">
        <v>1673</v>
      </c>
      <c r="J442" s="2" t="s">
        <v>1479</v>
      </c>
      <c r="K442" s="2" t="s">
        <v>1691</v>
      </c>
      <c r="L442" s="2" t="s">
        <v>1692</v>
      </c>
      <c r="M442" s="2" t="s">
        <v>1750</v>
      </c>
      <c r="N442" s="2">
        <v>0.15</v>
      </c>
      <c r="O442" s="2">
        <v>111029.04999999999</v>
      </c>
      <c r="P442" s="2" t="str">
        <f t="shared" si="1"/>
        <v>High</v>
      </c>
    </row>
    <row r="443" spans="1:16" ht="14.25" customHeight="1" x14ac:dyDescent="0.5">
      <c r="A443" s="2" t="s">
        <v>1480</v>
      </c>
      <c r="B443" s="2" t="s">
        <v>1708</v>
      </c>
      <c r="C443" s="2" t="s">
        <v>1721</v>
      </c>
      <c r="D443" s="2" t="s">
        <v>50</v>
      </c>
      <c r="E443" s="2" t="s">
        <v>2187</v>
      </c>
      <c r="F443" s="2">
        <v>104110</v>
      </c>
      <c r="G443" s="2" t="s">
        <v>57</v>
      </c>
      <c r="H443" s="2" t="s">
        <v>45</v>
      </c>
      <c r="I443" s="2" t="s">
        <v>1685</v>
      </c>
      <c r="J443" s="2" t="s">
        <v>1482</v>
      </c>
      <c r="K443" s="2" t="s">
        <v>1686</v>
      </c>
      <c r="L443" s="2" t="s">
        <v>1687</v>
      </c>
      <c r="M443" s="2" t="s">
        <v>1676</v>
      </c>
      <c r="N443" s="2">
        <v>0.1</v>
      </c>
      <c r="O443" s="2">
        <v>114521.00000000001</v>
      </c>
      <c r="P443" s="2" t="str">
        <f t="shared" si="1"/>
        <v>High</v>
      </c>
    </row>
    <row r="444" spans="1:16" ht="14.25" customHeight="1" x14ac:dyDescent="0.5">
      <c r="A444" s="2" t="s">
        <v>1483</v>
      </c>
      <c r="B444" s="2" t="s">
        <v>1743</v>
      </c>
      <c r="C444" s="2" t="s">
        <v>1678</v>
      </c>
      <c r="D444" s="2" t="s">
        <v>34</v>
      </c>
      <c r="E444" s="2" t="s">
        <v>2108</v>
      </c>
      <c r="F444" s="2">
        <v>93554</v>
      </c>
      <c r="G444" s="2" t="s">
        <v>83</v>
      </c>
      <c r="H444" s="2" t="s">
        <v>45</v>
      </c>
      <c r="I444" s="2" t="s">
        <v>1673</v>
      </c>
      <c r="J444" s="2" t="s">
        <v>1485</v>
      </c>
      <c r="K444" s="2" t="s">
        <v>1691</v>
      </c>
      <c r="L444" s="2" t="s">
        <v>1692</v>
      </c>
      <c r="M444" s="2" t="s">
        <v>1696</v>
      </c>
      <c r="N444" s="2">
        <v>0.1</v>
      </c>
      <c r="O444" s="2">
        <v>102909.40000000001</v>
      </c>
      <c r="P444" s="2" t="str">
        <f t="shared" si="1"/>
        <v>High</v>
      </c>
    </row>
    <row r="445" spans="1:16" ht="14.25" customHeight="1" x14ac:dyDescent="0.5">
      <c r="A445" s="2" t="s">
        <v>1486</v>
      </c>
      <c r="B445" s="2" t="s">
        <v>1682</v>
      </c>
      <c r="C445" s="2" t="s">
        <v>1694</v>
      </c>
      <c r="D445" s="2" t="s">
        <v>69</v>
      </c>
      <c r="E445" s="2" t="s">
        <v>2162</v>
      </c>
      <c r="F445" s="2">
        <v>60936</v>
      </c>
      <c r="G445" s="2" t="s">
        <v>44</v>
      </c>
      <c r="H445" s="2" t="s">
        <v>45</v>
      </c>
      <c r="I445" s="2" t="s">
        <v>77</v>
      </c>
      <c r="J445" s="2" t="s">
        <v>1488</v>
      </c>
      <c r="K445" s="2" t="s">
        <v>1686</v>
      </c>
      <c r="L445" s="2" t="s">
        <v>1687</v>
      </c>
      <c r="M445" s="2" t="s">
        <v>1676</v>
      </c>
      <c r="N445" s="2">
        <v>0.15</v>
      </c>
      <c r="O445" s="2">
        <v>70076.399999999994</v>
      </c>
      <c r="P445" s="2" t="str">
        <f t="shared" si="1"/>
        <v>Normal</v>
      </c>
    </row>
    <row r="446" spans="1:16" ht="14.25" customHeight="1" x14ac:dyDescent="0.5">
      <c r="A446" s="2" t="s">
        <v>1489</v>
      </c>
      <c r="B446" s="2" t="s">
        <v>1708</v>
      </c>
      <c r="C446" s="2" t="s">
        <v>1709</v>
      </c>
      <c r="D446" s="2" t="s">
        <v>69</v>
      </c>
      <c r="E446" s="2" t="s">
        <v>2188</v>
      </c>
      <c r="F446" s="2">
        <v>44426</v>
      </c>
      <c r="G446" s="2" t="s">
        <v>83</v>
      </c>
      <c r="H446" s="2" t="s">
        <v>1680</v>
      </c>
      <c r="I446" s="2" t="s">
        <v>1703</v>
      </c>
      <c r="J446" s="2" t="s">
        <v>1491</v>
      </c>
      <c r="K446" s="2" t="s">
        <v>1686</v>
      </c>
      <c r="L446" s="2" t="s">
        <v>1687</v>
      </c>
      <c r="M446" s="2" t="s">
        <v>1696</v>
      </c>
      <c r="N446" s="2">
        <v>0.2</v>
      </c>
      <c r="O446" s="2">
        <v>53311.199999999997</v>
      </c>
      <c r="P446" s="2" t="str">
        <f t="shared" si="1"/>
        <v>Normal</v>
      </c>
    </row>
    <row r="447" spans="1:16" ht="14.25" customHeight="1" x14ac:dyDescent="0.5">
      <c r="A447" s="2" t="s">
        <v>1492</v>
      </c>
      <c r="B447" s="2" t="s">
        <v>1737</v>
      </c>
      <c r="C447" s="2" t="s">
        <v>1785</v>
      </c>
      <c r="D447" s="2" t="s">
        <v>50</v>
      </c>
      <c r="E447" s="2" t="s">
        <v>2084</v>
      </c>
      <c r="F447" s="2">
        <v>67606</v>
      </c>
      <c r="G447" s="2" t="s">
        <v>83</v>
      </c>
      <c r="H447" s="2" t="s">
        <v>45</v>
      </c>
      <c r="I447" s="2" t="s">
        <v>1681</v>
      </c>
      <c r="J447" s="2" t="s">
        <v>1494</v>
      </c>
      <c r="K447" s="2" t="s">
        <v>1706</v>
      </c>
      <c r="L447" s="2" t="s">
        <v>1707</v>
      </c>
      <c r="M447" s="2" t="s">
        <v>1711</v>
      </c>
      <c r="N447" s="2">
        <v>0.05</v>
      </c>
      <c r="O447" s="2">
        <v>70986.3</v>
      </c>
      <c r="P447" s="2" t="str">
        <f t="shared" si="1"/>
        <v>Normal</v>
      </c>
    </row>
    <row r="448" spans="1:16" ht="14.25" customHeight="1" x14ac:dyDescent="0.5">
      <c r="A448" s="2" t="s">
        <v>1495</v>
      </c>
      <c r="B448" s="2" t="s">
        <v>1802</v>
      </c>
      <c r="C448" s="2" t="s">
        <v>1721</v>
      </c>
      <c r="D448" s="2" t="s">
        <v>69</v>
      </c>
      <c r="E448" s="2" t="s">
        <v>2189</v>
      </c>
      <c r="F448" s="2">
        <v>87832</v>
      </c>
      <c r="G448" s="2" t="s">
        <v>17</v>
      </c>
      <c r="H448" s="2" t="s">
        <v>1680</v>
      </c>
      <c r="I448" s="2" t="s">
        <v>77</v>
      </c>
      <c r="J448" s="2" t="s">
        <v>1497</v>
      </c>
      <c r="K448" s="2" t="s">
        <v>1691</v>
      </c>
      <c r="L448" s="2" t="s">
        <v>1692</v>
      </c>
      <c r="M448" s="2" t="s">
        <v>1750</v>
      </c>
      <c r="N448" s="2">
        <v>0.05</v>
      </c>
      <c r="O448" s="2">
        <v>92223.6</v>
      </c>
      <c r="P448" s="2" t="str">
        <f t="shared" si="1"/>
        <v>Normal</v>
      </c>
    </row>
    <row r="449" spans="1:16" ht="14.25" customHeight="1" x14ac:dyDescent="0.5">
      <c r="A449" s="2" t="s">
        <v>1498</v>
      </c>
      <c r="B449" s="2" t="s">
        <v>1720</v>
      </c>
      <c r="C449" s="2" t="s">
        <v>1694</v>
      </c>
      <c r="D449" s="2" t="s">
        <v>69</v>
      </c>
      <c r="E449" s="2" t="s">
        <v>2190</v>
      </c>
      <c r="F449" s="2">
        <v>68151</v>
      </c>
      <c r="G449" s="2" t="s">
        <v>17</v>
      </c>
      <c r="H449" s="2" t="s">
        <v>1680</v>
      </c>
      <c r="I449" s="2" t="s">
        <v>77</v>
      </c>
      <c r="J449" s="2" t="s">
        <v>1500</v>
      </c>
      <c r="K449" s="2" t="s">
        <v>1686</v>
      </c>
      <c r="L449" s="2" t="s">
        <v>1687</v>
      </c>
      <c r="M449" s="2" t="s">
        <v>1688</v>
      </c>
      <c r="N449" s="2">
        <v>0.15</v>
      </c>
      <c r="O449" s="2">
        <v>78373.649999999994</v>
      </c>
      <c r="P449" s="2" t="str">
        <f t="shared" si="1"/>
        <v>Normal</v>
      </c>
    </row>
    <row r="450" spans="1:16" ht="14.25" customHeight="1" x14ac:dyDescent="0.5">
      <c r="A450" s="2" t="s">
        <v>1501</v>
      </c>
      <c r="B450" s="2" t="s">
        <v>1789</v>
      </c>
      <c r="C450" s="2" t="s">
        <v>1694</v>
      </c>
      <c r="D450" s="2" t="s">
        <v>69</v>
      </c>
      <c r="E450" s="2" t="s">
        <v>2191</v>
      </c>
      <c r="F450" s="2">
        <v>119303</v>
      </c>
      <c r="G450" s="2" t="s">
        <v>57</v>
      </c>
      <c r="H450" s="2" t="s">
        <v>45</v>
      </c>
      <c r="I450" s="2" t="s">
        <v>1681</v>
      </c>
      <c r="J450" s="2" t="s">
        <v>1503</v>
      </c>
      <c r="K450" s="2" t="s">
        <v>1691</v>
      </c>
      <c r="L450" s="2" t="s">
        <v>1692</v>
      </c>
      <c r="M450" s="2" t="s">
        <v>1688</v>
      </c>
      <c r="N450" s="2">
        <v>0.15</v>
      </c>
      <c r="O450" s="2">
        <v>137198.44999999998</v>
      </c>
      <c r="P450" s="2" t="str">
        <f t="shared" si="1"/>
        <v>High</v>
      </c>
    </row>
    <row r="451" spans="1:16" ht="14.25" customHeight="1" x14ac:dyDescent="0.5">
      <c r="A451" s="2" t="s">
        <v>1504</v>
      </c>
      <c r="B451" s="2" t="s">
        <v>1857</v>
      </c>
      <c r="C451" s="2" t="s">
        <v>1671</v>
      </c>
      <c r="D451" s="2" t="s">
        <v>15</v>
      </c>
      <c r="E451" s="2" t="s">
        <v>2192</v>
      </c>
      <c r="F451" s="2">
        <v>51308</v>
      </c>
      <c r="G451" s="2" t="s">
        <v>36</v>
      </c>
      <c r="H451" s="2" t="s">
        <v>1699</v>
      </c>
      <c r="I451" s="2" t="s">
        <v>77</v>
      </c>
      <c r="J451" s="2" t="s">
        <v>1506</v>
      </c>
      <c r="K451" s="2" t="s">
        <v>1706</v>
      </c>
      <c r="L451" s="2" t="s">
        <v>1707</v>
      </c>
      <c r="M451" s="2" t="s">
        <v>1676</v>
      </c>
      <c r="N451" s="2">
        <v>0.1</v>
      </c>
      <c r="O451" s="2">
        <v>56438.8</v>
      </c>
      <c r="P451" s="2" t="str">
        <f t="shared" si="1"/>
        <v>Normal</v>
      </c>
    </row>
    <row r="452" spans="1:16" ht="14.25" customHeight="1" x14ac:dyDescent="0.5">
      <c r="A452" s="2" t="s">
        <v>1507</v>
      </c>
      <c r="B452" s="2" t="s">
        <v>1748</v>
      </c>
      <c r="C452" s="2" t="s">
        <v>1785</v>
      </c>
      <c r="D452" s="2" t="s">
        <v>34</v>
      </c>
      <c r="E452" s="2" t="s">
        <v>2193</v>
      </c>
      <c r="F452" s="2">
        <v>102522</v>
      </c>
      <c r="G452" s="2" t="s">
        <v>83</v>
      </c>
      <c r="H452" s="2" t="s">
        <v>1699</v>
      </c>
      <c r="I452" s="2" t="s">
        <v>1703</v>
      </c>
      <c r="J452" s="2" t="s">
        <v>1509</v>
      </c>
      <c r="K452" s="2" t="s">
        <v>1706</v>
      </c>
      <c r="L452" s="2" t="s">
        <v>1707</v>
      </c>
      <c r="M452" s="2" t="s">
        <v>1711</v>
      </c>
      <c r="N452" s="2">
        <v>0.15</v>
      </c>
      <c r="O452" s="2">
        <v>117900.29999999999</v>
      </c>
      <c r="P452" s="2" t="str">
        <f t="shared" si="1"/>
        <v>High</v>
      </c>
    </row>
    <row r="453" spans="1:16" ht="14.25" customHeight="1" x14ac:dyDescent="0.5">
      <c r="A453" s="2" t="s">
        <v>1510</v>
      </c>
      <c r="B453" s="2" t="s">
        <v>2124</v>
      </c>
      <c r="C453" s="2" t="s">
        <v>1678</v>
      </c>
      <c r="D453" s="2" t="s">
        <v>75</v>
      </c>
      <c r="E453" s="2" t="s">
        <v>2114</v>
      </c>
      <c r="F453" s="2">
        <v>85671</v>
      </c>
      <c r="G453" s="2" t="s">
        <v>36</v>
      </c>
      <c r="H453" s="2" t="s">
        <v>45</v>
      </c>
      <c r="I453" s="2" t="s">
        <v>1673</v>
      </c>
      <c r="J453" s="2" t="s">
        <v>1512</v>
      </c>
      <c r="K453" s="2" t="s">
        <v>1691</v>
      </c>
      <c r="L453" s="2" t="s">
        <v>1692</v>
      </c>
      <c r="M453" s="2" t="s">
        <v>1750</v>
      </c>
      <c r="N453" s="2">
        <v>0.1</v>
      </c>
      <c r="O453" s="2">
        <v>94238.1</v>
      </c>
      <c r="P453" s="2" t="str">
        <f t="shared" si="1"/>
        <v>Normal</v>
      </c>
    </row>
    <row r="454" spans="1:16" ht="14.25" customHeight="1" x14ac:dyDescent="0.5">
      <c r="A454" s="2" t="s">
        <v>1513</v>
      </c>
      <c r="B454" s="2" t="s">
        <v>1926</v>
      </c>
      <c r="C454" s="2" t="s">
        <v>1724</v>
      </c>
      <c r="D454" s="2" t="s">
        <v>34</v>
      </c>
      <c r="E454" s="2" t="s">
        <v>2194</v>
      </c>
      <c r="F454" s="2">
        <v>42204</v>
      </c>
      <c r="G454" s="2" t="s">
        <v>57</v>
      </c>
      <c r="H454" s="2" t="s">
        <v>1680</v>
      </c>
      <c r="I454" s="2" t="s">
        <v>1681</v>
      </c>
      <c r="J454" s="2" t="s">
        <v>1515</v>
      </c>
      <c r="K454" s="2" t="s">
        <v>1706</v>
      </c>
      <c r="L454" s="2" t="s">
        <v>1707</v>
      </c>
      <c r="M454" s="2" t="s">
        <v>1688</v>
      </c>
      <c r="N454" s="2">
        <v>0.2</v>
      </c>
      <c r="O454" s="2">
        <v>50644.799999999996</v>
      </c>
      <c r="P454" s="2" t="str">
        <f t="shared" si="1"/>
        <v>Normal</v>
      </c>
    </row>
    <row r="455" spans="1:16" ht="14.25" customHeight="1" x14ac:dyDescent="0.5">
      <c r="A455" s="2" t="s">
        <v>1516</v>
      </c>
      <c r="B455" s="2" t="s">
        <v>1739</v>
      </c>
      <c r="C455" s="2" t="s">
        <v>1709</v>
      </c>
      <c r="D455" s="2" t="s">
        <v>50</v>
      </c>
      <c r="E455" s="2" t="s">
        <v>2195</v>
      </c>
      <c r="F455" s="2">
        <v>71131</v>
      </c>
      <c r="G455" s="2" t="s">
        <v>83</v>
      </c>
      <c r="H455" s="2" t="s">
        <v>1699</v>
      </c>
      <c r="I455" s="2" t="s">
        <v>1703</v>
      </c>
      <c r="J455" s="2" t="s">
        <v>1518</v>
      </c>
      <c r="K455" s="2" t="s">
        <v>1674</v>
      </c>
      <c r="L455" s="2" t="s">
        <v>1675</v>
      </c>
      <c r="M455" s="2" t="s">
        <v>1700</v>
      </c>
      <c r="N455" s="2">
        <v>0.15</v>
      </c>
      <c r="O455" s="2">
        <v>81800.649999999994</v>
      </c>
      <c r="P455" s="2" t="str">
        <f t="shared" si="1"/>
        <v>Normal</v>
      </c>
    </row>
    <row r="456" spans="1:16" ht="14.25" customHeight="1" x14ac:dyDescent="0.5">
      <c r="A456" s="2" t="s">
        <v>1519</v>
      </c>
      <c r="B456" s="2" t="s">
        <v>1891</v>
      </c>
      <c r="C456" s="2" t="s">
        <v>1724</v>
      </c>
      <c r="D456" s="2" t="s">
        <v>69</v>
      </c>
      <c r="E456" s="2" t="s">
        <v>2196</v>
      </c>
      <c r="F456" s="2">
        <v>92428</v>
      </c>
      <c r="G456" s="2" t="s">
        <v>83</v>
      </c>
      <c r="H456" s="2" t="s">
        <v>1699</v>
      </c>
      <c r="I456" s="2" t="s">
        <v>1685</v>
      </c>
      <c r="J456" s="2" t="s">
        <v>1521</v>
      </c>
      <c r="K456" s="2" t="s">
        <v>1674</v>
      </c>
      <c r="L456" s="2" t="s">
        <v>1675</v>
      </c>
      <c r="M456" s="2" t="s">
        <v>1693</v>
      </c>
      <c r="N456" s="2">
        <v>0.05</v>
      </c>
      <c r="O456" s="2">
        <v>97049.400000000009</v>
      </c>
      <c r="P456" s="2" t="str">
        <f t="shared" si="1"/>
        <v>Normal</v>
      </c>
    </row>
    <row r="457" spans="1:16" ht="14.25" customHeight="1" x14ac:dyDescent="0.5">
      <c r="A457" s="2" t="s">
        <v>1522</v>
      </c>
      <c r="B457" s="2" t="s">
        <v>1895</v>
      </c>
      <c r="C457" s="2" t="s">
        <v>1678</v>
      </c>
      <c r="D457" s="2" t="s">
        <v>34</v>
      </c>
      <c r="E457" s="2" t="s">
        <v>2197</v>
      </c>
      <c r="F457" s="2">
        <v>73870</v>
      </c>
      <c r="G457" s="2" t="s">
        <v>36</v>
      </c>
      <c r="H457" s="2" t="s">
        <v>1680</v>
      </c>
      <c r="I457" s="2" t="s">
        <v>77</v>
      </c>
      <c r="J457" s="2" t="s">
        <v>1524</v>
      </c>
      <c r="K457" s="2" t="s">
        <v>1706</v>
      </c>
      <c r="L457" s="2" t="s">
        <v>1707</v>
      </c>
      <c r="M457" s="2" t="s">
        <v>1693</v>
      </c>
      <c r="N457" s="2">
        <v>0.05</v>
      </c>
      <c r="O457" s="2">
        <v>77563.5</v>
      </c>
      <c r="P457" s="2" t="str">
        <f t="shared" si="1"/>
        <v>Normal</v>
      </c>
    </row>
    <row r="458" spans="1:16" ht="14.25" customHeight="1" x14ac:dyDescent="0.5">
      <c r="A458" s="2" t="s">
        <v>1525</v>
      </c>
      <c r="B458" s="2" t="s">
        <v>1831</v>
      </c>
      <c r="C458" s="2" t="s">
        <v>1678</v>
      </c>
      <c r="D458" s="2" t="s">
        <v>15</v>
      </c>
      <c r="E458" s="2" t="s">
        <v>2198</v>
      </c>
      <c r="F458" s="2">
        <v>89067</v>
      </c>
      <c r="G458" s="2" t="s">
        <v>44</v>
      </c>
      <c r="H458" s="2" t="s">
        <v>1699</v>
      </c>
      <c r="I458" s="2" t="s">
        <v>1681</v>
      </c>
      <c r="J458" s="2" t="s">
        <v>1527</v>
      </c>
      <c r="K458" s="2" t="s">
        <v>1674</v>
      </c>
      <c r="L458" s="2" t="s">
        <v>1675</v>
      </c>
      <c r="M458" s="2" t="s">
        <v>1688</v>
      </c>
      <c r="N458" s="2">
        <v>0.15</v>
      </c>
      <c r="O458" s="2">
        <v>102427.04999999999</v>
      </c>
      <c r="P458" s="2" t="str">
        <f t="shared" si="1"/>
        <v>High</v>
      </c>
    </row>
    <row r="459" spans="1:16" ht="14.25" customHeight="1" x14ac:dyDescent="0.5">
      <c r="A459" s="2" t="s">
        <v>1528</v>
      </c>
      <c r="B459" s="2" t="s">
        <v>1819</v>
      </c>
      <c r="C459" s="2" t="s">
        <v>1785</v>
      </c>
      <c r="D459" s="2" t="s">
        <v>50</v>
      </c>
      <c r="E459" s="2" t="s">
        <v>2101</v>
      </c>
      <c r="F459" s="2">
        <v>98585</v>
      </c>
      <c r="G459" s="2" t="s">
        <v>17</v>
      </c>
      <c r="H459" s="2" t="s">
        <v>1699</v>
      </c>
      <c r="I459" s="2" t="s">
        <v>1673</v>
      </c>
      <c r="J459" s="2" t="s">
        <v>1530</v>
      </c>
      <c r="K459" s="2" t="s">
        <v>1686</v>
      </c>
      <c r="L459" s="2" t="s">
        <v>1687</v>
      </c>
      <c r="M459" s="2" t="s">
        <v>1750</v>
      </c>
      <c r="N459" s="2">
        <v>0.1</v>
      </c>
      <c r="O459" s="2">
        <v>108443.50000000001</v>
      </c>
      <c r="P459" s="2" t="str">
        <f t="shared" si="1"/>
        <v>High</v>
      </c>
    </row>
    <row r="460" spans="1:16" ht="14.25" customHeight="1" x14ac:dyDescent="0.5">
      <c r="A460" s="2" t="s">
        <v>1531</v>
      </c>
      <c r="B460" s="2" t="s">
        <v>1984</v>
      </c>
      <c r="C460" s="2" t="s">
        <v>1678</v>
      </c>
      <c r="D460" s="2" t="s">
        <v>100</v>
      </c>
      <c r="E460" s="2" t="s">
        <v>1929</v>
      </c>
      <c r="F460" s="2">
        <v>61607</v>
      </c>
      <c r="G460" s="2" t="s">
        <v>44</v>
      </c>
      <c r="H460" s="2" t="s">
        <v>1680</v>
      </c>
      <c r="I460" s="2" t="s">
        <v>1685</v>
      </c>
      <c r="J460" s="2" t="s">
        <v>1533</v>
      </c>
      <c r="K460" s="2" t="s">
        <v>1691</v>
      </c>
      <c r="L460" s="2" t="s">
        <v>1692</v>
      </c>
      <c r="M460" s="2" t="s">
        <v>1719</v>
      </c>
      <c r="N460" s="2">
        <v>0.05</v>
      </c>
      <c r="O460" s="2">
        <v>64687.350000000006</v>
      </c>
      <c r="P460" s="2" t="str">
        <f t="shared" si="1"/>
        <v>Normal</v>
      </c>
    </row>
    <row r="461" spans="1:16" ht="14.25" customHeight="1" x14ac:dyDescent="0.5">
      <c r="A461" s="2" t="s">
        <v>1534</v>
      </c>
      <c r="B461" s="2" t="s">
        <v>1887</v>
      </c>
      <c r="C461" s="2" t="s">
        <v>1671</v>
      </c>
      <c r="D461" s="2" t="s">
        <v>34</v>
      </c>
      <c r="E461" s="2" t="s">
        <v>1710</v>
      </c>
      <c r="F461" s="2">
        <v>64968</v>
      </c>
      <c r="G461" s="2" t="s">
        <v>36</v>
      </c>
      <c r="H461" s="2" t="s">
        <v>1680</v>
      </c>
      <c r="I461" s="2" t="s">
        <v>1703</v>
      </c>
      <c r="J461" s="2" t="s">
        <v>1536</v>
      </c>
      <c r="K461" s="2" t="s">
        <v>1686</v>
      </c>
      <c r="L461" s="2" t="s">
        <v>1687</v>
      </c>
      <c r="M461" s="2" t="s">
        <v>1688</v>
      </c>
      <c r="N461" s="2">
        <v>0.1</v>
      </c>
      <c r="O461" s="2">
        <v>71464.800000000003</v>
      </c>
      <c r="P461" s="2" t="str">
        <f t="shared" si="1"/>
        <v>Normal</v>
      </c>
    </row>
    <row r="462" spans="1:16" ht="14.25" customHeight="1" x14ac:dyDescent="0.5">
      <c r="A462" s="2" t="s">
        <v>1537</v>
      </c>
      <c r="B462" s="2" t="s">
        <v>1971</v>
      </c>
      <c r="C462" s="2" t="s">
        <v>1721</v>
      </c>
      <c r="D462" s="2" t="s">
        <v>100</v>
      </c>
      <c r="E462" s="2" t="s">
        <v>2199</v>
      </c>
      <c r="F462" s="2">
        <v>51908</v>
      </c>
      <c r="G462" s="2" t="s">
        <v>17</v>
      </c>
      <c r="H462" s="2" t="s">
        <v>1699</v>
      </c>
      <c r="I462" s="2" t="s">
        <v>77</v>
      </c>
      <c r="J462" s="2" t="s">
        <v>1539</v>
      </c>
      <c r="K462" s="2" t="s">
        <v>1691</v>
      </c>
      <c r="L462" s="2" t="s">
        <v>1692</v>
      </c>
      <c r="M462" s="2" t="s">
        <v>1719</v>
      </c>
      <c r="N462" s="2">
        <v>0.15</v>
      </c>
      <c r="O462" s="2">
        <v>59694.2</v>
      </c>
      <c r="P462" s="2" t="str">
        <f t="shared" si="1"/>
        <v>Normal</v>
      </c>
    </row>
    <row r="463" spans="1:16" ht="14.25" customHeight="1" x14ac:dyDescent="0.5">
      <c r="A463" s="2" t="s">
        <v>1540</v>
      </c>
      <c r="B463" s="2" t="s">
        <v>1828</v>
      </c>
      <c r="C463" s="2" t="s">
        <v>1678</v>
      </c>
      <c r="D463" s="2" t="s">
        <v>69</v>
      </c>
      <c r="E463" s="2" t="s">
        <v>2200</v>
      </c>
      <c r="F463" s="2">
        <v>66423</v>
      </c>
      <c r="G463" s="2" t="s">
        <v>44</v>
      </c>
      <c r="H463" s="2" t="s">
        <v>45</v>
      </c>
      <c r="I463" s="2" t="s">
        <v>1673</v>
      </c>
      <c r="J463" s="2" t="s">
        <v>1542</v>
      </c>
      <c r="K463" s="2" t="s">
        <v>1706</v>
      </c>
      <c r="L463" s="2" t="s">
        <v>1707</v>
      </c>
      <c r="M463" s="2" t="s">
        <v>1719</v>
      </c>
      <c r="N463" s="2">
        <v>0.15</v>
      </c>
      <c r="O463" s="2">
        <v>76386.45</v>
      </c>
      <c r="P463" s="2" t="str">
        <f t="shared" si="1"/>
        <v>Normal</v>
      </c>
    </row>
    <row r="464" spans="1:16" ht="14.25" customHeight="1" x14ac:dyDescent="0.5">
      <c r="A464" s="2" t="s">
        <v>1543</v>
      </c>
      <c r="B464" s="2" t="s">
        <v>1741</v>
      </c>
      <c r="C464" s="2" t="s">
        <v>1724</v>
      </c>
      <c r="D464" s="2" t="s">
        <v>15</v>
      </c>
      <c r="E464" s="2" t="s">
        <v>1893</v>
      </c>
      <c r="F464" s="2">
        <v>114707</v>
      </c>
      <c r="G464" s="2" t="s">
        <v>17</v>
      </c>
      <c r="H464" s="2" t="s">
        <v>1680</v>
      </c>
      <c r="I464" s="2" t="s">
        <v>1703</v>
      </c>
      <c r="J464" s="2" t="s">
        <v>1545</v>
      </c>
      <c r="K464" s="2" t="s">
        <v>1686</v>
      </c>
      <c r="L464" s="2" t="s">
        <v>1687</v>
      </c>
      <c r="M464" s="2" t="s">
        <v>1696</v>
      </c>
      <c r="N464" s="2">
        <v>0.05</v>
      </c>
      <c r="O464" s="2">
        <v>120442.35</v>
      </c>
      <c r="P464" s="2" t="str">
        <f t="shared" si="1"/>
        <v>High</v>
      </c>
    </row>
    <row r="465" spans="1:16" ht="14.25" customHeight="1" x14ac:dyDescent="0.5">
      <c r="A465" s="2" t="s">
        <v>1546</v>
      </c>
      <c r="B465" s="2" t="s">
        <v>1708</v>
      </c>
      <c r="C465" s="2" t="s">
        <v>1678</v>
      </c>
      <c r="D465" s="2" t="s">
        <v>15</v>
      </c>
      <c r="E465" s="2" t="s">
        <v>2201</v>
      </c>
      <c r="F465" s="2">
        <v>118257</v>
      </c>
      <c r="G465" s="2" t="s">
        <v>83</v>
      </c>
      <c r="H465" s="2" t="s">
        <v>1699</v>
      </c>
      <c r="I465" s="2" t="s">
        <v>1703</v>
      </c>
      <c r="J465" s="2" t="s">
        <v>1548</v>
      </c>
      <c r="K465" s="2" t="s">
        <v>1706</v>
      </c>
      <c r="L465" s="2" t="s">
        <v>1707</v>
      </c>
      <c r="M465" s="2" t="s">
        <v>1696</v>
      </c>
      <c r="N465" s="2">
        <v>0.15</v>
      </c>
      <c r="O465" s="2">
        <v>135995.54999999999</v>
      </c>
      <c r="P465" s="2" t="str">
        <f t="shared" si="1"/>
        <v>High</v>
      </c>
    </row>
    <row r="466" spans="1:16" ht="14.25" customHeight="1" x14ac:dyDescent="0.5">
      <c r="A466" s="2" t="s">
        <v>1549</v>
      </c>
      <c r="B466" s="2" t="s">
        <v>1877</v>
      </c>
      <c r="C466" s="2" t="s">
        <v>1671</v>
      </c>
      <c r="D466" s="2" t="s">
        <v>34</v>
      </c>
      <c r="E466" s="2" t="s">
        <v>2004</v>
      </c>
      <c r="F466" s="2">
        <v>101215</v>
      </c>
      <c r="G466" s="2" t="s">
        <v>44</v>
      </c>
      <c r="H466" s="2" t="s">
        <v>45</v>
      </c>
      <c r="I466" s="2" t="s">
        <v>1681</v>
      </c>
      <c r="J466" s="2" t="s">
        <v>1551</v>
      </c>
      <c r="K466" s="2" t="s">
        <v>1706</v>
      </c>
      <c r="L466" s="2" t="s">
        <v>1707</v>
      </c>
      <c r="M466" s="2" t="s">
        <v>1750</v>
      </c>
      <c r="N466" s="2">
        <v>0.2</v>
      </c>
      <c r="O466" s="2">
        <v>121458</v>
      </c>
      <c r="P466" s="2" t="str">
        <f t="shared" si="1"/>
        <v>High</v>
      </c>
    </row>
    <row r="467" spans="1:16" ht="14.25" customHeight="1" x14ac:dyDescent="0.5">
      <c r="A467" s="2" t="s">
        <v>1552</v>
      </c>
      <c r="B467" s="2" t="s">
        <v>1701</v>
      </c>
      <c r="C467" s="2" t="s">
        <v>1717</v>
      </c>
      <c r="D467" s="2" t="s">
        <v>50</v>
      </c>
      <c r="E467" s="2" t="s">
        <v>2202</v>
      </c>
      <c r="F467" s="2">
        <v>95835</v>
      </c>
      <c r="G467" s="2" t="s">
        <v>17</v>
      </c>
      <c r="H467" s="2" t="s">
        <v>1680</v>
      </c>
      <c r="I467" s="2" t="s">
        <v>1681</v>
      </c>
      <c r="J467" s="2" t="s">
        <v>1554</v>
      </c>
      <c r="K467" s="2" t="s">
        <v>1691</v>
      </c>
      <c r="L467" s="2" t="s">
        <v>1692</v>
      </c>
      <c r="M467" s="2" t="s">
        <v>1719</v>
      </c>
      <c r="N467" s="2">
        <v>0.2</v>
      </c>
      <c r="O467" s="2">
        <v>115002</v>
      </c>
      <c r="P467" s="2" t="str">
        <f t="shared" si="1"/>
        <v>High</v>
      </c>
    </row>
    <row r="468" spans="1:16" ht="14.25" customHeight="1" x14ac:dyDescent="0.5">
      <c r="A468" s="2" t="s">
        <v>1555</v>
      </c>
      <c r="B468" s="2" t="s">
        <v>1865</v>
      </c>
      <c r="C468" s="2" t="s">
        <v>1717</v>
      </c>
      <c r="D468" s="2" t="s">
        <v>50</v>
      </c>
      <c r="E468" s="2" t="s">
        <v>2203</v>
      </c>
      <c r="F468" s="2">
        <v>89429</v>
      </c>
      <c r="G468" s="2" t="s">
        <v>17</v>
      </c>
      <c r="H468" s="2" t="s">
        <v>1699</v>
      </c>
      <c r="I468" s="2" t="s">
        <v>1673</v>
      </c>
      <c r="J468" s="2" t="s">
        <v>1557</v>
      </c>
      <c r="K468" s="2" t="s">
        <v>1691</v>
      </c>
      <c r="L468" s="2" t="s">
        <v>1692</v>
      </c>
      <c r="M468" s="2" t="s">
        <v>1700</v>
      </c>
      <c r="N468" s="2">
        <v>0.05</v>
      </c>
      <c r="O468" s="2">
        <v>93900.45</v>
      </c>
      <c r="P468" s="2" t="str">
        <f t="shared" si="1"/>
        <v>Normal</v>
      </c>
    </row>
    <row r="469" spans="1:16" ht="14.25" customHeight="1" x14ac:dyDescent="0.5">
      <c r="A469" s="2" t="s">
        <v>1558</v>
      </c>
      <c r="B469" s="2" t="s">
        <v>1930</v>
      </c>
      <c r="C469" s="2" t="s">
        <v>1694</v>
      </c>
      <c r="D469" s="2" t="s">
        <v>15</v>
      </c>
      <c r="E469" s="2" t="s">
        <v>2112</v>
      </c>
      <c r="F469" s="2">
        <v>78458</v>
      </c>
      <c r="G469" s="2" t="s">
        <v>17</v>
      </c>
      <c r="H469" s="2" t="s">
        <v>1680</v>
      </c>
      <c r="I469" s="2" t="s">
        <v>77</v>
      </c>
      <c r="J469" s="2" t="s">
        <v>1560</v>
      </c>
      <c r="K469" s="2" t="s">
        <v>1691</v>
      </c>
      <c r="L469" s="2" t="s">
        <v>1692</v>
      </c>
      <c r="M469" s="2" t="s">
        <v>1750</v>
      </c>
      <c r="N469" s="2">
        <v>0.2</v>
      </c>
      <c r="O469" s="2">
        <v>94149.599999999991</v>
      </c>
      <c r="P469" s="2" t="str">
        <f t="shared" si="1"/>
        <v>Normal</v>
      </c>
    </row>
    <row r="470" spans="1:16" ht="14.25" customHeight="1" x14ac:dyDescent="0.5">
      <c r="A470" s="2" t="s">
        <v>1561</v>
      </c>
      <c r="B470" s="2" t="s">
        <v>1720</v>
      </c>
      <c r="C470" s="2" t="s">
        <v>1709</v>
      </c>
      <c r="D470" s="2" t="s">
        <v>50</v>
      </c>
      <c r="E470" s="2" t="s">
        <v>2204</v>
      </c>
      <c r="F470" s="2">
        <v>86169</v>
      </c>
      <c r="G470" s="2" t="s">
        <v>44</v>
      </c>
      <c r="H470" s="2" t="s">
        <v>1680</v>
      </c>
      <c r="I470" s="2" t="s">
        <v>77</v>
      </c>
      <c r="J470" s="2" t="s">
        <v>1563</v>
      </c>
      <c r="K470" s="2" t="s">
        <v>1686</v>
      </c>
      <c r="L470" s="2" t="s">
        <v>1687</v>
      </c>
      <c r="M470" s="2" t="s">
        <v>1688</v>
      </c>
      <c r="N470" s="2">
        <v>0.1</v>
      </c>
      <c r="O470" s="2">
        <v>94785.900000000009</v>
      </c>
      <c r="P470" s="2" t="str">
        <f t="shared" si="1"/>
        <v>Normal</v>
      </c>
    </row>
    <row r="471" spans="1:16" ht="14.25" customHeight="1" x14ac:dyDescent="0.5">
      <c r="A471" s="2" t="s">
        <v>1564</v>
      </c>
      <c r="B471" s="2" t="s">
        <v>2023</v>
      </c>
      <c r="C471" s="2" t="s">
        <v>1683</v>
      </c>
      <c r="D471" s="2" t="s">
        <v>15</v>
      </c>
      <c r="E471" s="2" t="s">
        <v>2205</v>
      </c>
      <c r="F471" s="2">
        <v>47659</v>
      </c>
      <c r="G471" s="2" t="s">
        <v>57</v>
      </c>
      <c r="H471" s="2" t="s">
        <v>45</v>
      </c>
      <c r="I471" s="2" t="s">
        <v>1703</v>
      </c>
      <c r="J471" s="2" t="s">
        <v>1566</v>
      </c>
      <c r="K471" s="2" t="s">
        <v>1674</v>
      </c>
      <c r="L471" s="2" t="s">
        <v>1675</v>
      </c>
      <c r="M471" s="2" t="s">
        <v>1676</v>
      </c>
      <c r="N471" s="2">
        <v>0.05</v>
      </c>
      <c r="O471" s="2">
        <v>50041.950000000004</v>
      </c>
      <c r="P471" s="2" t="str">
        <f t="shared" si="1"/>
        <v>Normal</v>
      </c>
    </row>
    <row r="472" spans="1:16" ht="14.25" customHeight="1" x14ac:dyDescent="0.5">
      <c r="A472" s="2" t="s">
        <v>1567</v>
      </c>
      <c r="B472" s="2" t="s">
        <v>1768</v>
      </c>
      <c r="C472" s="2" t="s">
        <v>1721</v>
      </c>
      <c r="D472" s="2" t="s">
        <v>34</v>
      </c>
      <c r="E472" s="2" t="s">
        <v>1988</v>
      </c>
      <c r="F472" s="2">
        <v>100614</v>
      </c>
      <c r="G472" s="2" t="s">
        <v>44</v>
      </c>
      <c r="H472" s="2" t="s">
        <v>45</v>
      </c>
      <c r="I472" s="2" t="s">
        <v>1681</v>
      </c>
      <c r="J472" s="2" t="s">
        <v>1569</v>
      </c>
      <c r="K472" s="2" t="s">
        <v>1691</v>
      </c>
      <c r="L472" s="2" t="s">
        <v>1692</v>
      </c>
      <c r="M472" s="2" t="s">
        <v>1700</v>
      </c>
      <c r="N472" s="2">
        <v>0.05</v>
      </c>
      <c r="O472" s="2">
        <v>105644.70000000001</v>
      </c>
      <c r="P472" s="2" t="str">
        <f t="shared" si="1"/>
        <v>High</v>
      </c>
    </row>
    <row r="473" spans="1:16" ht="14.25" customHeight="1" x14ac:dyDescent="0.5">
      <c r="A473" s="2" t="s">
        <v>1570</v>
      </c>
      <c r="B473" s="2" t="s">
        <v>1779</v>
      </c>
      <c r="C473" s="2" t="s">
        <v>1733</v>
      </c>
      <c r="D473" s="2" t="s">
        <v>75</v>
      </c>
      <c r="E473" s="2" t="s">
        <v>2206</v>
      </c>
      <c r="F473" s="2">
        <v>117240</v>
      </c>
      <c r="G473" s="2" t="s">
        <v>36</v>
      </c>
      <c r="H473" s="2" t="s">
        <v>1680</v>
      </c>
      <c r="I473" s="2" t="s">
        <v>77</v>
      </c>
      <c r="J473" s="2" t="s">
        <v>1572</v>
      </c>
      <c r="K473" s="2" t="s">
        <v>1691</v>
      </c>
      <c r="L473" s="2" t="s">
        <v>1692</v>
      </c>
      <c r="M473" s="2" t="s">
        <v>1711</v>
      </c>
      <c r="N473" s="2">
        <v>0.1</v>
      </c>
      <c r="O473" s="2">
        <v>128964.00000000001</v>
      </c>
      <c r="P473" s="2" t="str">
        <f t="shared" si="1"/>
        <v>High</v>
      </c>
    </row>
    <row r="474" spans="1:16" ht="14.25" customHeight="1" x14ac:dyDescent="0.5">
      <c r="A474" s="2" t="s">
        <v>1573</v>
      </c>
      <c r="B474" s="2" t="s">
        <v>1689</v>
      </c>
      <c r="C474" s="2" t="s">
        <v>1694</v>
      </c>
      <c r="D474" s="2" t="s">
        <v>15</v>
      </c>
      <c r="E474" s="2" t="s">
        <v>2207</v>
      </c>
      <c r="F474" s="2">
        <v>72793</v>
      </c>
      <c r="G474" s="2" t="s">
        <v>44</v>
      </c>
      <c r="H474" s="2" t="s">
        <v>1680</v>
      </c>
      <c r="I474" s="2" t="s">
        <v>77</v>
      </c>
      <c r="J474" s="2" t="s">
        <v>1575</v>
      </c>
      <c r="K474" s="2" t="s">
        <v>1686</v>
      </c>
      <c r="L474" s="2" t="s">
        <v>1687</v>
      </c>
      <c r="M474" s="2" t="s">
        <v>1693</v>
      </c>
      <c r="N474" s="2">
        <v>0.2</v>
      </c>
      <c r="O474" s="2">
        <v>87351.599999999991</v>
      </c>
      <c r="P474" s="2" t="str">
        <f t="shared" si="1"/>
        <v>Normal</v>
      </c>
    </row>
    <row r="475" spans="1:16" ht="14.25" customHeight="1" x14ac:dyDescent="0.5">
      <c r="A475" s="2" t="s">
        <v>1576</v>
      </c>
      <c r="B475" s="2" t="s">
        <v>1816</v>
      </c>
      <c r="C475" s="2" t="s">
        <v>1709</v>
      </c>
      <c r="D475" s="2" t="s">
        <v>100</v>
      </c>
      <c r="E475" s="2" t="s">
        <v>2208</v>
      </c>
      <c r="F475" s="2">
        <v>86473</v>
      </c>
      <c r="G475" s="2" t="s">
        <v>17</v>
      </c>
      <c r="H475" s="2" t="s">
        <v>1680</v>
      </c>
      <c r="I475" s="2" t="s">
        <v>1703</v>
      </c>
      <c r="J475" s="2" t="s">
        <v>1578</v>
      </c>
      <c r="K475" s="2" t="s">
        <v>1691</v>
      </c>
      <c r="L475" s="2" t="s">
        <v>1692</v>
      </c>
      <c r="M475" s="2" t="s">
        <v>1688</v>
      </c>
      <c r="N475" s="2">
        <v>0.2</v>
      </c>
      <c r="O475" s="2">
        <v>103767.59999999999</v>
      </c>
      <c r="P475" s="2" t="str">
        <f t="shared" si="1"/>
        <v>High</v>
      </c>
    </row>
    <row r="476" spans="1:16" ht="14.25" customHeight="1" x14ac:dyDescent="0.5">
      <c r="A476" s="2" t="s">
        <v>1579</v>
      </c>
      <c r="B476" s="2" t="s">
        <v>1798</v>
      </c>
      <c r="C476" s="2" t="s">
        <v>1717</v>
      </c>
      <c r="D476" s="2" t="s">
        <v>50</v>
      </c>
      <c r="E476" s="2" t="s">
        <v>2209</v>
      </c>
      <c r="F476" s="2">
        <v>95751</v>
      </c>
      <c r="G476" s="2" t="s">
        <v>83</v>
      </c>
      <c r="H476" s="2" t="s">
        <v>1699</v>
      </c>
      <c r="I476" s="2" t="s">
        <v>1681</v>
      </c>
      <c r="J476" s="2" t="s">
        <v>1581</v>
      </c>
      <c r="K476" s="2" t="s">
        <v>1686</v>
      </c>
      <c r="L476" s="2" t="s">
        <v>1687</v>
      </c>
      <c r="M476" s="2" t="s">
        <v>1688</v>
      </c>
      <c r="N476" s="2">
        <v>0.2</v>
      </c>
      <c r="O476" s="2">
        <v>114901.2</v>
      </c>
      <c r="P476" s="2" t="str">
        <f t="shared" si="1"/>
        <v>High</v>
      </c>
    </row>
    <row r="477" spans="1:16" ht="14.25" customHeight="1" x14ac:dyDescent="0.5">
      <c r="A477" s="2" t="s">
        <v>1582</v>
      </c>
      <c r="B477" s="2" t="s">
        <v>2057</v>
      </c>
      <c r="C477" s="2" t="s">
        <v>1724</v>
      </c>
      <c r="D477" s="2" t="s">
        <v>15</v>
      </c>
      <c r="E477" s="2" t="s">
        <v>2210</v>
      </c>
      <c r="F477" s="2">
        <v>118915</v>
      </c>
      <c r="G477" s="2" t="s">
        <v>44</v>
      </c>
      <c r="H477" s="2" t="s">
        <v>1699</v>
      </c>
      <c r="I477" s="2" t="s">
        <v>1673</v>
      </c>
      <c r="J477" s="2" t="s">
        <v>1584</v>
      </c>
      <c r="K477" s="2" t="s">
        <v>1706</v>
      </c>
      <c r="L477" s="2" t="s">
        <v>1707</v>
      </c>
      <c r="M477" s="2" t="s">
        <v>1688</v>
      </c>
      <c r="N477" s="2">
        <v>0.05</v>
      </c>
      <c r="O477" s="2">
        <v>124860.75</v>
      </c>
      <c r="P477" s="2" t="str">
        <f t="shared" si="1"/>
        <v>High</v>
      </c>
    </row>
    <row r="478" spans="1:16" ht="14.25" customHeight="1" x14ac:dyDescent="0.5">
      <c r="A478" s="2" t="s">
        <v>1585</v>
      </c>
      <c r="B478" s="2" t="s">
        <v>1770</v>
      </c>
      <c r="C478" s="2" t="s">
        <v>1733</v>
      </c>
      <c r="D478" s="2" t="s">
        <v>15</v>
      </c>
      <c r="E478" s="2" t="s">
        <v>2211</v>
      </c>
      <c r="F478" s="2">
        <v>94254</v>
      </c>
      <c r="G478" s="2" t="s">
        <v>44</v>
      </c>
      <c r="H478" s="2" t="s">
        <v>45</v>
      </c>
      <c r="I478" s="2" t="s">
        <v>1673</v>
      </c>
      <c r="J478" s="2" t="s">
        <v>1587</v>
      </c>
      <c r="K478" s="2" t="s">
        <v>1691</v>
      </c>
      <c r="L478" s="2" t="s">
        <v>1692</v>
      </c>
      <c r="M478" s="2" t="s">
        <v>1700</v>
      </c>
      <c r="N478" s="2">
        <v>0.05</v>
      </c>
      <c r="O478" s="2">
        <v>98966.7</v>
      </c>
      <c r="P478" s="2" t="str">
        <f t="shared" si="1"/>
        <v>Normal</v>
      </c>
    </row>
    <row r="479" spans="1:16" ht="14.25" customHeight="1" x14ac:dyDescent="0.5">
      <c r="A479" s="2" t="s">
        <v>1588</v>
      </c>
      <c r="B479" s="2" t="s">
        <v>1884</v>
      </c>
      <c r="C479" s="2" t="s">
        <v>1709</v>
      </c>
      <c r="D479" s="2" t="s">
        <v>34</v>
      </c>
      <c r="E479" s="2" t="s">
        <v>2032</v>
      </c>
      <c r="F479" s="2">
        <v>47006</v>
      </c>
      <c r="G479" s="2" t="s">
        <v>17</v>
      </c>
      <c r="H479" s="2" t="s">
        <v>45</v>
      </c>
      <c r="I479" s="2" t="s">
        <v>1673</v>
      </c>
      <c r="J479" s="2" t="s">
        <v>1590</v>
      </c>
      <c r="K479" s="2" t="s">
        <v>1691</v>
      </c>
      <c r="L479" s="2" t="s">
        <v>1692</v>
      </c>
      <c r="M479" s="2" t="s">
        <v>1711</v>
      </c>
      <c r="N479" s="2">
        <v>0.2</v>
      </c>
      <c r="O479" s="2">
        <v>56407.199999999997</v>
      </c>
      <c r="P479" s="2" t="str">
        <f t="shared" si="1"/>
        <v>Normal</v>
      </c>
    </row>
    <row r="480" spans="1:16" ht="14.25" customHeight="1" x14ac:dyDescent="0.5">
      <c r="A480" s="2" t="s">
        <v>1591</v>
      </c>
      <c r="B480" s="2" t="s">
        <v>1814</v>
      </c>
      <c r="C480" s="2" t="s">
        <v>1709</v>
      </c>
      <c r="D480" s="2" t="s">
        <v>50</v>
      </c>
      <c r="E480" s="2" t="s">
        <v>2212</v>
      </c>
      <c r="F480" s="2">
        <v>114218</v>
      </c>
      <c r="G480" s="2" t="s">
        <v>83</v>
      </c>
      <c r="H480" s="2" t="s">
        <v>45</v>
      </c>
      <c r="I480" s="2" t="s">
        <v>77</v>
      </c>
      <c r="J480" s="2" t="s">
        <v>1593</v>
      </c>
      <c r="K480" s="2" t="s">
        <v>1706</v>
      </c>
      <c r="L480" s="2" t="s">
        <v>1707</v>
      </c>
      <c r="M480" s="2" t="s">
        <v>1676</v>
      </c>
      <c r="N480" s="2">
        <v>0.15</v>
      </c>
      <c r="O480" s="2">
        <v>131350.69999999998</v>
      </c>
      <c r="P480" s="2" t="str">
        <f t="shared" si="1"/>
        <v>High</v>
      </c>
    </row>
    <row r="481" spans="1:16" ht="14.25" customHeight="1" x14ac:dyDescent="0.5">
      <c r="A481" s="2" t="s">
        <v>1594</v>
      </c>
      <c r="B481" s="2" t="s">
        <v>1759</v>
      </c>
      <c r="C481" s="2" t="s">
        <v>1694</v>
      </c>
      <c r="D481" s="2" t="s">
        <v>75</v>
      </c>
      <c r="E481" s="2" t="s">
        <v>2213</v>
      </c>
      <c r="F481" s="2">
        <v>105344</v>
      </c>
      <c r="G481" s="2" t="s">
        <v>83</v>
      </c>
      <c r="H481" s="2" t="s">
        <v>1680</v>
      </c>
      <c r="I481" s="2" t="s">
        <v>1681</v>
      </c>
      <c r="J481" s="2" t="s">
        <v>1596</v>
      </c>
      <c r="K481" s="2" t="s">
        <v>1706</v>
      </c>
      <c r="L481" s="2" t="s">
        <v>1707</v>
      </c>
      <c r="M481" s="2" t="s">
        <v>1750</v>
      </c>
      <c r="N481" s="2">
        <v>0.2</v>
      </c>
      <c r="O481" s="2">
        <v>126412.79999999999</v>
      </c>
      <c r="P481" s="2" t="str">
        <f t="shared" si="1"/>
        <v>High</v>
      </c>
    </row>
    <row r="482" spans="1:16" ht="14.25" customHeight="1" x14ac:dyDescent="0.5">
      <c r="A482" s="2" t="s">
        <v>1597</v>
      </c>
      <c r="B482" s="2" t="s">
        <v>1720</v>
      </c>
      <c r="C482" s="2" t="s">
        <v>1733</v>
      </c>
      <c r="D482" s="2" t="s">
        <v>34</v>
      </c>
      <c r="E482" s="2" t="s">
        <v>2214</v>
      </c>
      <c r="F482" s="2">
        <v>73840</v>
      </c>
      <c r="G482" s="2" t="s">
        <v>36</v>
      </c>
      <c r="H482" s="2" t="s">
        <v>45</v>
      </c>
      <c r="I482" s="2" t="s">
        <v>1681</v>
      </c>
      <c r="J482" s="2" t="s">
        <v>1599</v>
      </c>
      <c r="K482" s="2" t="s">
        <v>1706</v>
      </c>
      <c r="L482" s="2" t="s">
        <v>1707</v>
      </c>
      <c r="M482" s="2" t="s">
        <v>1696</v>
      </c>
      <c r="N482" s="2">
        <v>0.1</v>
      </c>
      <c r="O482" s="2">
        <v>81224</v>
      </c>
      <c r="P482" s="2" t="str">
        <f t="shared" si="1"/>
        <v>Normal</v>
      </c>
    </row>
    <row r="483" spans="1:16" ht="14.25" customHeight="1" x14ac:dyDescent="0.5">
      <c r="A483" s="2" t="s">
        <v>1600</v>
      </c>
      <c r="B483" s="2" t="s">
        <v>1963</v>
      </c>
      <c r="C483" s="2" t="s">
        <v>1785</v>
      </c>
      <c r="D483" s="2" t="s">
        <v>75</v>
      </c>
      <c r="E483" s="2" t="s">
        <v>1966</v>
      </c>
      <c r="F483" s="2">
        <v>72430</v>
      </c>
      <c r="G483" s="2" t="s">
        <v>44</v>
      </c>
      <c r="H483" s="2" t="s">
        <v>45</v>
      </c>
      <c r="I483" s="2" t="s">
        <v>77</v>
      </c>
      <c r="J483" s="2" t="s">
        <v>1602</v>
      </c>
      <c r="K483" s="2" t="s">
        <v>1691</v>
      </c>
      <c r="L483" s="2" t="s">
        <v>1692</v>
      </c>
      <c r="M483" s="2" t="s">
        <v>1711</v>
      </c>
      <c r="N483" s="2">
        <v>0.05</v>
      </c>
      <c r="O483" s="2">
        <v>76051.5</v>
      </c>
      <c r="P483" s="2" t="str">
        <f t="shared" si="1"/>
        <v>Normal</v>
      </c>
    </row>
    <row r="484" spans="1:16" ht="14.25" customHeight="1" x14ac:dyDescent="0.5">
      <c r="A484" s="2" t="s">
        <v>1603</v>
      </c>
      <c r="B484" s="2" t="s">
        <v>1809</v>
      </c>
      <c r="C484" s="2" t="s">
        <v>1683</v>
      </c>
      <c r="D484" s="2" t="s">
        <v>34</v>
      </c>
      <c r="E484" s="2" t="s">
        <v>2215</v>
      </c>
      <c r="F484" s="2">
        <v>63091</v>
      </c>
      <c r="G484" s="2" t="s">
        <v>83</v>
      </c>
      <c r="H484" s="2" t="s">
        <v>1699</v>
      </c>
      <c r="I484" s="2" t="s">
        <v>1673</v>
      </c>
      <c r="J484" s="2" t="s">
        <v>1605</v>
      </c>
      <c r="K484" s="2" t="s">
        <v>1674</v>
      </c>
      <c r="L484" s="2" t="s">
        <v>1675</v>
      </c>
      <c r="M484" s="2" t="s">
        <v>1700</v>
      </c>
      <c r="N484" s="2">
        <v>0.1</v>
      </c>
      <c r="O484" s="2">
        <v>69400.100000000006</v>
      </c>
      <c r="P484" s="2" t="str">
        <f t="shared" si="1"/>
        <v>Normal</v>
      </c>
    </row>
    <row r="485" spans="1:16" ht="14.25" customHeight="1" x14ac:dyDescent="0.5">
      <c r="A485" s="2" t="s">
        <v>1606</v>
      </c>
      <c r="B485" s="2" t="s">
        <v>1712</v>
      </c>
      <c r="C485" s="2" t="s">
        <v>1785</v>
      </c>
      <c r="D485" s="2" t="s">
        <v>50</v>
      </c>
      <c r="E485" s="2" t="s">
        <v>2202</v>
      </c>
      <c r="F485" s="2">
        <v>72983</v>
      </c>
      <c r="G485" s="2" t="s">
        <v>83</v>
      </c>
      <c r="H485" s="2" t="s">
        <v>1699</v>
      </c>
      <c r="I485" s="2" t="s">
        <v>1673</v>
      </c>
      <c r="J485" s="2" t="s">
        <v>1608</v>
      </c>
      <c r="K485" s="2" t="s">
        <v>1674</v>
      </c>
      <c r="L485" s="2" t="s">
        <v>1675</v>
      </c>
      <c r="M485" s="2" t="s">
        <v>1688</v>
      </c>
      <c r="N485" s="2">
        <v>0.1</v>
      </c>
      <c r="O485" s="2">
        <v>80281.3</v>
      </c>
      <c r="P485" s="2" t="str">
        <f t="shared" si="1"/>
        <v>Normal</v>
      </c>
    </row>
    <row r="486" spans="1:16" ht="14.25" customHeight="1" x14ac:dyDescent="0.5">
      <c r="A486" s="2" t="s">
        <v>1609</v>
      </c>
      <c r="B486" s="2" t="s">
        <v>1743</v>
      </c>
      <c r="C486" s="2" t="s">
        <v>1733</v>
      </c>
      <c r="D486" s="2" t="s">
        <v>42</v>
      </c>
      <c r="E486" s="2" t="s">
        <v>2008</v>
      </c>
      <c r="F486" s="2">
        <v>63989</v>
      </c>
      <c r="G486" s="2" t="s">
        <v>57</v>
      </c>
      <c r="H486" s="2" t="s">
        <v>1680</v>
      </c>
      <c r="I486" s="2" t="s">
        <v>1703</v>
      </c>
      <c r="J486" s="2" t="s">
        <v>1611</v>
      </c>
      <c r="K486" s="2" t="s">
        <v>1674</v>
      </c>
      <c r="L486" s="2" t="s">
        <v>1675</v>
      </c>
      <c r="M486" s="2" t="s">
        <v>1693</v>
      </c>
      <c r="N486" s="2">
        <v>0.05</v>
      </c>
      <c r="O486" s="2">
        <v>67188.45</v>
      </c>
      <c r="P486" s="2" t="str">
        <f t="shared" si="1"/>
        <v>Normal</v>
      </c>
    </row>
    <row r="487" spans="1:16" ht="14.25" customHeight="1" x14ac:dyDescent="0.5">
      <c r="A487" s="2" t="s">
        <v>1612</v>
      </c>
      <c r="B487" s="2" t="s">
        <v>1977</v>
      </c>
      <c r="C487" s="2" t="s">
        <v>1785</v>
      </c>
      <c r="D487" s="2" t="s">
        <v>50</v>
      </c>
      <c r="E487" s="2" t="s">
        <v>2216</v>
      </c>
      <c r="F487" s="2">
        <v>115451</v>
      </c>
      <c r="G487" s="2" t="s">
        <v>57</v>
      </c>
      <c r="H487" s="2" t="s">
        <v>45</v>
      </c>
      <c r="I487" s="2" t="s">
        <v>77</v>
      </c>
      <c r="J487" s="2" t="s">
        <v>1614</v>
      </c>
      <c r="K487" s="2" t="s">
        <v>1691</v>
      </c>
      <c r="L487" s="2" t="s">
        <v>1692</v>
      </c>
      <c r="M487" s="2" t="s">
        <v>1688</v>
      </c>
      <c r="N487" s="2">
        <v>0.15</v>
      </c>
      <c r="O487" s="2">
        <v>132768.65</v>
      </c>
      <c r="P487" s="2" t="str">
        <f t="shared" si="1"/>
        <v>High</v>
      </c>
    </row>
    <row r="488" spans="1:16" ht="14.25" customHeight="1" x14ac:dyDescent="0.5">
      <c r="A488" s="2" t="s">
        <v>1615</v>
      </c>
      <c r="B488" s="2" t="s">
        <v>1914</v>
      </c>
      <c r="C488" s="2" t="s">
        <v>1671</v>
      </c>
      <c r="D488" s="2" t="s">
        <v>50</v>
      </c>
      <c r="E488" s="2" t="s">
        <v>1767</v>
      </c>
      <c r="F488" s="2">
        <v>58990</v>
      </c>
      <c r="G488" s="2" t="s">
        <v>83</v>
      </c>
      <c r="H488" s="2" t="s">
        <v>1680</v>
      </c>
      <c r="I488" s="2" t="s">
        <v>1685</v>
      </c>
      <c r="J488" s="2" t="s">
        <v>1617</v>
      </c>
      <c r="K488" s="2" t="s">
        <v>1706</v>
      </c>
      <c r="L488" s="2" t="s">
        <v>1707</v>
      </c>
      <c r="M488" s="2" t="s">
        <v>1750</v>
      </c>
      <c r="N488" s="2">
        <v>0.2</v>
      </c>
      <c r="O488" s="2">
        <v>70788</v>
      </c>
      <c r="P488" s="2" t="str">
        <f t="shared" si="1"/>
        <v>Normal</v>
      </c>
    </row>
    <row r="489" spans="1:16" ht="14.25" customHeight="1" x14ac:dyDescent="0.5">
      <c r="A489" s="2" t="s">
        <v>1618</v>
      </c>
      <c r="B489" s="2" t="s">
        <v>1697</v>
      </c>
      <c r="C489" s="2" t="s">
        <v>1717</v>
      </c>
      <c r="D489" s="2" t="s">
        <v>75</v>
      </c>
      <c r="E489" s="2" t="s">
        <v>1911</v>
      </c>
      <c r="F489" s="2">
        <v>76081</v>
      </c>
      <c r="G489" s="2" t="s">
        <v>36</v>
      </c>
      <c r="H489" s="2" t="s">
        <v>1680</v>
      </c>
      <c r="I489" s="2" t="s">
        <v>77</v>
      </c>
      <c r="J489" s="2" t="s">
        <v>1620</v>
      </c>
      <c r="K489" s="2" t="s">
        <v>1691</v>
      </c>
      <c r="L489" s="2" t="s">
        <v>1692</v>
      </c>
      <c r="M489" s="2" t="s">
        <v>1719</v>
      </c>
      <c r="N489" s="2">
        <v>0.1</v>
      </c>
      <c r="O489" s="2">
        <v>83689.100000000006</v>
      </c>
      <c r="P489" s="2" t="str">
        <f t="shared" si="1"/>
        <v>Normal</v>
      </c>
    </row>
    <row r="490" spans="1:16" ht="14.25" customHeight="1" x14ac:dyDescent="0.5">
      <c r="A490" s="2" t="s">
        <v>1621</v>
      </c>
      <c r="B490" s="2" t="s">
        <v>1697</v>
      </c>
      <c r="C490" s="2" t="s">
        <v>1671</v>
      </c>
      <c r="D490" s="2" t="s">
        <v>75</v>
      </c>
      <c r="E490" s="2" t="s">
        <v>2217</v>
      </c>
      <c r="F490" s="2">
        <v>51033</v>
      </c>
      <c r="G490" s="2" t="s">
        <v>83</v>
      </c>
      <c r="H490" s="2" t="s">
        <v>1680</v>
      </c>
      <c r="I490" s="2" t="s">
        <v>1681</v>
      </c>
      <c r="J490" s="2" t="s">
        <v>1623</v>
      </c>
      <c r="K490" s="2" t="s">
        <v>1706</v>
      </c>
      <c r="L490" s="2" t="s">
        <v>1707</v>
      </c>
      <c r="M490" s="2" t="s">
        <v>1693</v>
      </c>
      <c r="N490" s="2">
        <v>0.05</v>
      </c>
      <c r="O490" s="2">
        <v>53584.65</v>
      </c>
      <c r="P490" s="2" t="str">
        <f t="shared" si="1"/>
        <v>Normal</v>
      </c>
    </row>
    <row r="491" spans="1:16" ht="14.25" customHeight="1" x14ac:dyDescent="0.5">
      <c r="A491" s="2" t="s">
        <v>1624</v>
      </c>
      <c r="B491" s="2" t="s">
        <v>1677</v>
      </c>
      <c r="C491" s="2" t="s">
        <v>1678</v>
      </c>
      <c r="D491" s="2" t="s">
        <v>50</v>
      </c>
      <c r="E491" s="2" t="s">
        <v>2218</v>
      </c>
      <c r="F491" s="2">
        <v>56241</v>
      </c>
      <c r="G491" s="2" t="s">
        <v>17</v>
      </c>
      <c r="H491" s="2" t="s">
        <v>1699</v>
      </c>
      <c r="I491" s="2" t="s">
        <v>1681</v>
      </c>
      <c r="J491" s="2" t="s">
        <v>1626</v>
      </c>
      <c r="K491" s="2" t="s">
        <v>1691</v>
      </c>
      <c r="L491" s="2" t="s">
        <v>1692</v>
      </c>
      <c r="M491" s="2" t="s">
        <v>1688</v>
      </c>
      <c r="N491" s="2">
        <v>0.1</v>
      </c>
      <c r="O491" s="2">
        <v>61865.100000000006</v>
      </c>
      <c r="P491" s="2" t="str">
        <f t="shared" si="1"/>
        <v>Normal</v>
      </c>
    </row>
    <row r="492" spans="1:16" ht="14.25" customHeight="1" x14ac:dyDescent="0.5">
      <c r="A492" s="2" t="s">
        <v>1627</v>
      </c>
      <c r="B492" s="2" t="s">
        <v>1751</v>
      </c>
      <c r="C492" s="2" t="s">
        <v>1785</v>
      </c>
      <c r="D492" s="2" t="s">
        <v>50</v>
      </c>
      <c r="E492" s="2" t="s">
        <v>2219</v>
      </c>
      <c r="F492" s="2">
        <v>45939</v>
      </c>
      <c r="G492" s="2" t="s">
        <v>44</v>
      </c>
      <c r="H492" s="2" t="s">
        <v>45</v>
      </c>
      <c r="I492" s="2" t="s">
        <v>1681</v>
      </c>
      <c r="J492" s="2" t="s">
        <v>1629</v>
      </c>
      <c r="K492" s="2" t="s">
        <v>1691</v>
      </c>
      <c r="L492" s="2" t="s">
        <v>1692</v>
      </c>
      <c r="M492" s="2" t="s">
        <v>1676</v>
      </c>
      <c r="N492" s="2">
        <v>0.2</v>
      </c>
      <c r="O492" s="2">
        <v>55126.799999999996</v>
      </c>
      <c r="P492" s="2" t="str">
        <f t="shared" si="1"/>
        <v>Normal</v>
      </c>
    </row>
    <row r="493" spans="1:16" ht="14.25" customHeight="1" x14ac:dyDescent="0.5">
      <c r="A493" s="2" t="s">
        <v>1630</v>
      </c>
      <c r="B493" s="2" t="s">
        <v>1891</v>
      </c>
      <c r="C493" s="2" t="s">
        <v>1678</v>
      </c>
      <c r="D493" s="2" t="s">
        <v>50</v>
      </c>
      <c r="E493" s="2" t="s">
        <v>2220</v>
      </c>
      <c r="F493" s="2">
        <v>87562</v>
      </c>
      <c r="G493" s="2" t="s">
        <v>36</v>
      </c>
      <c r="H493" s="2" t="s">
        <v>1699</v>
      </c>
      <c r="I493" s="2" t="s">
        <v>77</v>
      </c>
      <c r="J493" s="2" t="s">
        <v>1632</v>
      </c>
      <c r="K493" s="2" t="s">
        <v>1706</v>
      </c>
      <c r="L493" s="2" t="s">
        <v>1707</v>
      </c>
      <c r="M493" s="2" t="s">
        <v>1693</v>
      </c>
      <c r="N493" s="2">
        <v>0.15</v>
      </c>
      <c r="O493" s="2">
        <v>100696.29999999999</v>
      </c>
      <c r="P493" s="2" t="str">
        <f t="shared" si="1"/>
        <v>High</v>
      </c>
    </row>
    <row r="494" spans="1:16" ht="14.25" customHeight="1" x14ac:dyDescent="0.5">
      <c r="A494" s="2" t="s">
        <v>1633</v>
      </c>
      <c r="B494" s="2" t="s">
        <v>1949</v>
      </c>
      <c r="C494" s="2" t="s">
        <v>1724</v>
      </c>
      <c r="D494" s="2" t="s">
        <v>75</v>
      </c>
      <c r="E494" s="2" t="s">
        <v>1885</v>
      </c>
      <c r="F494" s="2">
        <v>75063</v>
      </c>
      <c r="G494" s="2" t="s">
        <v>17</v>
      </c>
      <c r="H494" s="2" t="s">
        <v>45</v>
      </c>
      <c r="I494" s="2" t="s">
        <v>1685</v>
      </c>
      <c r="J494" s="2" t="s">
        <v>1635</v>
      </c>
      <c r="K494" s="2" t="s">
        <v>1674</v>
      </c>
      <c r="L494" s="2" t="s">
        <v>1675</v>
      </c>
      <c r="M494" s="2" t="s">
        <v>1719</v>
      </c>
      <c r="N494" s="2">
        <v>0.15</v>
      </c>
      <c r="O494" s="2">
        <v>86322.45</v>
      </c>
      <c r="P494" s="2" t="str">
        <f t="shared" si="1"/>
        <v>Normal</v>
      </c>
    </row>
    <row r="495" spans="1:16" ht="14.25" customHeight="1" x14ac:dyDescent="0.5">
      <c r="A495" s="2" t="s">
        <v>1636</v>
      </c>
      <c r="B495" s="2" t="s">
        <v>1743</v>
      </c>
      <c r="C495" s="2" t="s">
        <v>1721</v>
      </c>
      <c r="D495" s="2" t="s">
        <v>50</v>
      </c>
      <c r="E495" s="2" t="s">
        <v>2221</v>
      </c>
      <c r="F495" s="2">
        <v>116721</v>
      </c>
      <c r="G495" s="2" t="s">
        <v>36</v>
      </c>
      <c r="H495" s="2" t="s">
        <v>1680</v>
      </c>
      <c r="I495" s="2" t="s">
        <v>1703</v>
      </c>
      <c r="J495" s="2" t="s">
        <v>1638</v>
      </c>
      <c r="K495" s="2" t="s">
        <v>1706</v>
      </c>
      <c r="L495" s="2" t="s">
        <v>1707</v>
      </c>
      <c r="M495" s="2" t="s">
        <v>1696</v>
      </c>
      <c r="N495" s="2">
        <v>0.15</v>
      </c>
      <c r="O495" s="2">
        <v>134229.15</v>
      </c>
      <c r="P495" s="2" t="str">
        <f t="shared" si="1"/>
        <v>High</v>
      </c>
    </row>
    <row r="496" spans="1:16" ht="14.25" customHeight="1" x14ac:dyDescent="0.5">
      <c r="A496" s="2" t="s">
        <v>1639</v>
      </c>
      <c r="B496" s="2" t="s">
        <v>1958</v>
      </c>
      <c r="C496" s="2" t="s">
        <v>1724</v>
      </c>
      <c r="D496" s="2" t="s">
        <v>50</v>
      </c>
      <c r="E496" s="2" t="s">
        <v>2222</v>
      </c>
      <c r="F496" s="2">
        <v>67045</v>
      </c>
      <c r="G496" s="2" t="s">
        <v>17</v>
      </c>
      <c r="H496" s="2" t="s">
        <v>1699</v>
      </c>
      <c r="I496" s="2" t="s">
        <v>77</v>
      </c>
      <c r="J496" s="2" t="s">
        <v>1641</v>
      </c>
      <c r="K496" s="2" t="s">
        <v>1686</v>
      </c>
      <c r="L496" s="2" t="s">
        <v>1687</v>
      </c>
      <c r="M496" s="2" t="s">
        <v>1711</v>
      </c>
      <c r="N496" s="2">
        <v>0.05</v>
      </c>
      <c r="O496" s="2">
        <v>70397.25</v>
      </c>
      <c r="P496" s="2" t="str">
        <f t="shared" si="1"/>
        <v>Normal</v>
      </c>
    </row>
    <row r="497" spans="1:16" ht="14.25" customHeight="1" x14ac:dyDescent="0.5">
      <c r="A497" s="2" t="s">
        <v>1642</v>
      </c>
      <c r="B497" s="2" t="s">
        <v>2174</v>
      </c>
      <c r="C497" s="2" t="s">
        <v>1733</v>
      </c>
      <c r="D497" s="2" t="s">
        <v>69</v>
      </c>
      <c r="E497" s="2" t="s">
        <v>2223</v>
      </c>
      <c r="F497" s="2">
        <v>84769</v>
      </c>
      <c r="G497" s="2" t="s">
        <v>44</v>
      </c>
      <c r="H497" s="2" t="s">
        <v>1699</v>
      </c>
      <c r="I497" s="2" t="s">
        <v>1685</v>
      </c>
      <c r="J497" s="2" t="s">
        <v>1644</v>
      </c>
      <c r="K497" s="2" t="s">
        <v>1686</v>
      </c>
      <c r="L497" s="2" t="s">
        <v>1687</v>
      </c>
      <c r="M497" s="2" t="s">
        <v>1700</v>
      </c>
      <c r="N497" s="2">
        <v>0.05</v>
      </c>
      <c r="O497" s="2">
        <v>89007.45</v>
      </c>
      <c r="P497" s="2" t="str">
        <f t="shared" si="1"/>
        <v>Normal</v>
      </c>
    </row>
    <row r="498" spans="1:16" ht="14.25" customHeight="1" x14ac:dyDescent="0.5">
      <c r="A498" s="2" t="s">
        <v>1645</v>
      </c>
      <c r="B498" s="2" t="s">
        <v>1831</v>
      </c>
      <c r="C498" s="2" t="s">
        <v>1709</v>
      </c>
      <c r="D498" s="2" t="s">
        <v>42</v>
      </c>
      <c r="E498" s="2" t="s">
        <v>1978</v>
      </c>
      <c r="F498" s="2">
        <v>87118</v>
      </c>
      <c r="G498" s="2" t="s">
        <v>44</v>
      </c>
      <c r="H498" s="2" t="s">
        <v>45</v>
      </c>
      <c r="I498" s="2" t="s">
        <v>1673</v>
      </c>
      <c r="J498" s="2" t="s">
        <v>1647</v>
      </c>
      <c r="K498" s="2" t="s">
        <v>1706</v>
      </c>
      <c r="L498" s="2" t="s">
        <v>1707</v>
      </c>
      <c r="M498" s="2" t="s">
        <v>1696</v>
      </c>
      <c r="N498" s="2">
        <v>0.15</v>
      </c>
      <c r="O498" s="2">
        <v>100185.7</v>
      </c>
      <c r="P498" s="2" t="str">
        <f t="shared" si="1"/>
        <v>High</v>
      </c>
    </row>
    <row r="499" spans="1:16" ht="14.25" customHeight="1" x14ac:dyDescent="0.5">
      <c r="A499" s="2" t="s">
        <v>1648</v>
      </c>
      <c r="B499" s="2" t="s">
        <v>1682</v>
      </c>
      <c r="C499" s="2" t="s">
        <v>1717</v>
      </c>
      <c r="D499" s="2" t="s">
        <v>100</v>
      </c>
      <c r="E499" s="2" t="s">
        <v>2224</v>
      </c>
      <c r="F499" s="2">
        <v>61625</v>
      </c>
      <c r="G499" s="2" t="s">
        <v>57</v>
      </c>
      <c r="H499" s="2" t="s">
        <v>45</v>
      </c>
      <c r="I499" s="2" t="s">
        <v>1673</v>
      </c>
      <c r="J499" s="2" t="s">
        <v>1650</v>
      </c>
      <c r="K499" s="2" t="s">
        <v>1691</v>
      </c>
      <c r="L499" s="2" t="s">
        <v>1692</v>
      </c>
      <c r="M499" s="2" t="s">
        <v>1688</v>
      </c>
      <c r="N499" s="2">
        <v>0.2</v>
      </c>
      <c r="O499" s="2">
        <v>73950</v>
      </c>
      <c r="P499" s="2" t="str">
        <f t="shared" si="1"/>
        <v>Normal</v>
      </c>
    </row>
    <row r="500" spans="1:16" ht="14.25" customHeight="1" x14ac:dyDescent="0.5">
      <c r="A500" s="2" t="s">
        <v>1651</v>
      </c>
      <c r="B500" s="2" t="s">
        <v>1835</v>
      </c>
      <c r="C500" s="2" t="s">
        <v>1785</v>
      </c>
      <c r="D500" s="2" t="s">
        <v>42</v>
      </c>
      <c r="E500" s="2" t="s">
        <v>2225</v>
      </c>
      <c r="F500" s="2">
        <v>67076</v>
      </c>
      <c r="G500" s="2" t="s">
        <v>17</v>
      </c>
      <c r="H500" s="2" t="s">
        <v>1680</v>
      </c>
      <c r="I500" s="2" t="s">
        <v>1681</v>
      </c>
      <c r="J500" s="2" t="s">
        <v>1653</v>
      </c>
      <c r="K500" s="2" t="s">
        <v>1686</v>
      </c>
      <c r="L500" s="2" t="s">
        <v>1687</v>
      </c>
      <c r="M500" s="2" t="s">
        <v>1750</v>
      </c>
      <c r="N500" s="2">
        <v>0.2</v>
      </c>
      <c r="O500" s="2">
        <v>80491.199999999997</v>
      </c>
      <c r="P500" s="2" t="str">
        <f t="shared" si="1"/>
        <v>Normal</v>
      </c>
    </row>
    <row r="501" spans="1:16" ht="14.25" customHeight="1" x14ac:dyDescent="0.5">
      <c r="A501" s="2" t="s">
        <v>1654</v>
      </c>
      <c r="B501" s="2" t="s">
        <v>1945</v>
      </c>
      <c r="C501" s="2" t="s">
        <v>1694</v>
      </c>
      <c r="D501" s="2" t="s">
        <v>69</v>
      </c>
      <c r="E501" s="2" t="s">
        <v>2226</v>
      </c>
      <c r="F501" s="2">
        <v>104805</v>
      </c>
      <c r="G501" s="2" t="s">
        <v>57</v>
      </c>
      <c r="H501" s="2" t="s">
        <v>1699</v>
      </c>
      <c r="I501" s="2" t="s">
        <v>77</v>
      </c>
      <c r="J501" s="2" t="s">
        <v>1656</v>
      </c>
      <c r="K501" s="2" t="s">
        <v>1686</v>
      </c>
      <c r="L501" s="2" t="s">
        <v>1687</v>
      </c>
      <c r="M501" s="2" t="s">
        <v>1711</v>
      </c>
      <c r="N501" s="2">
        <v>0.05</v>
      </c>
      <c r="O501" s="2">
        <v>110045.25</v>
      </c>
      <c r="P501" s="2" t="str">
        <f t="shared" si="1"/>
        <v>High</v>
      </c>
    </row>
    <row r="502" spans="1:16" ht="14.25" customHeight="1" x14ac:dyDescent="0.5"/>
    <row r="503" spans="1:16" ht="14.25" customHeight="1" x14ac:dyDescent="0.5"/>
    <row r="504" spans="1:16" ht="14.25" customHeight="1" x14ac:dyDescent="0.5"/>
    <row r="505" spans="1:16" ht="14.25" customHeight="1" x14ac:dyDescent="0.5"/>
    <row r="506" spans="1:16" ht="14.25" customHeight="1" x14ac:dyDescent="0.5"/>
    <row r="507" spans="1:16" ht="14.25" customHeight="1" x14ac:dyDescent="0.5"/>
    <row r="508" spans="1:16" ht="14.25" customHeight="1" x14ac:dyDescent="0.5"/>
    <row r="509" spans="1:16" ht="14.25" customHeight="1" x14ac:dyDescent="0.5"/>
    <row r="510" spans="1:16" ht="14.25" customHeight="1" x14ac:dyDescent="0.5"/>
    <row r="511" spans="1:16" ht="14.25" customHeight="1" x14ac:dyDescent="0.5"/>
    <row r="512" spans="1:16" ht="14.25" customHeight="1" x14ac:dyDescent="0.5"/>
    <row r="513" ht="14.25" customHeight="1" x14ac:dyDescent="0.5"/>
    <row r="514" ht="14.25" customHeight="1" x14ac:dyDescent="0.5"/>
    <row r="515" ht="14.25" customHeight="1" x14ac:dyDescent="0.5"/>
    <row r="516" ht="14.25" customHeight="1" x14ac:dyDescent="0.5"/>
    <row r="517" ht="14.25" customHeight="1" x14ac:dyDescent="0.5"/>
    <row r="518" ht="14.25" customHeight="1" x14ac:dyDescent="0.5"/>
    <row r="519" ht="14.25" customHeight="1" x14ac:dyDescent="0.5"/>
    <row r="520" ht="14.25" customHeight="1" x14ac:dyDescent="0.5"/>
    <row r="521" ht="14.25" customHeight="1" x14ac:dyDescent="0.5"/>
    <row r="522" ht="14.25" customHeight="1" x14ac:dyDescent="0.5"/>
    <row r="523" ht="14.25" customHeight="1" x14ac:dyDescent="0.5"/>
    <row r="524" ht="14.25" customHeight="1" x14ac:dyDescent="0.5"/>
    <row r="525" ht="14.25" customHeight="1" x14ac:dyDescent="0.5"/>
    <row r="526" ht="14.25" customHeight="1" x14ac:dyDescent="0.5"/>
    <row r="527" ht="14.25" customHeight="1" x14ac:dyDescent="0.5"/>
    <row r="528" ht="14.25" customHeight="1" x14ac:dyDescent="0.5"/>
    <row r="529" ht="14.25" customHeight="1" x14ac:dyDescent="0.5"/>
    <row r="530" ht="14.25" customHeight="1" x14ac:dyDescent="0.5"/>
    <row r="531" ht="14.25" customHeight="1" x14ac:dyDescent="0.5"/>
    <row r="532" ht="14.25" customHeight="1" x14ac:dyDescent="0.5"/>
    <row r="533" ht="14.25" customHeight="1" x14ac:dyDescent="0.5"/>
    <row r="534" ht="14.25" customHeight="1" x14ac:dyDescent="0.5"/>
    <row r="535" ht="14.25" customHeight="1" x14ac:dyDescent="0.5"/>
    <row r="536" ht="14.25" customHeight="1" x14ac:dyDescent="0.5"/>
    <row r="537" ht="14.25" customHeight="1" x14ac:dyDescent="0.5"/>
    <row r="538" ht="14.25" customHeight="1" x14ac:dyDescent="0.5"/>
    <row r="539" ht="14.25" customHeight="1" x14ac:dyDescent="0.5"/>
    <row r="540" ht="14.25" customHeight="1" x14ac:dyDescent="0.5"/>
    <row r="541" ht="14.25" customHeight="1" x14ac:dyDescent="0.5"/>
    <row r="542" ht="14.25" customHeight="1" x14ac:dyDescent="0.5"/>
    <row r="543" ht="14.25" customHeight="1" x14ac:dyDescent="0.5"/>
    <row r="544" ht="14.25" customHeight="1" x14ac:dyDescent="0.5"/>
    <row r="545" ht="14.25" customHeight="1" x14ac:dyDescent="0.5"/>
    <row r="546" ht="14.25" customHeight="1" x14ac:dyDescent="0.5"/>
    <row r="547" ht="14.25" customHeight="1" x14ac:dyDescent="0.5"/>
    <row r="548" ht="14.25" customHeight="1" x14ac:dyDescent="0.5"/>
    <row r="549" ht="14.25" customHeight="1" x14ac:dyDescent="0.5"/>
    <row r="550" ht="14.25" customHeight="1" x14ac:dyDescent="0.5"/>
    <row r="551" ht="14.25" customHeight="1" x14ac:dyDescent="0.5"/>
    <row r="552" ht="14.25" customHeight="1" x14ac:dyDescent="0.5"/>
    <row r="553" ht="14.25" customHeight="1" x14ac:dyDescent="0.5"/>
    <row r="554" ht="14.25" customHeight="1" x14ac:dyDescent="0.5"/>
    <row r="555" ht="14.25" customHeight="1" x14ac:dyDescent="0.5"/>
    <row r="556" ht="14.25" customHeight="1" x14ac:dyDescent="0.5"/>
    <row r="557" ht="14.25" customHeight="1" x14ac:dyDescent="0.5"/>
    <row r="558" ht="14.25" customHeight="1" x14ac:dyDescent="0.5"/>
    <row r="559" ht="14.25" customHeight="1" x14ac:dyDescent="0.5"/>
    <row r="560" ht="14.25" customHeight="1" x14ac:dyDescent="0.5"/>
    <row r="561" ht="14.25" customHeight="1" x14ac:dyDescent="0.5"/>
    <row r="562" ht="14.25" customHeight="1" x14ac:dyDescent="0.5"/>
    <row r="563" ht="14.25" customHeight="1" x14ac:dyDescent="0.5"/>
    <row r="564" ht="14.25" customHeight="1" x14ac:dyDescent="0.5"/>
    <row r="565" ht="14.25" customHeight="1" x14ac:dyDescent="0.5"/>
    <row r="566" ht="14.25" customHeight="1" x14ac:dyDescent="0.5"/>
    <row r="567" ht="14.25" customHeight="1" x14ac:dyDescent="0.5"/>
    <row r="568" ht="14.25" customHeight="1" x14ac:dyDescent="0.5"/>
    <row r="569" ht="14.25" customHeight="1" x14ac:dyDescent="0.5"/>
    <row r="570" ht="14.25" customHeight="1" x14ac:dyDescent="0.5"/>
    <row r="571" ht="14.25" customHeight="1" x14ac:dyDescent="0.5"/>
    <row r="572" ht="14.25" customHeight="1" x14ac:dyDescent="0.5"/>
    <row r="573" ht="14.25" customHeight="1" x14ac:dyDescent="0.5"/>
    <row r="574" ht="14.25" customHeight="1" x14ac:dyDescent="0.5"/>
    <row r="575" ht="14.25" customHeight="1" x14ac:dyDescent="0.5"/>
    <row r="576" ht="14.25" customHeight="1" x14ac:dyDescent="0.5"/>
    <row r="577" ht="14.25" customHeight="1" x14ac:dyDescent="0.5"/>
    <row r="578" ht="14.25" customHeight="1" x14ac:dyDescent="0.5"/>
    <row r="579" ht="14.25" customHeight="1" x14ac:dyDescent="0.5"/>
    <row r="580" ht="14.25" customHeight="1" x14ac:dyDescent="0.5"/>
    <row r="581" ht="14.25" customHeight="1" x14ac:dyDescent="0.5"/>
    <row r="582" ht="14.25" customHeight="1" x14ac:dyDescent="0.5"/>
    <row r="583" ht="14.25" customHeight="1" x14ac:dyDescent="0.5"/>
    <row r="584" ht="14.25" customHeight="1" x14ac:dyDescent="0.5"/>
    <row r="585" ht="14.25" customHeight="1" x14ac:dyDescent="0.5"/>
    <row r="586" ht="14.25" customHeight="1" x14ac:dyDescent="0.5"/>
    <row r="587" ht="14.25" customHeight="1" x14ac:dyDescent="0.5"/>
    <row r="588" ht="14.25" customHeight="1" x14ac:dyDescent="0.5"/>
    <row r="589" ht="14.25" customHeight="1" x14ac:dyDescent="0.5"/>
    <row r="590" ht="14.25" customHeight="1" x14ac:dyDescent="0.5"/>
    <row r="591" ht="14.25" customHeight="1" x14ac:dyDescent="0.5"/>
    <row r="592" ht="14.25" customHeight="1" x14ac:dyDescent="0.5"/>
    <row r="593" ht="14.25" customHeight="1" x14ac:dyDescent="0.5"/>
    <row r="594" ht="14.25" customHeight="1" x14ac:dyDescent="0.5"/>
    <row r="595" ht="14.25" customHeight="1" x14ac:dyDescent="0.5"/>
    <row r="596" ht="14.25" customHeight="1" x14ac:dyDescent="0.5"/>
    <row r="597" ht="14.25" customHeight="1" x14ac:dyDescent="0.5"/>
    <row r="598" ht="14.25" customHeight="1" x14ac:dyDescent="0.5"/>
    <row r="599" ht="14.25" customHeight="1" x14ac:dyDescent="0.5"/>
    <row r="600" ht="14.25" customHeight="1" x14ac:dyDescent="0.5"/>
    <row r="601" ht="14.25" customHeight="1" x14ac:dyDescent="0.5"/>
    <row r="602" ht="14.25" customHeight="1" x14ac:dyDescent="0.5"/>
    <row r="603" ht="14.25" customHeight="1" x14ac:dyDescent="0.5"/>
    <row r="604" ht="14.25" customHeight="1" x14ac:dyDescent="0.5"/>
    <row r="605" ht="14.25" customHeight="1" x14ac:dyDescent="0.5"/>
    <row r="606" ht="14.25" customHeight="1" x14ac:dyDescent="0.5"/>
    <row r="607" ht="14.25" customHeight="1" x14ac:dyDescent="0.5"/>
    <row r="608" ht="14.25" customHeight="1" x14ac:dyDescent="0.5"/>
    <row r="609" ht="14.25" customHeight="1" x14ac:dyDescent="0.5"/>
    <row r="610" ht="14.25" customHeight="1" x14ac:dyDescent="0.5"/>
    <row r="611" ht="14.25" customHeight="1" x14ac:dyDescent="0.5"/>
    <row r="612" ht="14.25" customHeight="1" x14ac:dyDescent="0.5"/>
    <row r="613" ht="14.25" customHeight="1" x14ac:dyDescent="0.5"/>
    <row r="614" ht="14.25" customHeight="1" x14ac:dyDescent="0.5"/>
    <row r="615" ht="14.25" customHeight="1" x14ac:dyDescent="0.5"/>
    <row r="616" ht="14.25" customHeight="1" x14ac:dyDescent="0.5"/>
    <row r="617" ht="14.25" customHeight="1" x14ac:dyDescent="0.5"/>
    <row r="618" ht="14.25" customHeight="1" x14ac:dyDescent="0.5"/>
    <row r="619" ht="14.25" customHeight="1" x14ac:dyDescent="0.5"/>
    <row r="620" ht="14.25" customHeight="1" x14ac:dyDescent="0.5"/>
    <row r="621" ht="14.25" customHeight="1" x14ac:dyDescent="0.5"/>
    <row r="622" ht="14.25" customHeight="1" x14ac:dyDescent="0.5"/>
    <row r="623" ht="14.25" customHeight="1" x14ac:dyDescent="0.5"/>
    <row r="624" ht="14.25" customHeight="1" x14ac:dyDescent="0.5"/>
    <row r="625" ht="14.25" customHeight="1" x14ac:dyDescent="0.5"/>
    <row r="626" ht="14.25" customHeight="1" x14ac:dyDescent="0.5"/>
    <row r="627" ht="14.25" customHeight="1" x14ac:dyDescent="0.5"/>
    <row r="628" ht="14.25" customHeight="1" x14ac:dyDescent="0.5"/>
    <row r="629" ht="14.25" customHeight="1" x14ac:dyDescent="0.5"/>
    <row r="630" ht="14.25" customHeight="1" x14ac:dyDescent="0.5"/>
    <row r="631" ht="14.25" customHeight="1" x14ac:dyDescent="0.5"/>
    <row r="632" ht="14.25" customHeight="1" x14ac:dyDescent="0.5"/>
    <row r="633" ht="14.25" customHeight="1" x14ac:dyDescent="0.5"/>
    <row r="634" ht="14.25" customHeight="1" x14ac:dyDescent="0.5"/>
    <row r="635" ht="14.25" customHeight="1" x14ac:dyDescent="0.5"/>
    <row r="636" ht="14.25" customHeight="1" x14ac:dyDescent="0.5"/>
    <row r="637" ht="14.25" customHeight="1" x14ac:dyDescent="0.5"/>
    <row r="638" ht="14.25" customHeight="1" x14ac:dyDescent="0.5"/>
    <row r="639" ht="14.25" customHeight="1" x14ac:dyDescent="0.5"/>
    <row r="640" ht="14.25" customHeight="1" x14ac:dyDescent="0.5"/>
    <row r="641" ht="14.25" customHeight="1" x14ac:dyDescent="0.5"/>
    <row r="642" ht="14.25" customHeight="1" x14ac:dyDescent="0.5"/>
    <row r="643" ht="14.25" customHeight="1" x14ac:dyDescent="0.5"/>
    <row r="644" ht="14.25" customHeight="1" x14ac:dyDescent="0.5"/>
    <row r="645" ht="14.25" customHeight="1" x14ac:dyDescent="0.5"/>
    <row r="646" ht="14.25" customHeight="1" x14ac:dyDescent="0.5"/>
    <row r="647" ht="14.25" customHeight="1" x14ac:dyDescent="0.5"/>
    <row r="648" ht="14.25" customHeight="1" x14ac:dyDescent="0.5"/>
    <row r="649" ht="14.25" customHeight="1" x14ac:dyDescent="0.5"/>
    <row r="650" ht="14.25" customHeight="1" x14ac:dyDescent="0.5"/>
    <row r="651" ht="14.25" customHeight="1" x14ac:dyDescent="0.5"/>
    <row r="652" ht="14.25" customHeight="1" x14ac:dyDescent="0.5"/>
    <row r="653" ht="14.25" customHeight="1" x14ac:dyDescent="0.5"/>
    <row r="654" ht="14.25" customHeight="1" x14ac:dyDescent="0.5"/>
    <row r="655" ht="14.25" customHeight="1" x14ac:dyDescent="0.5"/>
    <row r="656" ht="14.25" customHeight="1" x14ac:dyDescent="0.5"/>
    <row r="657" ht="14.25" customHeight="1" x14ac:dyDescent="0.5"/>
    <row r="658" ht="14.25" customHeight="1" x14ac:dyDescent="0.5"/>
    <row r="659" ht="14.25" customHeight="1" x14ac:dyDescent="0.5"/>
    <row r="660" ht="14.25" customHeight="1" x14ac:dyDescent="0.5"/>
    <row r="661" ht="14.25" customHeight="1" x14ac:dyDescent="0.5"/>
    <row r="662" ht="14.25" customHeight="1" x14ac:dyDescent="0.5"/>
    <row r="663" ht="14.25" customHeight="1" x14ac:dyDescent="0.5"/>
    <row r="664" ht="14.25" customHeight="1" x14ac:dyDescent="0.5"/>
    <row r="665" ht="14.25" customHeight="1" x14ac:dyDescent="0.5"/>
    <row r="666" ht="14.25" customHeight="1" x14ac:dyDescent="0.5"/>
    <row r="667" ht="14.25" customHeight="1" x14ac:dyDescent="0.5"/>
    <row r="668" ht="14.25" customHeight="1" x14ac:dyDescent="0.5"/>
    <row r="669" ht="14.25" customHeight="1" x14ac:dyDescent="0.5"/>
    <row r="670" ht="14.25" customHeight="1" x14ac:dyDescent="0.5"/>
    <row r="671" ht="14.25" customHeight="1" x14ac:dyDescent="0.5"/>
    <row r="672" ht="14.25" customHeight="1" x14ac:dyDescent="0.5"/>
    <row r="673" ht="14.25" customHeight="1" x14ac:dyDescent="0.5"/>
    <row r="674" ht="14.25" customHeight="1" x14ac:dyDescent="0.5"/>
    <row r="675" ht="14.25" customHeight="1" x14ac:dyDescent="0.5"/>
    <row r="676" ht="14.25" customHeight="1" x14ac:dyDescent="0.5"/>
    <row r="677" ht="14.25" customHeight="1" x14ac:dyDescent="0.5"/>
    <row r="678" ht="14.25" customHeight="1" x14ac:dyDescent="0.5"/>
    <row r="679" ht="14.25" customHeight="1" x14ac:dyDescent="0.5"/>
    <row r="680" ht="14.25" customHeight="1" x14ac:dyDescent="0.5"/>
    <row r="681" ht="14.25" customHeight="1" x14ac:dyDescent="0.5"/>
    <row r="682" ht="14.25" customHeight="1" x14ac:dyDescent="0.5"/>
    <row r="683" ht="14.25" customHeight="1" x14ac:dyDescent="0.5"/>
    <row r="684" ht="14.25" customHeight="1" x14ac:dyDescent="0.5"/>
    <row r="685" ht="14.25" customHeight="1" x14ac:dyDescent="0.5"/>
    <row r="686" ht="14.25" customHeight="1" x14ac:dyDescent="0.5"/>
    <row r="687" ht="14.25" customHeight="1" x14ac:dyDescent="0.5"/>
    <row r="688" ht="14.25" customHeight="1" x14ac:dyDescent="0.5"/>
    <row r="689" ht="14.25" customHeight="1" x14ac:dyDescent="0.5"/>
    <row r="690" ht="14.25" customHeight="1" x14ac:dyDescent="0.5"/>
    <row r="691" ht="14.25" customHeight="1" x14ac:dyDescent="0.5"/>
    <row r="692" ht="14.25" customHeight="1" x14ac:dyDescent="0.5"/>
    <row r="693" ht="14.25" customHeight="1" x14ac:dyDescent="0.5"/>
    <row r="694" ht="14.25" customHeight="1" x14ac:dyDescent="0.5"/>
    <row r="695" ht="14.25" customHeight="1" x14ac:dyDescent="0.5"/>
    <row r="696" ht="14.25" customHeight="1" x14ac:dyDescent="0.5"/>
    <row r="697" ht="14.25" customHeight="1" x14ac:dyDescent="0.5"/>
    <row r="698" ht="14.25" customHeight="1" x14ac:dyDescent="0.5"/>
    <row r="699" ht="14.25" customHeight="1" x14ac:dyDescent="0.5"/>
    <row r="700" ht="14.25" customHeight="1" x14ac:dyDescent="0.5"/>
    <row r="701" ht="14.25" customHeight="1" x14ac:dyDescent="0.5"/>
    <row r="702" ht="14.25" customHeight="1" x14ac:dyDescent="0.5"/>
    <row r="703" ht="14.25" customHeight="1" x14ac:dyDescent="0.5"/>
    <row r="704" ht="14.25" customHeight="1" x14ac:dyDescent="0.5"/>
    <row r="705" ht="14.25" customHeight="1" x14ac:dyDescent="0.5"/>
    <row r="706" ht="14.25" customHeight="1" x14ac:dyDescent="0.5"/>
    <row r="707" ht="14.25" customHeight="1" x14ac:dyDescent="0.5"/>
    <row r="708" ht="14.25" customHeight="1" x14ac:dyDescent="0.5"/>
    <row r="709" ht="14.25" customHeight="1" x14ac:dyDescent="0.5"/>
    <row r="710" ht="14.25" customHeight="1" x14ac:dyDescent="0.5"/>
    <row r="711" ht="14.25" customHeight="1" x14ac:dyDescent="0.5"/>
    <row r="712" ht="14.25" customHeight="1" x14ac:dyDescent="0.5"/>
    <row r="713" ht="14.25" customHeight="1" x14ac:dyDescent="0.5"/>
    <row r="714" ht="14.25" customHeight="1" x14ac:dyDescent="0.5"/>
    <row r="715" ht="14.25" customHeight="1" x14ac:dyDescent="0.5"/>
    <row r="716" ht="14.25" customHeight="1" x14ac:dyDescent="0.5"/>
    <row r="717" ht="14.25" customHeight="1" x14ac:dyDescent="0.5"/>
    <row r="718" ht="14.25" customHeight="1" x14ac:dyDescent="0.5"/>
    <row r="719" ht="14.25" customHeight="1" x14ac:dyDescent="0.5"/>
    <row r="720" ht="14.25" customHeight="1" x14ac:dyDescent="0.5"/>
    <row r="721" ht="14.25" customHeight="1" x14ac:dyDescent="0.5"/>
    <row r="722" ht="14.25" customHeight="1" x14ac:dyDescent="0.5"/>
    <row r="723" ht="14.25" customHeight="1" x14ac:dyDescent="0.5"/>
    <row r="724" ht="14.25" customHeight="1" x14ac:dyDescent="0.5"/>
    <row r="725" ht="14.25" customHeight="1" x14ac:dyDescent="0.5"/>
    <row r="726" ht="14.25" customHeight="1" x14ac:dyDescent="0.5"/>
    <row r="727" ht="14.25" customHeight="1" x14ac:dyDescent="0.5"/>
    <row r="728" ht="14.25" customHeight="1" x14ac:dyDescent="0.5"/>
    <row r="729" ht="14.25" customHeight="1" x14ac:dyDescent="0.5"/>
    <row r="730" ht="14.25" customHeight="1" x14ac:dyDescent="0.5"/>
    <row r="731" ht="14.25" customHeight="1" x14ac:dyDescent="0.5"/>
    <row r="732" ht="14.25" customHeight="1" x14ac:dyDescent="0.5"/>
    <row r="733" ht="14.25" customHeight="1" x14ac:dyDescent="0.5"/>
    <row r="734" ht="14.25" customHeight="1" x14ac:dyDescent="0.5"/>
    <row r="735" ht="14.25" customHeight="1" x14ac:dyDescent="0.5"/>
    <row r="736" ht="14.25" customHeight="1" x14ac:dyDescent="0.5"/>
    <row r="737" ht="14.25" customHeight="1" x14ac:dyDescent="0.5"/>
    <row r="738" ht="14.25" customHeight="1" x14ac:dyDescent="0.5"/>
    <row r="739" ht="14.25" customHeight="1" x14ac:dyDescent="0.5"/>
    <row r="740" ht="14.25" customHeight="1" x14ac:dyDescent="0.5"/>
    <row r="741" ht="14.25" customHeight="1" x14ac:dyDescent="0.5"/>
    <row r="742" ht="14.25" customHeight="1" x14ac:dyDescent="0.5"/>
    <row r="743" ht="14.25" customHeight="1" x14ac:dyDescent="0.5"/>
    <row r="744" ht="14.25" customHeight="1" x14ac:dyDescent="0.5"/>
    <row r="745" ht="14.25" customHeight="1" x14ac:dyDescent="0.5"/>
    <row r="746" ht="14.25" customHeight="1" x14ac:dyDescent="0.5"/>
    <row r="747" ht="14.25" customHeight="1" x14ac:dyDescent="0.5"/>
    <row r="748" ht="14.25" customHeight="1" x14ac:dyDescent="0.5"/>
    <row r="749" ht="14.25" customHeight="1" x14ac:dyDescent="0.5"/>
    <row r="750" ht="14.25" customHeight="1" x14ac:dyDescent="0.5"/>
    <row r="751" ht="14.25" customHeight="1" x14ac:dyDescent="0.5"/>
    <row r="752" ht="14.25" customHeight="1" x14ac:dyDescent="0.5"/>
    <row r="753" ht="14.25" customHeight="1" x14ac:dyDescent="0.5"/>
    <row r="754" ht="14.25" customHeight="1" x14ac:dyDescent="0.5"/>
    <row r="755" ht="14.25" customHeight="1" x14ac:dyDescent="0.5"/>
    <row r="756" ht="14.25" customHeight="1" x14ac:dyDescent="0.5"/>
    <row r="757" ht="14.25" customHeight="1" x14ac:dyDescent="0.5"/>
    <row r="758" ht="14.25" customHeight="1" x14ac:dyDescent="0.5"/>
    <row r="759" ht="14.25" customHeight="1" x14ac:dyDescent="0.5"/>
    <row r="760" ht="14.25" customHeight="1" x14ac:dyDescent="0.5"/>
    <row r="761" ht="14.25" customHeight="1" x14ac:dyDescent="0.5"/>
    <row r="762" ht="14.25" customHeight="1" x14ac:dyDescent="0.5"/>
    <row r="763" ht="14.25" customHeight="1" x14ac:dyDescent="0.5"/>
    <row r="764" ht="14.25" customHeight="1" x14ac:dyDescent="0.5"/>
    <row r="765" ht="14.25" customHeight="1" x14ac:dyDescent="0.5"/>
    <row r="766" ht="14.25" customHeight="1" x14ac:dyDescent="0.5"/>
    <row r="767" ht="14.25" customHeight="1" x14ac:dyDescent="0.5"/>
    <row r="768" ht="14.25" customHeight="1" x14ac:dyDescent="0.5"/>
    <row r="769" ht="14.25" customHeight="1" x14ac:dyDescent="0.5"/>
    <row r="770" ht="14.25" customHeight="1" x14ac:dyDescent="0.5"/>
    <row r="771" ht="14.25" customHeight="1" x14ac:dyDescent="0.5"/>
    <row r="772" ht="14.25" customHeight="1" x14ac:dyDescent="0.5"/>
    <row r="773" ht="14.25" customHeight="1" x14ac:dyDescent="0.5"/>
    <row r="774" ht="14.25" customHeight="1" x14ac:dyDescent="0.5"/>
    <row r="775" ht="14.25" customHeight="1" x14ac:dyDescent="0.5"/>
    <row r="776" ht="14.25" customHeight="1" x14ac:dyDescent="0.5"/>
    <row r="777" ht="14.25" customHeight="1" x14ac:dyDescent="0.5"/>
    <row r="778" ht="14.25" customHeight="1" x14ac:dyDescent="0.5"/>
    <row r="779" ht="14.25" customHeight="1" x14ac:dyDescent="0.5"/>
    <row r="780" ht="14.25" customHeight="1" x14ac:dyDescent="0.5"/>
    <row r="781" ht="14.25" customHeight="1" x14ac:dyDescent="0.5"/>
    <row r="782" ht="14.25" customHeight="1" x14ac:dyDescent="0.5"/>
    <row r="783" ht="14.25" customHeight="1" x14ac:dyDescent="0.5"/>
    <row r="784" ht="14.25" customHeight="1" x14ac:dyDescent="0.5"/>
    <row r="785" ht="14.25" customHeight="1" x14ac:dyDescent="0.5"/>
    <row r="786" ht="14.25" customHeight="1" x14ac:dyDescent="0.5"/>
    <row r="787" ht="14.25" customHeight="1" x14ac:dyDescent="0.5"/>
    <row r="788" ht="14.25" customHeight="1" x14ac:dyDescent="0.5"/>
    <row r="789" ht="14.25" customHeight="1" x14ac:dyDescent="0.5"/>
    <row r="790" ht="14.25" customHeight="1" x14ac:dyDescent="0.5"/>
    <row r="791" ht="14.25" customHeight="1" x14ac:dyDescent="0.5"/>
    <row r="792" ht="14.25" customHeight="1" x14ac:dyDescent="0.5"/>
    <row r="793" ht="14.25" customHeight="1" x14ac:dyDescent="0.5"/>
    <row r="794" ht="14.25" customHeight="1" x14ac:dyDescent="0.5"/>
    <row r="795" ht="14.25" customHeight="1" x14ac:dyDescent="0.5"/>
    <row r="796" ht="14.25" customHeight="1" x14ac:dyDescent="0.5"/>
    <row r="797" ht="14.25" customHeight="1" x14ac:dyDescent="0.5"/>
    <row r="798" ht="14.25" customHeight="1" x14ac:dyDescent="0.5"/>
    <row r="799" ht="14.25" customHeight="1" x14ac:dyDescent="0.5"/>
    <row r="800" ht="14.25" customHeight="1" x14ac:dyDescent="0.5"/>
    <row r="801" ht="14.25" customHeight="1" x14ac:dyDescent="0.5"/>
    <row r="802" ht="14.25" customHeight="1" x14ac:dyDescent="0.5"/>
    <row r="803" ht="14.25" customHeight="1" x14ac:dyDescent="0.5"/>
    <row r="804" ht="14.25" customHeight="1" x14ac:dyDescent="0.5"/>
    <row r="805" ht="14.25" customHeight="1" x14ac:dyDescent="0.5"/>
    <row r="806" ht="14.25" customHeight="1" x14ac:dyDescent="0.5"/>
    <row r="807" ht="14.25" customHeight="1" x14ac:dyDescent="0.5"/>
    <row r="808" ht="14.25" customHeight="1" x14ac:dyDescent="0.5"/>
    <row r="809" ht="14.25" customHeight="1" x14ac:dyDescent="0.5"/>
    <row r="810" ht="14.25" customHeight="1" x14ac:dyDescent="0.5"/>
    <row r="811" ht="14.25" customHeight="1" x14ac:dyDescent="0.5"/>
    <row r="812" ht="14.25" customHeight="1" x14ac:dyDescent="0.5"/>
    <row r="813" ht="14.25" customHeight="1" x14ac:dyDescent="0.5"/>
    <row r="814" ht="14.25" customHeight="1" x14ac:dyDescent="0.5"/>
    <row r="815" ht="14.25" customHeight="1" x14ac:dyDescent="0.5"/>
    <row r="816" ht="14.25" customHeight="1" x14ac:dyDescent="0.5"/>
    <row r="817" ht="14.25" customHeight="1" x14ac:dyDescent="0.5"/>
    <row r="818" ht="14.25" customHeight="1" x14ac:dyDescent="0.5"/>
    <row r="819" ht="14.25" customHeight="1" x14ac:dyDescent="0.5"/>
    <row r="820" ht="14.25" customHeight="1" x14ac:dyDescent="0.5"/>
    <row r="821" ht="14.25" customHeight="1" x14ac:dyDescent="0.5"/>
    <row r="822" ht="14.25" customHeight="1" x14ac:dyDescent="0.5"/>
    <row r="823" ht="14.25" customHeight="1" x14ac:dyDescent="0.5"/>
    <row r="824" ht="14.25" customHeight="1" x14ac:dyDescent="0.5"/>
    <row r="825" ht="14.25" customHeight="1" x14ac:dyDescent="0.5"/>
    <row r="826" ht="14.25" customHeight="1" x14ac:dyDescent="0.5"/>
    <row r="827" ht="14.25" customHeight="1" x14ac:dyDescent="0.5"/>
    <row r="828" ht="14.25" customHeight="1" x14ac:dyDescent="0.5"/>
    <row r="829" ht="14.25" customHeight="1" x14ac:dyDescent="0.5"/>
    <row r="830" ht="14.25" customHeight="1" x14ac:dyDescent="0.5"/>
    <row r="831" ht="14.25" customHeight="1" x14ac:dyDescent="0.5"/>
    <row r="832" ht="14.25" customHeight="1" x14ac:dyDescent="0.5"/>
    <row r="833" ht="14.25" customHeight="1" x14ac:dyDescent="0.5"/>
    <row r="834" ht="14.25" customHeight="1" x14ac:dyDescent="0.5"/>
    <row r="835" ht="14.25" customHeight="1" x14ac:dyDescent="0.5"/>
    <row r="836" ht="14.25" customHeight="1" x14ac:dyDescent="0.5"/>
    <row r="837" ht="14.25" customHeight="1" x14ac:dyDescent="0.5"/>
    <row r="838" ht="14.25" customHeight="1" x14ac:dyDescent="0.5"/>
    <row r="839" ht="14.25" customHeight="1" x14ac:dyDescent="0.5"/>
    <row r="840" ht="14.25" customHeight="1" x14ac:dyDescent="0.5"/>
    <row r="841" ht="14.25" customHeight="1" x14ac:dyDescent="0.5"/>
    <row r="842" ht="14.25" customHeight="1" x14ac:dyDescent="0.5"/>
    <row r="843" ht="14.25" customHeight="1" x14ac:dyDescent="0.5"/>
    <row r="844" ht="14.25" customHeight="1" x14ac:dyDescent="0.5"/>
    <row r="845" ht="14.25" customHeight="1" x14ac:dyDescent="0.5"/>
    <row r="846" ht="14.25" customHeight="1" x14ac:dyDescent="0.5"/>
    <row r="847" ht="14.25" customHeight="1" x14ac:dyDescent="0.5"/>
    <row r="848" ht="14.25" customHeight="1" x14ac:dyDescent="0.5"/>
    <row r="849" ht="14.25" customHeight="1" x14ac:dyDescent="0.5"/>
    <row r="850" ht="14.25" customHeight="1" x14ac:dyDescent="0.5"/>
    <row r="851" ht="14.25" customHeight="1" x14ac:dyDescent="0.5"/>
    <row r="852" ht="14.25" customHeight="1" x14ac:dyDescent="0.5"/>
    <row r="853" ht="14.25" customHeight="1" x14ac:dyDescent="0.5"/>
    <row r="854" ht="14.25" customHeight="1" x14ac:dyDescent="0.5"/>
    <row r="855" ht="14.25" customHeight="1" x14ac:dyDescent="0.5"/>
    <row r="856" ht="14.25" customHeight="1" x14ac:dyDescent="0.5"/>
    <row r="857" ht="14.25" customHeight="1" x14ac:dyDescent="0.5"/>
    <row r="858" ht="14.25" customHeight="1" x14ac:dyDescent="0.5"/>
    <row r="859" ht="14.25" customHeight="1" x14ac:dyDescent="0.5"/>
    <row r="860" ht="14.25" customHeight="1" x14ac:dyDescent="0.5"/>
    <row r="861" ht="14.25" customHeight="1" x14ac:dyDescent="0.5"/>
    <row r="862" ht="14.25" customHeight="1" x14ac:dyDescent="0.5"/>
    <row r="863" ht="14.25" customHeight="1" x14ac:dyDescent="0.5"/>
    <row r="864" ht="14.25" customHeight="1" x14ac:dyDescent="0.5"/>
    <row r="865" ht="14.25" customHeight="1" x14ac:dyDescent="0.5"/>
    <row r="866" ht="14.25" customHeight="1" x14ac:dyDescent="0.5"/>
    <row r="867" ht="14.25" customHeight="1" x14ac:dyDescent="0.5"/>
    <row r="868" ht="14.25" customHeight="1" x14ac:dyDescent="0.5"/>
    <row r="869" ht="14.25" customHeight="1" x14ac:dyDescent="0.5"/>
    <row r="870" ht="14.25" customHeight="1" x14ac:dyDescent="0.5"/>
    <row r="871" ht="14.25" customHeight="1" x14ac:dyDescent="0.5"/>
    <row r="872" ht="14.25" customHeight="1" x14ac:dyDescent="0.5"/>
    <row r="873" ht="14.25" customHeight="1" x14ac:dyDescent="0.5"/>
    <row r="874" ht="14.25" customHeight="1" x14ac:dyDescent="0.5"/>
    <row r="875" ht="14.25" customHeight="1" x14ac:dyDescent="0.5"/>
    <row r="876" ht="14.25" customHeight="1" x14ac:dyDescent="0.5"/>
    <row r="877" ht="14.25" customHeight="1" x14ac:dyDescent="0.5"/>
    <row r="878" ht="14.25" customHeight="1" x14ac:dyDescent="0.5"/>
    <row r="879" ht="14.25" customHeight="1" x14ac:dyDescent="0.5"/>
    <row r="880" ht="14.25" customHeight="1" x14ac:dyDescent="0.5"/>
    <row r="881" ht="14.25" customHeight="1" x14ac:dyDescent="0.5"/>
    <row r="882" ht="14.25" customHeight="1" x14ac:dyDescent="0.5"/>
    <row r="883" ht="14.25" customHeight="1" x14ac:dyDescent="0.5"/>
    <row r="884" ht="14.25" customHeight="1" x14ac:dyDescent="0.5"/>
    <row r="885" ht="14.25" customHeight="1" x14ac:dyDescent="0.5"/>
    <row r="886" ht="14.25" customHeight="1" x14ac:dyDescent="0.5"/>
    <row r="887" ht="14.25" customHeight="1" x14ac:dyDescent="0.5"/>
    <row r="888" ht="14.25" customHeight="1" x14ac:dyDescent="0.5"/>
    <row r="889" ht="14.25" customHeight="1" x14ac:dyDescent="0.5"/>
    <row r="890" ht="14.25" customHeight="1" x14ac:dyDescent="0.5"/>
    <row r="891" ht="14.25" customHeight="1" x14ac:dyDescent="0.5"/>
    <row r="892" ht="14.25" customHeight="1" x14ac:dyDescent="0.5"/>
    <row r="893" ht="14.25" customHeight="1" x14ac:dyDescent="0.5"/>
    <row r="894" ht="14.25" customHeight="1" x14ac:dyDescent="0.5"/>
    <row r="895" ht="14.25" customHeight="1" x14ac:dyDescent="0.5"/>
    <row r="896" ht="14.25" customHeight="1" x14ac:dyDescent="0.5"/>
    <row r="897" ht="14.25" customHeight="1" x14ac:dyDescent="0.5"/>
    <row r="898" ht="14.25" customHeight="1" x14ac:dyDescent="0.5"/>
    <row r="899" ht="14.25" customHeight="1" x14ac:dyDescent="0.5"/>
    <row r="900" ht="14.25" customHeight="1" x14ac:dyDescent="0.5"/>
    <row r="901" ht="14.25" customHeight="1" x14ac:dyDescent="0.5"/>
    <row r="902" ht="14.25" customHeight="1" x14ac:dyDescent="0.5"/>
    <row r="903" ht="14.25" customHeight="1" x14ac:dyDescent="0.5"/>
    <row r="904" ht="14.25" customHeight="1" x14ac:dyDescent="0.5"/>
    <row r="905" ht="14.25" customHeight="1" x14ac:dyDescent="0.5"/>
    <row r="906" ht="14.25" customHeight="1" x14ac:dyDescent="0.5"/>
    <row r="907" ht="14.25" customHeight="1" x14ac:dyDescent="0.5"/>
    <row r="908" ht="14.25" customHeight="1" x14ac:dyDescent="0.5"/>
    <row r="909" ht="14.25" customHeight="1" x14ac:dyDescent="0.5"/>
    <row r="910" ht="14.25" customHeight="1" x14ac:dyDescent="0.5"/>
    <row r="911" ht="14.25" customHeight="1" x14ac:dyDescent="0.5"/>
    <row r="912" ht="14.25" customHeight="1" x14ac:dyDescent="0.5"/>
    <row r="913" ht="14.25" customHeight="1" x14ac:dyDescent="0.5"/>
    <row r="914" ht="14.25" customHeight="1" x14ac:dyDescent="0.5"/>
    <row r="915" ht="14.25" customHeight="1" x14ac:dyDescent="0.5"/>
    <row r="916" ht="14.25" customHeight="1" x14ac:dyDescent="0.5"/>
    <row r="917" ht="14.25" customHeight="1" x14ac:dyDescent="0.5"/>
    <row r="918" ht="14.25" customHeight="1" x14ac:dyDescent="0.5"/>
    <row r="919" ht="14.25" customHeight="1" x14ac:dyDescent="0.5"/>
    <row r="920" ht="14.25" customHeight="1" x14ac:dyDescent="0.5"/>
    <row r="921" ht="14.25" customHeight="1" x14ac:dyDescent="0.5"/>
    <row r="922" ht="14.25" customHeight="1" x14ac:dyDescent="0.5"/>
    <row r="923" ht="14.25" customHeight="1" x14ac:dyDescent="0.5"/>
    <row r="924" ht="14.25" customHeight="1" x14ac:dyDescent="0.5"/>
    <row r="925" ht="14.25" customHeight="1" x14ac:dyDescent="0.5"/>
    <row r="926" ht="14.25" customHeight="1" x14ac:dyDescent="0.5"/>
    <row r="927" ht="14.25" customHeight="1" x14ac:dyDescent="0.5"/>
    <row r="928" ht="14.25" customHeight="1" x14ac:dyDescent="0.5"/>
    <row r="929" ht="14.25" customHeight="1" x14ac:dyDescent="0.5"/>
    <row r="930" ht="14.25" customHeight="1" x14ac:dyDescent="0.5"/>
    <row r="931" ht="14.25" customHeight="1" x14ac:dyDescent="0.5"/>
    <row r="932" ht="14.25" customHeight="1" x14ac:dyDescent="0.5"/>
    <row r="933" ht="14.25" customHeight="1" x14ac:dyDescent="0.5"/>
    <row r="934" ht="14.25" customHeight="1" x14ac:dyDescent="0.5"/>
    <row r="935" ht="14.25" customHeight="1" x14ac:dyDescent="0.5"/>
    <row r="936" ht="14.25" customHeight="1" x14ac:dyDescent="0.5"/>
    <row r="937" ht="14.25" customHeight="1" x14ac:dyDescent="0.5"/>
    <row r="938" ht="14.25" customHeight="1" x14ac:dyDescent="0.5"/>
    <row r="939" ht="14.25" customHeight="1" x14ac:dyDescent="0.5"/>
    <row r="940" ht="14.25" customHeight="1" x14ac:dyDescent="0.5"/>
    <row r="941" ht="14.25" customHeight="1" x14ac:dyDescent="0.5"/>
    <row r="942" ht="14.25" customHeight="1" x14ac:dyDescent="0.5"/>
    <row r="943" ht="14.25" customHeight="1" x14ac:dyDescent="0.5"/>
    <row r="944" ht="14.25" customHeight="1" x14ac:dyDescent="0.5"/>
    <row r="945" ht="14.25" customHeight="1" x14ac:dyDescent="0.5"/>
    <row r="946" ht="14.25" customHeight="1" x14ac:dyDescent="0.5"/>
    <row r="947" ht="14.25" customHeight="1" x14ac:dyDescent="0.5"/>
    <row r="948" ht="14.25" customHeight="1" x14ac:dyDescent="0.5"/>
    <row r="949" ht="14.25" customHeight="1" x14ac:dyDescent="0.5"/>
    <row r="950" ht="14.25" customHeight="1" x14ac:dyDescent="0.5"/>
    <row r="951" ht="14.25" customHeight="1" x14ac:dyDescent="0.5"/>
    <row r="952" ht="14.25" customHeight="1" x14ac:dyDescent="0.5"/>
    <row r="953" ht="14.25" customHeight="1" x14ac:dyDescent="0.5"/>
    <row r="954" ht="14.25" customHeight="1" x14ac:dyDescent="0.5"/>
    <row r="955" ht="14.25" customHeight="1" x14ac:dyDescent="0.5"/>
    <row r="956" ht="14.25" customHeight="1" x14ac:dyDescent="0.5"/>
    <row r="957" ht="14.25" customHeight="1" x14ac:dyDescent="0.5"/>
    <row r="958" ht="14.25" customHeight="1" x14ac:dyDescent="0.5"/>
    <row r="959" ht="14.25" customHeight="1" x14ac:dyDescent="0.5"/>
    <row r="960" ht="14.25" customHeight="1" x14ac:dyDescent="0.5"/>
    <row r="961" ht="14.25" customHeight="1" x14ac:dyDescent="0.5"/>
    <row r="962" ht="14.25" customHeight="1" x14ac:dyDescent="0.5"/>
    <row r="963" ht="14.25" customHeight="1" x14ac:dyDescent="0.5"/>
    <row r="964" ht="14.25" customHeight="1" x14ac:dyDescent="0.5"/>
    <row r="965" ht="14.25" customHeight="1" x14ac:dyDescent="0.5"/>
    <row r="966" ht="14.25" customHeight="1" x14ac:dyDescent="0.5"/>
    <row r="967" ht="14.25" customHeight="1" x14ac:dyDescent="0.5"/>
    <row r="968" ht="14.25" customHeight="1" x14ac:dyDescent="0.5"/>
    <row r="969" ht="14.25" customHeight="1" x14ac:dyDescent="0.5"/>
    <row r="970" ht="14.25" customHeight="1" x14ac:dyDescent="0.5"/>
    <row r="971" ht="14.25" customHeight="1" x14ac:dyDescent="0.5"/>
    <row r="972" ht="14.25" customHeight="1" x14ac:dyDescent="0.5"/>
    <row r="973" ht="14.25" customHeight="1" x14ac:dyDescent="0.5"/>
    <row r="974" ht="14.25" customHeight="1" x14ac:dyDescent="0.5"/>
    <row r="975" ht="14.25" customHeight="1" x14ac:dyDescent="0.5"/>
    <row r="976" ht="14.25" customHeight="1" x14ac:dyDescent="0.5"/>
    <row r="977" ht="14.25" customHeight="1" x14ac:dyDescent="0.5"/>
    <row r="978" ht="14.25" customHeight="1" x14ac:dyDescent="0.5"/>
    <row r="979" ht="14.25" customHeight="1" x14ac:dyDescent="0.5"/>
    <row r="980" ht="14.25" customHeight="1" x14ac:dyDescent="0.5"/>
    <row r="981" ht="14.25" customHeight="1" x14ac:dyDescent="0.5"/>
    <row r="982" ht="14.25" customHeight="1" x14ac:dyDescent="0.5"/>
    <row r="983" ht="14.25" customHeight="1" x14ac:dyDescent="0.5"/>
    <row r="984" ht="14.25" customHeight="1" x14ac:dyDescent="0.5"/>
    <row r="985" ht="14.25" customHeight="1" x14ac:dyDescent="0.5"/>
    <row r="986" ht="14.25" customHeight="1" x14ac:dyDescent="0.5"/>
    <row r="987" ht="14.25" customHeight="1" x14ac:dyDescent="0.5"/>
    <row r="988" ht="14.25" customHeight="1" x14ac:dyDescent="0.5"/>
    <row r="989" ht="14.25" customHeight="1" x14ac:dyDescent="0.5"/>
    <row r="990" ht="14.25" customHeight="1" x14ac:dyDescent="0.5"/>
    <row r="991" ht="14.25" customHeight="1" x14ac:dyDescent="0.5"/>
    <row r="992" ht="14.25" customHeight="1" x14ac:dyDescent="0.5"/>
    <row r="993" ht="14.25" customHeight="1" x14ac:dyDescent="0.5"/>
    <row r="994" ht="14.25" customHeight="1" x14ac:dyDescent="0.5"/>
    <row r="995" ht="14.25" customHeight="1" x14ac:dyDescent="0.5"/>
    <row r="996" ht="14.25" customHeight="1" x14ac:dyDescent="0.5"/>
    <row r="997" ht="14.25" customHeight="1" x14ac:dyDescent="0.5"/>
    <row r="998" ht="14.25" customHeight="1" x14ac:dyDescent="0.5"/>
    <row r="999" ht="14.25" customHeight="1" x14ac:dyDescent="0.5"/>
    <row r="1000" ht="14.25" customHeight="1" x14ac:dyDescent="0.5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DirtyData</vt:lpstr>
      <vt:lpstr>Rough Work</vt:lpstr>
      <vt:lpstr>CleanedData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Benny Ezinne</dc:creator>
  <cp:lastModifiedBy>Benny Ezinne</cp:lastModifiedBy>
  <dcterms:created xsi:type="dcterms:W3CDTF">2025-06-19T00:48:47Z</dcterms:created>
  <dcterms:modified xsi:type="dcterms:W3CDTF">2025-06-19T00:48:47Z</dcterms:modified>
</cp:coreProperties>
</file>